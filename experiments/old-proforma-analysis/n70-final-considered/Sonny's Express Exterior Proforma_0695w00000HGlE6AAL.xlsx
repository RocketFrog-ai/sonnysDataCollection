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David Karson\905 Abbott St., Salinas\"/>
    </mc:Choice>
  </mc:AlternateContent>
  <xr:revisionPtr revIDLastSave="0" documentId="13_ncr:1_{938F591D-1BD7-4794-A337-D5F12EC50896}" xr6:coauthVersionLast="46" xr6:coauthVersionMax="46" xr10:uidLastSave="{00000000-0000-0000-0000-000000000000}"/>
  <workbookProtection workbookPassword="FB8D" lockStructure="1"/>
  <bookViews>
    <workbookView xWindow="-12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E74" i="2" l="1"/>
  <c r="I319" i="3" s="1"/>
  <c r="D74" i="2"/>
  <c r="I268" i="3" s="1"/>
  <c r="C86" i="2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F65" i="2"/>
  <c r="C74" i="2" s="1"/>
  <c r="F66" i="2"/>
  <c r="F64" i="2"/>
  <c r="B74" i="2" s="1"/>
  <c r="F74" i="2" l="1"/>
  <c r="F75" i="2" s="1"/>
  <c r="F76" i="2" s="1"/>
  <c r="F77" i="2" s="1"/>
  <c r="F92" i="2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E75" i="2"/>
  <c r="E76" i="2" s="1"/>
  <c r="E77" i="2" s="1"/>
  <c r="D75" i="2"/>
  <c r="D76" i="2" s="1"/>
  <c r="D77" i="2" s="1"/>
  <c r="I370" i="3" l="1"/>
  <c r="I373" i="3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4" i="3" l="1"/>
  <c r="I376" i="3"/>
  <c r="I377" i="3"/>
  <c r="I375" i="3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I378" i="3" l="1"/>
  <c r="J376" i="3" s="1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J374" i="3" l="1"/>
  <c r="J373" i="3"/>
  <c r="J375" i="3"/>
  <c r="J377" i="3"/>
  <c r="I379" i="3"/>
  <c r="J379" i="3" s="1"/>
  <c r="J378" i="3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80" i="3" l="1"/>
  <c r="I389" i="3" s="1"/>
  <c r="J389" i="3" s="1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399" i="3" l="1"/>
  <c r="J380" i="3"/>
  <c r="J398" i="3"/>
  <c r="I388" i="3"/>
  <c r="J388" i="3" s="1"/>
  <c r="J386" i="3"/>
  <c r="I393" i="3"/>
  <c r="J393" i="3" s="1"/>
  <c r="J385" i="3"/>
  <c r="J397" i="3"/>
  <c r="I387" i="3"/>
  <c r="J387" i="3" s="1"/>
  <c r="I384" i="3"/>
  <c r="J384" i="3" s="1"/>
  <c r="J391" i="3"/>
  <c r="I390" i="3"/>
  <c r="J390" i="3" s="1"/>
  <c r="I392" i="3"/>
  <c r="J392" i="3" s="1"/>
  <c r="I382" i="3"/>
  <c r="J382" i="3" s="1"/>
  <c r="J181" i="3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<sst xmlns="http://schemas.openxmlformats.org/spreadsheetml/2006/main" count="434" uniqueCount="202">
  <si>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</si>
  <si>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</si>
  <si>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</si>
  <si>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</si>
  <si>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</si>
  <si>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</si>
  <si>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</si>
  <si>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</si>
  <si>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</si>
  <si>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</si>
  <si>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</si>
  <si>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</si>
  <si>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</si>
  <si>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</si>
  <si>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</si>
  <si>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</si>
  <si>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</si>
  <si>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</si>
  <si>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</si>
  <si>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</si>
  <si>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</si>
  <si>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</si>
  <si>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</si>
  <si>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</si>
  <si>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</si>
  <si>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</si>
  <si>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</si>
  <si>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</si>
  <si>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</si>
  <si>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</si>
  <si>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</si>
  <si>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</si>
  <si>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</si>
  <si>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</si>
  <si>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</si>
  <si>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</si>
  <si>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</si>
  <si>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</si>
  <si>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</si>
  <si>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</si>
  <si>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</si>
  <si>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</si>
  <si>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</si>
  <si>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</si>
  <si>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</si>
  <si>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</si>
  <si>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</si>
  <si>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</si>
  <si>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</si>
  <si>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</si>
  <si>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</si>
  <si>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</si>
  <si>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</si>
  <si>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</si>
  <si>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</si>
  <si>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</si>
  <si>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</si>
  <si>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</si>
  <si>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</si>
  <si>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</si>
  <si>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</si>
  <si>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</si>
  <si>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</si>
  <si>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</si>
  <si>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</si>
  <si>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</si>
  <si>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</si>
  <si>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</si>
  <si>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</si>
  <si>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</si>
  <si>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</si>
  <si>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</si>
  <si>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</si>
  <si>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</si>
  <si>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</si>
  <si>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</si>
  <si>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</si>
  <si>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</si>
  <si>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</si>
  <si>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</si>
  <si>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</si>
  <si>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</si>
  <si>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</si>
  <si>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</si>
  <si>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</si>
  <si>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</si>
  <si>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</si>
  <si>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</si>
  <si>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</si>
  <si>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</si>
  <si>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</si>
  <si>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</si>
  <si>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</si>
  <si>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</si>
  <si>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</si>
  <si>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</si>
  <si>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</si>
  <si>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</si>
  <si>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</si>
  <si>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</si>
  <si>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</si>
  <si>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</si>
  <si>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</si>
  <si>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</si>
  <si>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</si>
  <si>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</si>
  <si>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</si>
  <si>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</si>
  <si>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</si>
  <si>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</si>
  <si>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</si>
  <si>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</si>
  <si>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</si>
  <si>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</si>
  <si>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</si>
  <si>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</si>
  <si>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</si>
  <si>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</si>
  <si>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</si>
  <si>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</si>
  <si>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</si>
  <si>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</si>
  <si>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</si>
  <si>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</si>
  <si>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</si>
  <si>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</si>
  <si>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</si>
  <si>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</si>
  <si>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</si>
  <si>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</si>
  <si>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</si>
  <si>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</si>
  <si>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</si>
  <si>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</si>
  <si>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</si>
  <si>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</si>
  <si>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</si>
  <si>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</si>
  <si>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</si>
  <si>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</si>
  <si>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</si>
  <si>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</si>
  <si>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</si>
  <si>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</si>
  <si>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</si>
  <si>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</si>
  <si>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</si>
  <si>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</si>
  <si>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</si>
  <si>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</si>
  <si>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</si>
  <si>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</si>
  <si>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</si>
  <si>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</si>
  <si>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</si>
  <si>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</si>
  <si>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</si>
  <si>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</si>
  <si>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</si>
  <si>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</si>
  <si>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</si>
  <si>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</si>
  <si>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</si>
  <si>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</si>
  <si>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</si>
  <si>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</si>
  <si>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</si>
  <si>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</si>
  <si>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</si>
  <si>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</si>
  <si>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</si>
  <si>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</si>
  <si>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</si>
  <si>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</si>
  <si>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</si>
  <si>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</si>
  <si>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</si>
  <si>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</si>
  <si>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</si>
  <si>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</si>
  <si>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</si>
  <si>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</si>
  <si>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</si>
  <si>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</si>
  <si>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</si>
  <si>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</si>
  <si>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</si>
  <si>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</si>
  <si>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</si>
  <si>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</si>
  <si>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</si>
  <si>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</si>
  <si>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</si>
  <si>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</si>
  <si>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</si>
  <si>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</si>
  <si>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</si>
  <si>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David Karsan</t>
  </si>
  <si>
    <t>Splash Carwash &amp; Fast Lube</t>
  </si>
  <si>
    <t>905 Abbott St.</t>
  </si>
  <si>
    <t>Salinas, CA 93901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</si>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</sst>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33</xdr:row>
      <xdr:rowOff>0</xdr:rowOff>
    </xdr:from>
    <xdr:to>
      <xdr:col>6</xdr:col>
      <xdr:colOff>266907</xdr:colOff>
      <xdr:row>38</xdr:row>
      <xdr:rowOff>85850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EDC815-DA1D-41DC-AAC1-EF19689D5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5905500"/>
          <a:ext cx="1486107" cy="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3" zoomScaleNormal="100" workbookViewId="0">
      <selection activeCell="H53" sqref="H5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197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198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199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200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14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>
        <v>1</v>
      </c>
      <c r="C37" s="50"/>
      <c r="D37" s="50">
        <v>1</v>
      </c>
      <c r="E37" s="50"/>
      <c r="F37" s="51">
        <f>IF(B37=1,0.15,IF(C37=1,0.125,IF(D37=1,0.075,IF(E37=1,-0.025,0))))</f>
        <v>0.15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>
        <v>1</v>
      </c>
      <c r="C41" s="50"/>
      <c r="D41" s="50">
        <v>1</v>
      </c>
      <c r="E41" s="50"/>
      <c r="F41" s="51">
        <f>IF(B41=1,0.15,IF(C41=1,0.125,IF(D41=1,0.075,IF(E41=1,0.05,0))))</f>
        <v>0.15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1.2250000000000003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3.4</v>
      </c>
      <c r="F57" s="60">
        <f>IF(E57&lt;2.101,-0.1*(2.1-E57),IF(E57&gt;3,-0.5*(E57-3),0))</f>
        <v>-0.19999999999999996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0.51300000000000001</v>
      </c>
      <c r="F58" s="61">
        <f>-0.3*(0.55-E58)</f>
        <v>-1.1100000000000009E-2</v>
      </c>
    </row>
    <row r="59" spans="1:8" ht="15.75" x14ac:dyDescent="0.25">
      <c r="A59" s="96" t="s">
        <v>3</v>
      </c>
      <c r="B59" s="97"/>
      <c r="C59" s="97"/>
      <c r="D59" s="98"/>
      <c r="E59" s="45">
        <v>0.69699999999999995</v>
      </c>
      <c r="F59" s="61">
        <f>-0.75*(0.5-E59)</f>
        <v>0.14774999999999996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-1.5837499999999997E-2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9.9284628676470608E-3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1.3104337635869569E-2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1.5863145559210531E-2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19130</v>
      </c>
      <c r="B70" s="66">
        <v>0.02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F64*A70*330</f>
        <v>62677.393237169126</v>
      </c>
      <c r="C74" s="68">
        <f>F65*A70*330</f>
        <v>82726.373061481005</v>
      </c>
      <c r="D74" s="68">
        <f>($F$54*(1+$F$61))/85*($A$70*(1+B$70))*330</f>
        <v>91329.915859875022</v>
      </c>
      <c r="E74" s="68">
        <f>($F$54*(1+$F$61))/82*($A$70*(1+C$70))*330</f>
        <v>93743.104693570902</v>
      </c>
      <c r="F74" s="68">
        <f>F66*(A70*(1+D70)*330)</f>
        <v>101143.87611674756</v>
      </c>
    </row>
    <row r="75" spans="1:6" ht="15.75" x14ac:dyDescent="0.25">
      <c r="A75" s="35" t="s">
        <v>106</v>
      </c>
      <c r="B75" s="68">
        <f>B74/12</f>
        <v>5223.1161030974272</v>
      </c>
      <c r="C75" s="68">
        <f>C74/12</f>
        <v>6893.8644217900837</v>
      </c>
      <c r="D75" s="68">
        <f t="shared" ref="D75:F75" si="0">D74/12</f>
        <v>7610.8263216562518</v>
      </c>
      <c r="E75" s="68">
        <f t="shared" si="0"/>
        <v>7811.9253911309088</v>
      </c>
      <c r="F75" s="68">
        <f t="shared" si="0"/>
        <v>8428.6563430622973</v>
      </c>
    </row>
    <row r="76" spans="1:6" ht="15.75" x14ac:dyDescent="0.25">
      <c r="A76" s="35" t="s">
        <v>107</v>
      </c>
      <c r="B76" s="68">
        <f>B75/4.5/7*3</f>
        <v>497.43962886642157</v>
      </c>
      <c r="C76" s="68">
        <f t="shared" ref="C76:F76" si="1">C75/4.5/7*3</f>
        <v>656.55851636096031</v>
      </c>
      <c r="D76" s="68">
        <f t="shared" si="1"/>
        <v>724.84060206250012</v>
      </c>
      <c r="E76" s="68">
        <f t="shared" si="1"/>
        <v>743.99289439341987</v>
      </c>
      <c r="F76" s="68">
        <f t="shared" si="1"/>
        <v>802.72917552974252</v>
      </c>
    </row>
    <row r="77" spans="1:6" ht="15.75" x14ac:dyDescent="0.25">
      <c r="A77" s="35" t="s">
        <v>108</v>
      </c>
      <c r="B77" s="68">
        <f>IFERROR((B76/$B9*1.3),0)</f>
        <v>53.889293127195678</v>
      </c>
      <c r="C77" s="68">
        <f t="shared" ref="C77:F77" si="2">IFERROR((C76/$B9*1.3),0)</f>
        <v>71.12717260577071</v>
      </c>
      <c r="D77" s="68">
        <f t="shared" si="2"/>
        <v>78.524398556770848</v>
      </c>
      <c r="E77" s="68">
        <f t="shared" si="2"/>
        <v>80.599230225953832</v>
      </c>
      <c r="F77" s="68">
        <f t="shared" si="2"/>
        <v>86.962327349055442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6csh8NTY6VzXUsJ2XTx/I1/uLgSu/vTUUx7b75mkcW52WOPIw7MoQdNOCv323KbmAiQWeoEPmL+yYnvtZbmqAg==" saltValue="MLjXAU+Lb0zofvGxLlz+8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8" zoomScaleNormal="100" workbookViewId="0">
      <selection activeCell="N36" sqref="N3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David Karsan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Splash Carwash &amp; Fast Lube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905 Abbott St.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Salinas, CA 93901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201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David Karsan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Splash Carwash &amp; Fast Lube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905 Abbott St.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Salinas, CA 93901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1977.5872467127012</v>
      </c>
      <c r="J65" s="18">
        <f>'Input Form'!B75</f>
        <v>5223.1161030974272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0.45</v>
      </c>
      <c r="H69" s="142"/>
      <c r="I69" s="20">
        <f>IFERROR((I$65*G69*F69),0)</f>
        <v>4449.5713051035782</v>
      </c>
      <c r="J69" s="20">
        <f>J$65*F69*G69</f>
        <v>11752.011231969211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2966.3808700690515</v>
      </c>
      <c r="J70" s="20">
        <f t="shared" ref="J70:J73" si="0">J$65*F70*G70</f>
        <v>7834.6741546461399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4449.5713051035773</v>
      </c>
      <c r="J71" s="20">
        <f t="shared" si="0"/>
        <v>11752.011231969211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7910.348986850805</v>
      </c>
      <c r="J72" s="20">
        <f t="shared" si="0"/>
        <v>20892.464412389709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0.05</v>
      </c>
      <c r="H73" s="142"/>
      <c r="I73" s="20">
        <f t="shared" si="1"/>
        <v>2471.9840583908767</v>
      </c>
      <c r="J73" s="20">
        <f t="shared" si="0"/>
        <v>6528.8951288717844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22247.856525517887</v>
      </c>
      <c r="J74" s="20">
        <f>SUM(J69:J73)</f>
        <v>58760.056159846055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-400.46141745932192</v>
      </c>
      <c r="J75" s="20">
        <f>-(J74*$F75*$G75)</f>
        <v>-1057.6810108772288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21847.395108058565</v>
      </c>
      <c r="J76" s="20">
        <f>SUM(J74:J75)</f>
        <v>57702.375148968829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11.047499999997884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655.42185324175693</v>
      </c>
      <c r="J80" s="20">
        <f>$G80*J76</f>
        <v>1731.0712544690648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6.2416000000000006E-2</v>
      </c>
      <c r="H81" s="164"/>
      <c r="I81" s="20">
        <f>G81*I76</f>
        <v>1363.6270130645835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3667.5676652729517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218.47395108058566</v>
      </c>
      <c r="J82" s="20">
        <f>$G82*J76</f>
        <v>577.02375148968827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4.494815034666455E-2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0.60419303695986493</v>
      </c>
      <c r="H84" s="164"/>
      <c r="I84" s="20">
        <f>J84</f>
        <v>13442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13442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218.47395108058566</v>
      </c>
      <c r="J85" s="20">
        <f>$G85*J76</f>
        <v>577.02375148968827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218.47395108058566</v>
      </c>
      <c r="J86" s="20">
        <f>$G86*J76</f>
        <v>577.02375148968827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327.71092662087847</v>
      </c>
      <c r="J87" s="20">
        <f>$G87*J76</f>
        <v>865.5356272345324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218.47395108058566</v>
      </c>
      <c r="J88" s="20">
        <f>$G88*J76</f>
        <v>577.02375148968827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8.9896300693329101E-2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218.47395108058566</v>
      </c>
      <c r="J90" s="20">
        <f>$G90*J76</f>
        <v>577.02375148968827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1966.2655597252708</v>
      </c>
      <c r="J91" s="20">
        <f>$G91*J76</f>
        <v>5193.2137634071942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21847.395108055414</v>
      </c>
      <c r="J92" s="20">
        <f>SUM(J80:J91)</f>
        <v>30784.507067832179</v>
      </c>
      <c r="K92" s="10"/>
    </row>
    <row r="93" spans="1:12" x14ac:dyDescent="0.2">
      <c r="A93" s="10"/>
      <c r="B93" s="116" t="s">
        <v>196</v>
      </c>
      <c r="C93" s="116"/>
      <c r="D93" s="116"/>
      <c r="E93" s="116"/>
      <c r="F93" s="116"/>
      <c r="G93" s="116"/>
      <c r="H93" s="116"/>
      <c r="I93" s="24">
        <f>I76-I92</f>
        <v>3.1504896469414234E-9</v>
      </c>
      <c r="J93" s="24">
        <f>J76-J92</f>
        <v>26917.86808113665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David Karsan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Splash Carwash &amp; Fast Lube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905 Abbott St.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Salinas, CA 93901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5.5E-2</v>
      </c>
      <c r="F125" s="154"/>
      <c r="G125" s="142">
        <f>'Input Form'!D89</f>
        <v>240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5.5E-2</v>
      </c>
      <c r="F126" s="154"/>
      <c r="G126" s="142">
        <f>'Input Form'!D90</f>
        <v>240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5.5E-2</v>
      </c>
      <c r="F127" s="154"/>
      <c r="G127" s="142">
        <f>'Input Form'!D91</f>
        <v>240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5.5E-2</v>
      </c>
      <c r="F128" s="154"/>
      <c r="G128" s="142">
        <f>'Input Form'!D92</f>
        <v>240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5.5E-2</v>
      </c>
      <c r="F129" s="154"/>
      <c r="G129" s="142">
        <f>'Input Form'!D93</f>
        <v>240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21847.395108058565</v>
      </c>
      <c r="H138" s="147"/>
      <c r="I138" s="147">
        <f>J76</f>
        <v>57702.375148968829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21847.395108055414</v>
      </c>
      <c r="H139" s="147"/>
      <c r="I139" s="147">
        <f>J92</f>
        <v>30784.507067832179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3.1504896469414234E-9</v>
      </c>
      <c r="H140" s="147"/>
      <c r="I140" s="147">
        <f>J93</f>
        <v>26917.86808113665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3.1504896469414234E-9</v>
      </c>
      <c r="H143" s="147"/>
      <c r="I143" s="147">
        <f>I140-I141-I142</f>
        <v>26917.86808113665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David Karsan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Splash Carwash &amp; Fast Lube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905 Abbott St.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Salinas, CA 93901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62677.393237169126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0.45</v>
      </c>
      <c r="H169" s="142"/>
      <c r="I169" s="20">
        <f>I$166*F169*G169</f>
        <v>141024.13478363052</v>
      </c>
      <c r="J169" s="30">
        <f>IFERROR((I169/I$174),0)</f>
        <v>0.2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94016.089855753686</v>
      </c>
      <c r="J170" s="30">
        <f t="shared" ref="J170:J176" si="2">IFERROR((I170/I$174),0)</f>
        <v>0.13333333333333336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141024.13478363052</v>
      </c>
      <c r="J171" s="30">
        <f t="shared" si="2"/>
        <v>0.2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250709.5729486765</v>
      </c>
      <c r="J172" s="30">
        <f t="shared" si="2"/>
        <v>0.35555555555555562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0.05</v>
      </c>
      <c r="H173" s="142"/>
      <c r="I173" s="20">
        <f>I$166*F173*G173</f>
        <v>78346.741546461402</v>
      </c>
      <c r="J173" s="30">
        <f t="shared" si="2"/>
        <v>0.11111111111111112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705120.67391815258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-12692.172130526746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692428.50178762584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20772.855053628773</v>
      </c>
      <c r="J178" s="30">
        <f>IFERROR((I178/I$176),0)</f>
        <v>2.9999999999999995E-2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43218.617367576458</v>
      </c>
      <c r="J179" s="30">
        <f t="shared" ref="J179:J196" si="3">IFERROR((I179/I$176),0)</f>
        <v>6.2416000000000006E-2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6924.2850178762583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1.7330309149637676E-2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161304</v>
      </c>
      <c r="J182" s="30">
        <f t="shared" si="3"/>
        <v>0.23295401558942963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6924.2850178762583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6924.2850178762583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10386.427526814387</v>
      </c>
      <c r="J185" s="30">
        <f t="shared" si="3"/>
        <v>1.4999999999999998E-2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6924.2850178762583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3.4660618299275352E-2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6924.2850178762583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62318.565160886326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368621.8901982872</v>
      </c>
      <c r="J190" s="30">
        <f t="shared" si="3"/>
        <v>0.53236094303834258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323806.61158933863</v>
      </c>
      <c r="J191" s="30">
        <f t="shared" si="3"/>
        <v>0.46763905696165736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323806.61158933863</v>
      </c>
      <c r="J196" s="30">
        <f t="shared" si="3"/>
        <v>0.46763905696165736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David Karsan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Splash Carwash &amp; Fast Lube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905 Abbott St.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Salinas, CA 93901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82726.373061481005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0.45</v>
      </c>
      <c r="H220" s="142"/>
      <c r="I220" s="20">
        <f>I$217*F220*G220</f>
        <v>186134.33938833227</v>
      </c>
      <c r="J220" s="30">
        <f>IFERROR((I220/I$225),0)</f>
        <v>0.2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124089.5595922215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186134.33938833227</v>
      </c>
      <c r="J222" s="30">
        <f t="shared" si="4"/>
        <v>0.2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330905.49224592402</v>
      </c>
      <c r="J223" s="30">
        <f t="shared" si="4"/>
        <v>0.35555555555555557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0.05</v>
      </c>
      <c r="H224" s="142"/>
      <c r="I224" s="20">
        <f>I$217*F224*G224</f>
        <v>103407.96632685127</v>
      </c>
      <c r="J224" s="30">
        <f t="shared" si="4"/>
        <v>0.11111111111111112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930671.6969416613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-16752.090544949901</v>
      </c>
      <c r="J226" s="30">
        <f t="shared" si="4"/>
        <v>-1.7999999999999995E-2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913919.60639671143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27417.588191901341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57043.206152857143</v>
      </c>
      <c r="J230" s="30">
        <f t="shared" ref="J230:J247" si="5">IFERROR((I230/I$227),0)</f>
        <v>6.2415999999999999E-2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9139.1960639671142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1.3130257755725482E-2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161304</v>
      </c>
      <c r="J233" s="30">
        <f t="shared" si="5"/>
        <v>0.17649692475246193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9139.1960639671142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9139.1960639671142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13708.79409595067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9139.1960639671142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2.6260515511450963E-2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9139.1960639671142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82252.76457570403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423422.33333624876</v>
      </c>
      <c r="J241" s="30">
        <f t="shared" si="5"/>
        <v>0.46330369801963839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490497.27306046267</v>
      </c>
      <c r="J242" s="30">
        <f t="shared" si="5"/>
        <v>0.53669630198036167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490497.27306046267</v>
      </c>
      <c r="J247" s="30">
        <f t="shared" si="5"/>
        <v>0.53669630198036167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David Karsan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Splash Carwash &amp; Fast Lube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905 Abbott St.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Salinas, CA 93901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91329.915859875022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0.45</v>
      </c>
      <c r="H271" s="142"/>
      <c r="I271" s="20">
        <f>I$268*F271*G271</f>
        <v>205492.3106847188</v>
      </c>
      <c r="J271" s="30">
        <f>IFERROR((I271/I$276),0)</f>
        <v>0.2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136994.87378981253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205492.3106847188</v>
      </c>
      <c r="J273" s="30">
        <f t="shared" si="7"/>
        <v>0.2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365319.66343950015</v>
      </c>
      <c r="J274" s="30">
        <f t="shared" si="7"/>
        <v>0.35555555555555562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0.05</v>
      </c>
      <c r="H275" s="142"/>
      <c r="I275" s="20">
        <f t="shared" si="6"/>
        <v>114162.3948248438</v>
      </c>
      <c r="J275" s="30">
        <f t="shared" si="7"/>
        <v>0.11111111111111113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1027461.553423594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-18494.307961624691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1008967.2454619693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30269.017363859079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62975.699592754281</v>
      </c>
      <c r="J281" s="30">
        <f t="shared" ref="J281:J298" si="8">IFERROR((I281/I$278),0)</f>
        <v>6.2416000000000006E-2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10089.672454619693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1.189334941641801E-2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161304</v>
      </c>
      <c r="J284" s="30">
        <f t="shared" si="8"/>
        <v>0.1598704028554909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10089.672454619693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10089.672454619693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15134.508681929539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10089.672454619693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2.3786698832836021E-2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10089.672454619693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90807.052091577236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446938.64000321843</v>
      </c>
      <c r="J292" s="30">
        <f t="shared" si="8"/>
        <v>0.44296645110474475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562028.60545875086</v>
      </c>
      <c r="J293" s="30">
        <f t="shared" si="8"/>
        <v>0.55703354889525525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562028.60545875086</v>
      </c>
      <c r="J298" s="30">
        <f t="shared" si="8"/>
        <v>0.55703354889525525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David Karsan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Splash Carwash &amp; Fast Lube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905 Abbott St.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Salinas, CA 93901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93743.104693570902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0.45</v>
      </c>
      <c r="H322" s="142"/>
      <c r="I322" s="20">
        <f>I$319*F322*G322</f>
        <v>210921.98556053452</v>
      </c>
      <c r="J322" s="30">
        <f>IFERROR((I322/I$327),0)</f>
        <v>0.2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140614.65704035634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210921.98556053452</v>
      </c>
      <c r="J324" s="30">
        <f t="shared" si="9"/>
        <v>0.2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374972.41877428361</v>
      </c>
      <c r="J325" s="30">
        <f t="shared" si="9"/>
        <v>0.35555555555555557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0.05</v>
      </c>
      <c r="H326" s="142"/>
      <c r="I326" s="20">
        <f>I$319*F326*G326</f>
        <v>117178.88086696363</v>
      </c>
      <c r="J326" s="30">
        <f t="shared" si="9"/>
        <v>0.11111111111111112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1054609.9278026726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-18982.978700448108</v>
      </c>
      <c r="J328" s="30">
        <f t="shared" si="9"/>
        <v>-1.8000000000000002E-2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1035626.9491022245</v>
      </c>
      <c r="J329" s="30">
        <f t="shared" si="9"/>
        <v>0.9820000000000001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31068.808473066736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64639.691655164454</v>
      </c>
      <c r="J332" s="30">
        <f t="shared" ref="J332:J344" si="10">IFERROR((I332/I$329),0)</f>
        <v>6.2416000000000006E-2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10356.269491022245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1.1587183985896359E-2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161304</v>
      </c>
      <c r="J335" s="30">
        <f t="shared" si="10"/>
        <v>0.15575492713841885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10356.269491022245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10356.269491022245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15534.404236533368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10356.269491022245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2.3174367971792717E-2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10356.269491022245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93206.425419200212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453534.67723907594</v>
      </c>
      <c r="J343" s="30">
        <f t="shared" si="10"/>
        <v>0.43793247909610789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582092.27186314855</v>
      </c>
      <c r="J344" s="30">
        <f t="shared" si="10"/>
        <v>0.562067520903892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582092.27186314855</v>
      </c>
      <c r="J349" s="30">
        <f t="shared" si="11"/>
        <v>0.562067520903892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David Karsan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Splash Carwash &amp; Fast Lube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905 Abbott St.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Salinas, CA 93901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101143.87611674756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0.45</v>
      </c>
      <c r="H373" s="142"/>
      <c r="I373" s="20">
        <f>I$370*F373*G373</f>
        <v>227573.72126268203</v>
      </c>
      <c r="J373" s="30">
        <f>IFERROR((I373/I$378),0)</f>
        <v>0.20000000000000004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151715.81417512134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227573.72126268203</v>
      </c>
      <c r="J375" s="30">
        <f t="shared" si="13"/>
        <v>0.20000000000000004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404575.50446699024</v>
      </c>
      <c r="J376" s="30">
        <f t="shared" si="13"/>
        <v>0.35555555555555557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0.05</v>
      </c>
      <c r="H377" s="142"/>
      <c r="I377" s="20">
        <f t="shared" si="12"/>
        <v>126429.84514593445</v>
      </c>
      <c r="J377" s="30">
        <f t="shared" si="13"/>
        <v>0.11111111111111112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1137868.60631341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-20481.634913641377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1117386.9713997687</v>
      </c>
      <c r="J380" s="30">
        <f t="shared" si="13"/>
        <v>0.9820000000000001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33521.60914199306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69742.825206887966</v>
      </c>
      <c r="J383" s="30">
        <f t="shared" ref="J383:J395" si="14">IFERROR((I383/I$380),0)</f>
        <v>6.2415999999999999E-2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11173.869713997687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1.0739341255221014E-2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161304</v>
      </c>
      <c r="J386" s="30">
        <f t="shared" si="14"/>
        <v>0.14435822515268087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11173.869713997687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11173.869713997687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16760.80457099653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11173.869713997687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2.1478682510442028E-2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11173.869713997687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100564.82742597918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473763.41491584526</v>
      </c>
      <c r="J394" s="30">
        <f t="shared" si="14"/>
        <v>0.42399224891834397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643623.55648392346</v>
      </c>
      <c r="J395" s="30">
        <f t="shared" si="14"/>
        <v>0.57600775108165603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643623.55648392346</v>
      </c>
      <c r="J400" s="30">
        <f t="shared" si="15"/>
        <v>0.57600775108165603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David Karsan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Splash Carwash &amp; Fast Lube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905 Abbott St.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Salinas, CA 93901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okCpNnHDEpM8HU33Fgu75U0BKj4v88RqirUE8QvkF/1Hy5bB3WJilRQBPNGnSOpOnkbqsHZ/Q0QS3pXQVdhkNQ==" saltValue="cmHzh5ytNwzEqixdBze7S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2021-03-31T22:06:43Z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