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ew York\David Healy\3470 Merrick Rd, Seaford\"/>
    </mc:Choice>
  </mc:AlternateContent>
  <xr:revisionPtr revIDLastSave="0" documentId="8_{0562C34E-1829-434F-B582-EDF041A755EA}" xr6:coauthVersionLast="46" xr6:coauthVersionMax="46" xr10:uidLastSave="{00000000-0000-0000-0000-000000000000}"/>
  <workbookProtection workbookPassword="FB8D" lockStructure="1"/>
  <bookViews>
    <workbookView xWindow="286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9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2" i="2"/>
  <c r="I136" i="3" s="1"/>
  <c r="I142" i="3" s="1"/>
  <c r="B88" i="2"/>
  <c r="E84" i="2"/>
  <c r="G118" i="3" s="1"/>
  <c r="E85" i="2"/>
  <c r="G119" i="3" s="1"/>
  <c r="E86" i="2"/>
  <c r="G120" i="3" s="1"/>
  <c r="E87" i="2"/>
  <c r="G121" i="3" s="1"/>
  <c r="E83" i="2"/>
  <c r="G117" i="3" s="1"/>
  <c r="D84" i="2"/>
  <c r="D85" i="2"/>
  <c r="D86" i="2"/>
  <c r="D87" i="2"/>
  <c r="D83" i="2"/>
  <c r="F62" i="2"/>
  <c r="F61" i="2"/>
  <c r="F60" i="2"/>
  <c r="F47" i="2"/>
  <c r="F45" i="2"/>
  <c r="F43" i="2"/>
  <c r="F41" i="2"/>
  <c r="F39" i="2"/>
  <c r="F35" i="2"/>
  <c r="E29" i="3"/>
  <c r="E31" i="3"/>
  <c r="E32" i="3"/>
  <c r="E33" i="3"/>
  <c r="E30" i="3"/>
  <c r="G142" i="3" l="1"/>
  <c r="F86" i="2"/>
  <c r="F120" i="3"/>
  <c r="C122" i="3"/>
  <c r="F85" i="2"/>
  <c r="F119" i="3"/>
  <c r="I194" i="3"/>
  <c r="I296" i="3"/>
  <c r="I245" i="3"/>
  <c r="F83" i="2"/>
  <c r="F117" i="3"/>
  <c r="F84" i="2"/>
  <c r="I118" i="3" s="1"/>
  <c r="F118" i="3"/>
  <c r="I398" i="3"/>
  <c r="F87" i="2"/>
  <c r="F121" i="3"/>
  <c r="I347" i="3"/>
  <c r="E88" i="2"/>
  <c r="C88" i="2" s="1"/>
  <c r="F54" i="2"/>
  <c r="F63" i="2"/>
  <c r="E76" i="2" l="1"/>
  <c r="I319" i="3" s="1"/>
  <c r="D76" i="2"/>
  <c r="I268" i="3" s="1"/>
  <c r="F88" i="2"/>
  <c r="B92" i="2"/>
  <c r="E122" i="3"/>
  <c r="I420" i="3"/>
  <c r="G122" i="3"/>
  <c r="B95" i="2"/>
  <c r="F95" i="2" s="1"/>
  <c r="I121" i="3"/>
  <c r="B91" i="2"/>
  <c r="I117" i="3"/>
  <c r="B93" i="2"/>
  <c r="F93" i="2" s="1"/>
  <c r="I119" i="3"/>
  <c r="B94" i="2"/>
  <c r="F94" i="2" s="1"/>
  <c r="I120" i="3"/>
  <c r="F67" i="2"/>
  <c r="C76" i="2" s="1"/>
  <c r="F68" i="2"/>
  <c r="F76" i="2" s="1"/>
  <c r="F66" i="2"/>
  <c r="B76" i="2" s="1"/>
  <c r="I370" i="3" l="1"/>
  <c r="F91" i="2"/>
  <c r="D88" i="2"/>
  <c r="F122" i="3" s="1"/>
  <c r="C126" i="3"/>
  <c r="F92" i="2"/>
  <c r="I126" i="3" s="1"/>
  <c r="I122" i="3"/>
  <c r="C128" i="3"/>
  <c r="I128" i="3"/>
  <c r="C125" i="3"/>
  <c r="B96" i="2"/>
  <c r="C130" i="3" s="1"/>
  <c r="C129" i="3"/>
  <c r="I129" i="3"/>
  <c r="I326" i="3"/>
  <c r="I325" i="3"/>
  <c r="I323" i="3"/>
  <c r="I322" i="3"/>
  <c r="I324" i="3"/>
  <c r="C77" i="2"/>
  <c r="C78" i="2" s="1"/>
  <c r="C79" i="2" s="1"/>
  <c r="I217" i="3"/>
  <c r="I275" i="3"/>
  <c r="I272" i="3"/>
  <c r="I271" i="3"/>
  <c r="I273" i="3"/>
  <c r="I274" i="3"/>
  <c r="C127" i="3"/>
  <c r="I127" i="3"/>
  <c r="E77" i="2"/>
  <c r="E78" i="2" s="1"/>
  <c r="E79" i="2" s="1"/>
  <c r="D77" i="2"/>
  <c r="D78" i="2" s="1"/>
  <c r="D79" i="2" s="1"/>
  <c r="I375" i="3" l="1"/>
  <c r="I373" i="3"/>
  <c r="I377" i="3"/>
  <c r="I374" i="3"/>
  <c r="I376" i="3"/>
  <c r="F77" i="2"/>
  <c r="F78" i="2" s="1"/>
  <c r="F79" i="2" s="1"/>
  <c r="I222" i="3"/>
  <c r="I221" i="3"/>
  <c r="I220" i="3"/>
  <c r="I224" i="3"/>
  <c r="I223" i="3"/>
  <c r="I276" i="3"/>
  <c r="J276" i="3" s="1"/>
  <c r="I125" i="3"/>
  <c r="F96" i="2"/>
  <c r="I130" i="3" s="1"/>
  <c r="I327" i="3"/>
  <c r="J327" i="3" s="1"/>
  <c r="B77" i="2"/>
  <c r="B78" i="2" s="1"/>
  <c r="B79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<sst xmlns="http://schemas.openxmlformats.org/spreadsheetml/2006/main" count="430" uniqueCount="197">
  <si>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</si>
  <si>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</si>
  <si>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</si>
  <si>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</si>
  <si>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</si>
  <si>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</si>
  <si>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</si>
  <si>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</si>
  <si>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</si>
  <si>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</si>
  <si>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</si>
  <si>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</si>
  <si>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</si>
  <si>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</si>
  <si>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</si>
  <si>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</si>
  <si>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</si>
  <si>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</si>
  <si>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</si>
  <si>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</si>
  <si>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</si>
  <si>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</si>
  <si>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</si>
  <si>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</si>
  <si>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</si>
  <si>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</si>
  <si>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</si>
  <si>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</si>
  <si>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</si>
  <si>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</si>
  <si>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</si>
  <si>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</si>
  <si>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</si>
  <si>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</si>
  <si>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</si>
  <si>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</si>
  <si>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</si>
  <si>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</si>
  <si>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</si>
  <si>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</si>
  <si>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</si>
  <si>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</si>
  <si>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</si>
  <si>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</si>
  <si>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</si>
  <si>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</si>
  <si>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</si>
  <si>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</si>
  <si>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</si>
  <si>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</si>
  <si>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</si>
  <si>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</si>
  <si>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</si>
  <si>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</si>
  <si>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</si>
  <si>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</si>
  <si>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</si>
  <si>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</si>
  <si>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</si>
  <si>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</si>
  <si>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</si>
  <si>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</si>
  <si>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</si>
  <si>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</si>
  <si>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</si>
  <si>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</si>
  <si>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</si>
  <si>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</si>
  <si>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</si>
  <si>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</si>
  <si>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</si>
  <si>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</si>
  <si>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</si>
  <si>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</si>
  <si>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</si>
  <si>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</si>
  <si>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</si>
  <si>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</si>
  <si>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</si>
  <si>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</si>
  <si>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</si>
  <si>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</si>
  <si>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</si>
  <si>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</si>
  <si>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</si>
  <si>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</si>
  <si>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</si>
  <si>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</si>
  <si>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</si>
  <si>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</si>
  <si>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</si>
  <si>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</si>
  <si>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</si>
  <si>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</si>
  <si>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</si>
  <si>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</si>
  <si>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</si>
  <si>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</si>
  <si>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</si>
  <si>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</si>
  <si>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</si>
  <si>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</si>
  <si>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</si>
  <si>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</si>
  <si>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</si>
  <si>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</si>
  <si>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</si>
  <si>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</si>
  <si>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</si>
  <si>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</si>
  <si>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</si>
  <si>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</si>
  <si>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</si>
  <si>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</si>
  <si>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</si>
  <si>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</si>
  <si>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</si>
  <si>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</si>
  <si>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</si>
  <si>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</si>
  <si>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</si>
  <si>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</si>
  <si>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</si>
  <si>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</si>
  <si>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</si>
  <si>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</si>
  <si>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</si>
  <si>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</si>
  <si>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</si>
  <si>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</si>
  <si>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</si>
  <si>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</si>
  <si>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</si>
  <si>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</si>
  <si>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</si>
  <si>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</si>
  <si>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</si>
  <si>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</si>
  <si>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</si>
  <si>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</si>
  <si>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</si>
  <si>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</si>
  <si>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</si>
  <si>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</si>
  <si>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</si>
  <si>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</si>
  <si>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</si>
  <si>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</si>
  <si>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</si>
  <si>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</si>
  <si>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</si>
  <si>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</si>
  <si>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</si>
  <si>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</si>
  <si>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</si>
  <si>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</si>
  <si>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</si>
  <si>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</si>
  <si>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</si>
  <si>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</si>
  <si>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</si>
  <si>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</si>
  <si>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</si>
  <si>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</si>
  <si>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</si>
  <si>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</si>
  <si>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</si>
  <si>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</si>
  <si>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</si>
  <si>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</si>
  <si>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</si>
  <si>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</si>
  <si>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</si>
  <si>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</si>
  <si>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</si>
  <si>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</si>
  <si>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</si>
  <si>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</si>
  <si>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</si>
  <si>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</si>
  <si>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</si>
  <si>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</si>
  <si>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</si>
  <si>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</si>
  <si>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</si>
  <si>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</si>
  <si>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</si>
  <si>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</si>
  <si>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</si>
  <si>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</si>
  <si>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</si>
  <si>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% OF HOUSEHOLDS WITH INCOMES &gt; $40,000 (TARGET: 50%)</t>
  </si>
  <si>
    <t>David Healy</t>
  </si>
  <si>
    <t>Seaford Car Wash</t>
  </si>
  <si>
    <t>3470 Merrick Rd.</t>
  </si>
  <si>
    <t>Seaford, NY 11783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</si>
  <si>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b/>
        <sz val="10"/>
        <rFont val="Calibri"/>
        <family val="2"/>
        <scheme val="minor"/>
      </rPr>
      <t>I modified the traffic count to the size of the tunnel for more accurate volume projections.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</si>
</sst>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169" fontId="11" fillId="0" borderId="0" xfId="1" applyNumberFormat="1" applyFont="1" applyBorder="1" applyProtection="1"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5"/>
  <sheetViews>
    <sheetView topLeftCell="A22" zoomScaleNormal="100" workbookViewId="0">
      <selection activeCell="A73" sqref="A73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39</v>
      </c>
      <c r="B1" s="90"/>
      <c r="C1" s="90"/>
      <c r="D1" s="90"/>
      <c r="E1" s="34"/>
      <c r="F1" s="34"/>
    </row>
    <row r="2" spans="1:9" ht="15.75" x14ac:dyDescent="0.25">
      <c r="A2" s="35" t="s">
        <v>10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13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11</v>
      </c>
      <c r="B4" s="86"/>
      <c r="C4" s="87"/>
      <c r="D4" s="88"/>
      <c r="E4" s="34"/>
      <c r="F4" s="34"/>
    </row>
    <row r="5" spans="1:9" ht="15.75" x14ac:dyDescent="0.25">
      <c r="A5" s="35" t="s">
        <v>12</v>
      </c>
      <c r="B5" s="86" t="s">
        <v>194</v>
      </c>
      <c r="C5" s="87"/>
      <c r="D5" s="88"/>
      <c r="E5" s="34"/>
      <c r="F5" s="34"/>
    </row>
    <row r="6" spans="1:9" ht="15.75" x14ac:dyDescent="0.25">
      <c r="A6" s="35" t="s">
        <v>14</v>
      </c>
      <c r="B6" s="86" t="s">
        <v>195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50</v>
      </c>
      <c r="B8" s="39" t="s">
        <v>107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38</v>
      </c>
      <c r="B11" s="89"/>
      <c r="C11" s="89"/>
      <c r="D11" s="89"/>
      <c r="E11" s="34"/>
      <c r="F11" s="34"/>
    </row>
    <row r="12" spans="1:9" ht="15.75" x14ac:dyDescent="0.25">
      <c r="A12" s="42" t="s">
        <v>32</v>
      </c>
      <c r="B12" s="42" t="s">
        <v>21</v>
      </c>
      <c r="C12" s="42" t="s">
        <v>23</v>
      </c>
      <c r="D12" s="42" t="s">
        <v>24</v>
      </c>
      <c r="E12" s="34"/>
      <c r="F12" s="34"/>
    </row>
    <row r="13" spans="1:9" ht="15.75" x14ac:dyDescent="0.25">
      <c r="A13" s="43" t="s">
        <v>18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19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20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37</v>
      </c>
      <c r="B17" s="80"/>
      <c r="C17" s="80"/>
      <c r="D17" s="81"/>
      <c r="E17" s="34"/>
      <c r="F17" s="34"/>
    </row>
    <row r="18" spans="1:8" ht="15.75" x14ac:dyDescent="0.25">
      <c r="A18" s="42" t="s">
        <v>41</v>
      </c>
      <c r="B18" s="46" t="s">
        <v>30</v>
      </c>
      <c r="C18" s="46" t="s">
        <v>40</v>
      </c>
      <c r="D18" s="46" t="s">
        <v>31</v>
      </c>
      <c r="E18" s="34"/>
      <c r="F18" s="34"/>
    </row>
    <row r="19" spans="1:8" ht="15.75" x14ac:dyDescent="0.25">
      <c r="A19" s="43" t="s">
        <v>25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26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27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28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29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42</v>
      </c>
      <c r="B25" s="80"/>
      <c r="C25" s="80"/>
      <c r="D25" s="80"/>
      <c r="E25" s="81"/>
      <c r="F25" s="34"/>
    </row>
    <row r="26" spans="1:8" ht="15.75" x14ac:dyDescent="0.25">
      <c r="A26" s="42" t="s">
        <v>41</v>
      </c>
      <c r="B26" s="46" t="s">
        <v>33</v>
      </c>
      <c r="C26" s="46" t="s">
        <v>34</v>
      </c>
      <c r="D26" s="46" t="s">
        <v>35</v>
      </c>
      <c r="E26" s="46" t="s">
        <v>36</v>
      </c>
      <c r="F26" s="34"/>
    </row>
    <row r="27" spans="1:8" ht="15.75" x14ac:dyDescent="0.25">
      <c r="A27" s="43" t="s">
        <v>25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26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27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28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29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57</v>
      </c>
      <c r="B33" s="80"/>
      <c r="C33" s="80"/>
      <c r="D33" s="80"/>
      <c r="E33" s="80"/>
      <c r="F33" s="81"/>
    </row>
    <row r="34" spans="1:6" ht="15.75" x14ac:dyDescent="0.2">
      <c r="A34" s="82" t="s">
        <v>43</v>
      </c>
      <c r="B34" s="49" t="s">
        <v>44</v>
      </c>
      <c r="C34" s="49" t="s">
        <v>45</v>
      </c>
      <c r="D34" s="49" t="s">
        <v>46</v>
      </c>
      <c r="E34" s="49" t="s">
        <v>47</v>
      </c>
      <c r="F34" s="49" t="s">
        <v>48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49</v>
      </c>
      <c r="B36" s="49" t="s">
        <v>51</v>
      </c>
      <c r="C36" s="49" t="s">
        <v>52</v>
      </c>
      <c r="D36" s="49" t="s">
        <v>53</v>
      </c>
      <c r="E36" s="49" t="s">
        <v>54</v>
      </c>
      <c r="F36" s="52" t="s">
        <v>48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50</v>
      </c>
      <c r="B38" s="53" t="s">
        <v>55</v>
      </c>
      <c r="C38" s="53" t="s">
        <v>77</v>
      </c>
      <c r="D38" s="53" t="s">
        <v>89</v>
      </c>
      <c r="E38" s="53" t="s">
        <v>56</v>
      </c>
      <c r="F38" s="52" t="s">
        <v>48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66</v>
      </c>
      <c r="B40" s="49" t="s">
        <v>58</v>
      </c>
      <c r="C40" s="49" t="s">
        <v>59</v>
      </c>
      <c r="D40" s="49" t="s">
        <v>60</v>
      </c>
      <c r="E40" s="49" t="s">
        <v>61</v>
      </c>
      <c r="F40" s="52" t="s">
        <v>48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67</v>
      </c>
      <c r="B42" s="49" t="s">
        <v>62</v>
      </c>
      <c r="C42" s="49" t="s">
        <v>63</v>
      </c>
      <c r="D42" s="49" t="s">
        <v>64</v>
      </c>
      <c r="E42" s="49" t="s">
        <v>65</v>
      </c>
      <c r="F42" s="52" t="s">
        <v>48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68</v>
      </c>
      <c r="B44" s="49" t="s">
        <v>73</v>
      </c>
      <c r="C44" s="49" t="s">
        <v>87</v>
      </c>
      <c r="D44" s="49" t="s">
        <v>88</v>
      </c>
      <c r="E44" s="49" t="s">
        <v>75</v>
      </c>
      <c r="F44" s="52" t="s">
        <v>48</v>
      </c>
    </row>
    <row r="45" spans="1:6" ht="17.25" x14ac:dyDescent="0.3">
      <c r="A45" s="8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82" t="s">
        <v>69</v>
      </c>
      <c r="B46" s="49" t="s">
        <v>73</v>
      </c>
      <c r="C46" s="49" t="s">
        <v>78</v>
      </c>
      <c r="D46" s="49" t="s">
        <v>74</v>
      </c>
      <c r="E46" s="49" t="s">
        <v>76</v>
      </c>
      <c r="F46" s="52" t="s">
        <v>48</v>
      </c>
    </row>
    <row r="47" spans="1:6" ht="17.25" x14ac:dyDescent="0.3">
      <c r="A47" s="8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82" t="s">
        <v>70</v>
      </c>
      <c r="B48" s="49" t="s">
        <v>79</v>
      </c>
      <c r="C48" s="49">
        <v>2</v>
      </c>
      <c r="D48" s="49">
        <v>1</v>
      </c>
      <c r="E48" s="49" t="s">
        <v>80</v>
      </c>
      <c r="F48" s="52" t="s">
        <v>48</v>
      </c>
    </row>
    <row r="49" spans="1:8" ht="17.25" x14ac:dyDescent="0.3">
      <c r="A49" s="82"/>
      <c r="B49" s="54"/>
      <c r="C49" s="54"/>
      <c r="D49" s="54">
        <v>1</v>
      </c>
      <c r="E49" s="54"/>
      <c r="F49" s="51">
        <f>IF(B49=1,0.15,IF(C49=1,0.1,IF(D49=1,0.05,IF(E49=1,0,0))))</f>
        <v>0.05</v>
      </c>
    </row>
    <row r="50" spans="1:8" ht="47.25" x14ac:dyDescent="0.2">
      <c r="A50" s="82" t="s">
        <v>71</v>
      </c>
      <c r="B50" s="55" t="s">
        <v>81</v>
      </c>
      <c r="C50" s="55" t="s">
        <v>83</v>
      </c>
      <c r="D50" s="55" t="s">
        <v>84</v>
      </c>
      <c r="E50" s="55" t="s">
        <v>82</v>
      </c>
      <c r="F50" s="52" t="s">
        <v>48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72</v>
      </c>
      <c r="B52" s="49" t="s">
        <v>85</v>
      </c>
      <c r="C52" s="49" t="s">
        <v>86</v>
      </c>
      <c r="D52" s="49" t="s">
        <v>108</v>
      </c>
      <c r="E52" s="49" t="s">
        <v>90</v>
      </c>
      <c r="F52" s="52" t="s">
        <v>48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0.875</v>
      </c>
    </row>
    <row r="55" spans="1:8" ht="15.75" x14ac:dyDescent="0.25">
      <c r="A55" s="57"/>
      <c r="B55" s="57"/>
      <c r="C55" s="57"/>
      <c r="D55" s="57"/>
      <c r="E55" s="57"/>
      <c r="F55" s="78"/>
    </row>
    <row r="56" spans="1:8" ht="15.75" x14ac:dyDescent="0.25">
      <c r="A56" s="57"/>
      <c r="B56" s="57"/>
      <c r="C56" s="57"/>
      <c r="D56" s="57"/>
      <c r="E56" s="57"/>
      <c r="F56" s="78"/>
    </row>
    <row r="57" spans="1:8" ht="15.75" x14ac:dyDescent="0.25">
      <c r="A57" s="57"/>
      <c r="B57" s="57"/>
      <c r="C57" s="57"/>
      <c r="D57" s="57"/>
      <c r="E57" s="57"/>
      <c r="F57" s="58"/>
    </row>
    <row r="58" spans="1:8" ht="15.75" x14ac:dyDescent="0.25">
      <c r="A58" s="79" t="s">
        <v>1</v>
      </c>
      <c r="B58" s="80"/>
      <c r="C58" s="80"/>
      <c r="D58" s="80"/>
      <c r="E58" s="80"/>
      <c r="F58" s="81"/>
    </row>
    <row r="59" spans="1:8" ht="15.75" x14ac:dyDescent="0.25">
      <c r="A59" s="83" t="s">
        <v>91</v>
      </c>
      <c r="B59" s="84"/>
      <c r="C59" s="84"/>
      <c r="D59" s="85"/>
      <c r="E59" s="59">
        <v>2.95</v>
      </c>
      <c r="F59" s="60">
        <f>IF(E59&lt;2.101,-0.1*(2.1-E59),IF(E59&gt;3,-0.5*(E59-3),0))</f>
        <v>0</v>
      </c>
      <c r="H59" s="2"/>
    </row>
    <row r="60" spans="1:8" ht="15.75" x14ac:dyDescent="0.25">
      <c r="A60" s="83" t="s">
        <v>92</v>
      </c>
      <c r="B60" s="84"/>
      <c r="C60" s="84"/>
      <c r="D60" s="85"/>
      <c r="E60" s="45">
        <v>0.51200000000000001</v>
      </c>
      <c r="F60" s="61">
        <f>-0.3*(0.55-E60)</f>
        <v>-1.1400000000000009E-2</v>
      </c>
    </row>
    <row r="61" spans="1:8" ht="15.75" x14ac:dyDescent="0.25">
      <c r="A61" s="83" t="s">
        <v>191</v>
      </c>
      <c r="B61" s="84"/>
      <c r="C61" s="84"/>
      <c r="D61" s="85"/>
      <c r="E61" s="45">
        <v>0.89900000000000002</v>
      </c>
      <c r="F61" s="61">
        <f>-0.75*(0.5-E61)</f>
        <v>0.29925000000000002</v>
      </c>
    </row>
    <row r="62" spans="1:8" ht="15.75" x14ac:dyDescent="0.25">
      <c r="A62" s="83" t="s">
        <v>3</v>
      </c>
      <c r="B62" s="84"/>
      <c r="C62" s="84"/>
      <c r="D62" s="85"/>
      <c r="E62" s="47">
        <v>5</v>
      </c>
      <c r="F62" s="62">
        <f>IF(E62&lt;5.01,0.5*(5-E62),-0.075*(E62-5))</f>
        <v>0</v>
      </c>
    </row>
    <row r="63" spans="1:8" ht="15.75" x14ac:dyDescent="0.25">
      <c r="A63" s="83" t="s">
        <v>93</v>
      </c>
      <c r="B63" s="84"/>
      <c r="C63" s="84"/>
      <c r="D63" s="84"/>
      <c r="E63" s="85"/>
      <c r="F63" s="61">
        <f>SUM(F59:F62)/4</f>
        <v>7.1962499999999999E-2</v>
      </c>
    </row>
    <row r="64" spans="1:8" ht="15.75" x14ac:dyDescent="0.25">
      <c r="A64" s="57"/>
      <c r="B64" s="57"/>
      <c r="C64" s="57"/>
      <c r="D64" s="57"/>
      <c r="E64" s="57"/>
      <c r="F64" s="63"/>
    </row>
    <row r="65" spans="1:6" ht="15.75" x14ac:dyDescent="0.25">
      <c r="A65" s="91" t="s">
        <v>96</v>
      </c>
      <c r="B65" s="91"/>
      <c r="C65" s="91"/>
      <c r="D65" s="91"/>
      <c r="E65" s="91"/>
      <c r="F65" s="91"/>
    </row>
    <row r="66" spans="1:6" ht="15.75" x14ac:dyDescent="0.25">
      <c r="A66" s="83" t="s">
        <v>94</v>
      </c>
      <c r="B66" s="84"/>
      <c r="C66" s="84"/>
      <c r="D66" s="84"/>
      <c r="E66" s="85"/>
      <c r="F66" s="64">
        <f>(F54*0.7)*(1+F63)/85</f>
        <v>7.7244356617647046E-3</v>
      </c>
    </row>
    <row r="67" spans="1:6" ht="15.75" x14ac:dyDescent="0.25">
      <c r="A67" s="83" t="s">
        <v>95</v>
      </c>
      <c r="B67" s="84"/>
      <c r="C67" s="84"/>
      <c r="D67" s="84"/>
      <c r="E67" s="85"/>
      <c r="F67" s="64">
        <f>$F$54*(1+$F$63)/92</f>
        <v>1.0195295516304348E-2</v>
      </c>
    </row>
    <row r="68" spans="1:6" ht="15.75" x14ac:dyDescent="0.25">
      <c r="A68" s="83" t="s">
        <v>9</v>
      </c>
      <c r="B68" s="84"/>
      <c r="C68" s="84"/>
      <c r="D68" s="84"/>
      <c r="E68" s="85"/>
      <c r="F68" s="64">
        <f>$F$54*(1+$F$63)/76</f>
        <v>1.2341673519736841E-2</v>
      </c>
    </row>
    <row r="69" spans="1:6" x14ac:dyDescent="0.2">
      <c r="A69" s="34"/>
      <c r="B69" s="34"/>
      <c r="C69" s="34"/>
      <c r="D69" s="34"/>
      <c r="E69" s="34"/>
      <c r="F69" s="34"/>
    </row>
    <row r="70" spans="1:6" ht="15.75" x14ac:dyDescent="0.25">
      <c r="A70" s="79" t="s">
        <v>101</v>
      </c>
      <c r="B70" s="80"/>
      <c r="C70" s="80"/>
      <c r="D70" s="81"/>
      <c r="E70" s="57"/>
      <c r="F70" s="58"/>
    </row>
    <row r="71" spans="1:6" ht="15.75" x14ac:dyDescent="0.25">
      <c r="A71" s="65" t="s">
        <v>97</v>
      </c>
      <c r="B71" s="65" t="s">
        <v>98</v>
      </c>
      <c r="C71" s="65" t="s">
        <v>99</v>
      </c>
      <c r="D71" s="65" t="s">
        <v>100</v>
      </c>
      <c r="E71" s="57"/>
      <c r="F71" s="58"/>
    </row>
    <row r="72" spans="1:6" ht="15.75" x14ac:dyDescent="0.25">
      <c r="A72" s="50">
        <v>20000</v>
      </c>
      <c r="B72" s="66">
        <v>0</v>
      </c>
      <c r="C72" s="66">
        <v>0</v>
      </c>
      <c r="D72" s="66">
        <v>0</v>
      </c>
      <c r="E72" s="57"/>
      <c r="F72" s="58"/>
    </row>
    <row r="73" spans="1:6" x14ac:dyDescent="0.2">
      <c r="A73" s="34"/>
      <c r="B73" s="34"/>
      <c r="C73" s="34"/>
      <c r="D73" s="34"/>
      <c r="E73" s="34"/>
      <c r="F73" s="34"/>
    </row>
    <row r="74" spans="1:6" ht="15.75" x14ac:dyDescent="0.25">
      <c r="A74" s="79" t="s">
        <v>102</v>
      </c>
      <c r="B74" s="80"/>
      <c r="C74" s="80"/>
      <c r="D74" s="80"/>
      <c r="E74" s="80"/>
      <c r="F74" s="81"/>
    </row>
    <row r="75" spans="1:6" ht="15.75" x14ac:dyDescent="0.25">
      <c r="A75" s="67"/>
      <c r="B75" s="67" t="s">
        <v>7</v>
      </c>
      <c r="C75" s="67" t="s">
        <v>8</v>
      </c>
      <c r="D75" s="67" t="s">
        <v>4</v>
      </c>
      <c r="E75" s="67" t="s">
        <v>5</v>
      </c>
      <c r="F75" s="67" t="s">
        <v>6</v>
      </c>
    </row>
    <row r="76" spans="1:6" ht="15.75" x14ac:dyDescent="0.25">
      <c r="A76" s="35" t="s">
        <v>103</v>
      </c>
      <c r="B76" s="68">
        <f>F66*A72*330</f>
        <v>50981.275367647046</v>
      </c>
      <c r="C76" s="68">
        <f>F67*A72*330</f>
        <v>67288.950407608703</v>
      </c>
      <c r="D76" s="68">
        <f>($F$54*(1+$F$63))/85*($A$72*(1+B$72))*330</f>
        <v>72830.393382352937</v>
      </c>
      <c r="E76" s="68">
        <f>($F$54*(1+$F$63))/82*($A$72*(1+C$72))*330</f>
        <v>75494.919969512193</v>
      </c>
      <c r="F76" s="68">
        <f>F68*(A72*(1+D72)*330)</f>
        <v>81455.045230263146</v>
      </c>
    </row>
    <row r="77" spans="1:6" ht="15.75" x14ac:dyDescent="0.25">
      <c r="A77" s="35" t="s">
        <v>104</v>
      </c>
      <c r="B77" s="68">
        <f>B76/12</f>
        <v>4248.4396139705868</v>
      </c>
      <c r="C77" s="68">
        <f>C76/12</f>
        <v>5607.4125339673919</v>
      </c>
      <c r="D77" s="68">
        <f t="shared" ref="D77:F77" si="0">D76/12</f>
        <v>6069.1994485294117</v>
      </c>
      <c r="E77" s="68">
        <f t="shared" si="0"/>
        <v>6291.2433307926831</v>
      </c>
      <c r="F77" s="68">
        <f t="shared" si="0"/>
        <v>6787.9204358552624</v>
      </c>
    </row>
    <row r="78" spans="1:6" ht="15.75" x14ac:dyDescent="0.25">
      <c r="A78" s="35" t="s">
        <v>105</v>
      </c>
      <c r="B78" s="68">
        <f>B77/4.5/7*3</f>
        <v>404.61329656862733</v>
      </c>
      <c r="C78" s="68">
        <f t="shared" ref="C78:F78" si="1">C77/4.5/7*3</f>
        <v>534.03928894927537</v>
      </c>
      <c r="D78" s="68">
        <f t="shared" si="1"/>
        <v>578.01899509803911</v>
      </c>
      <c r="E78" s="68">
        <f t="shared" si="1"/>
        <v>599.16603150406502</v>
      </c>
      <c r="F78" s="68">
        <f t="shared" si="1"/>
        <v>646.46861293859638</v>
      </c>
    </row>
    <row r="79" spans="1:6" ht="15.75" x14ac:dyDescent="0.25">
      <c r="A79" s="35" t="s">
        <v>106</v>
      </c>
      <c r="B79" s="68">
        <f>IFERROR((B78/$B9*1.3),0)</f>
        <v>43.833107128267962</v>
      </c>
      <c r="C79" s="68">
        <f>IFERROR((C78/$B9*1.3),0)</f>
        <v>57.854256302838174</v>
      </c>
      <c r="D79" s="68">
        <f>IFERROR((D78/$B9*1.3),0)</f>
        <v>62.618724468954241</v>
      </c>
      <c r="E79" s="68">
        <f>IFERROR((E78/$B9*1.3),0)</f>
        <v>64.909653412940386</v>
      </c>
      <c r="F79" s="68">
        <f>IFERROR((F78/$B9*1.3),0)</f>
        <v>70.034099735014607</v>
      </c>
    </row>
    <row r="80" spans="1:6" x14ac:dyDescent="0.2">
      <c r="A80" s="34"/>
      <c r="B80" s="34"/>
      <c r="C80" s="34"/>
      <c r="D80" s="34"/>
      <c r="E80" s="34"/>
      <c r="F80" s="34"/>
    </row>
    <row r="81" spans="1:6" ht="15.75" x14ac:dyDescent="0.25">
      <c r="A81" s="89" t="s">
        <v>2</v>
      </c>
      <c r="B81" s="89"/>
      <c r="C81" s="89"/>
      <c r="D81" s="89"/>
      <c r="E81" s="89"/>
      <c r="F81" s="89"/>
    </row>
    <row r="82" spans="1:6" ht="31.5" x14ac:dyDescent="0.2">
      <c r="A82" s="69" t="s">
        <v>109</v>
      </c>
      <c r="B82" s="38" t="s">
        <v>110</v>
      </c>
      <c r="C82" s="38" t="s">
        <v>111</v>
      </c>
      <c r="D82" s="38" t="s">
        <v>112</v>
      </c>
      <c r="E82" s="38" t="s">
        <v>113</v>
      </c>
      <c r="F82" s="38" t="s">
        <v>114</v>
      </c>
    </row>
    <row r="83" spans="1:6" ht="15.75" x14ac:dyDescent="0.25">
      <c r="A83" s="35" t="s">
        <v>116</v>
      </c>
      <c r="B83" s="47"/>
      <c r="C83" s="70">
        <v>0.2</v>
      </c>
      <c r="D83" s="64">
        <f>1-C83</f>
        <v>0.8</v>
      </c>
      <c r="E83" s="71">
        <f>C83*B83</f>
        <v>0</v>
      </c>
      <c r="F83" s="71">
        <f>D83*B83</f>
        <v>0</v>
      </c>
    </row>
    <row r="84" spans="1:6" ht="15.75" x14ac:dyDescent="0.2">
      <c r="A84" s="72" t="s">
        <v>118</v>
      </c>
      <c r="B84" s="47"/>
      <c r="C84" s="70">
        <v>0.2</v>
      </c>
      <c r="D84" s="64">
        <f t="shared" ref="D84:D87" si="2">1-C84</f>
        <v>0.8</v>
      </c>
      <c r="E84" s="71">
        <f t="shared" ref="E84:E87" si="3">C84*B84</f>
        <v>0</v>
      </c>
      <c r="F84" s="71">
        <f t="shared" ref="F84:F87" si="4">D84*B84</f>
        <v>0</v>
      </c>
    </row>
    <row r="85" spans="1:6" ht="15.75" x14ac:dyDescent="0.25">
      <c r="A85" s="35" t="s">
        <v>115</v>
      </c>
      <c r="B85" s="47"/>
      <c r="C85" s="70">
        <v>0.2</v>
      </c>
      <c r="D85" s="64">
        <f t="shared" si="2"/>
        <v>0.8</v>
      </c>
      <c r="E85" s="71">
        <f t="shared" si="3"/>
        <v>0</v>
      </c>
      <c r="F85" s="71">
        <f t="shared" si="4"/>
        <v>0</v>
      </c>
    </row>
    <row r="86" spans="1:6" ht="15.75" x14ac:dyDescent="0.25">
      <c r="A86" s="35" t="s">
        <v>117</v>
      </c>
      <c r="B86" s="47"/>
      <c r="C86" s="70">
        <v>0.2</v>
      </c>
      <c r="D86" s="64">
        <f t="shared" si="2"/>
        <v>0.8</v>
      </c>
      <c r="E86" s="71">
        <f t="shared" si="3"/>
        <v>0</v>
      </c>
      <c r="F86" s="71">
        <f t="shared" si="4"/>
        <v>0</v>
      </c>
    </row>
    <row r="87" spans="1:6" ht="15.75" x14ac:dyDescent="0.25">
      <c r="A87" s="73" t="s">
        <v>157</v>
      </c>
      <c r="B87" s="47"/>
      <c r="C87" s="70">
        <v>0.2</v>
      </c>
      <c r="D87" s="64">
        <f t="shared" si="2"/>
        <v>0.8</v>
      </c>
      <c r="E87" s="71">
        <f t="shared" si="3"/>
        <v>0</v>
      </c>
      <c r="F87" s="71">
        <f t="shared" si="4"/>
        <v>0</v>
      </c>
    </row>
    <row r="88" spans="1:6" ht="15.75" x14ac:dyDescent="0.2">
      <c r="A88" s="72" t="s">
        <v>158</v>
      </c>
      <c r="B88" s="74">
        <f>SUM(B83:B87)</f>
        <v>0</v>
      </c>
      <c r="C88" s="75">
        <f>IFERROR((E88/B88),0)</f>
        <v>0</v>
      </c>
      <c r="D88" s="64">
        <f>IFERROR((F88/B88),0)</f>
        <v>0</v>
      </c>
      <c r="E88" s="71">
        <f>SUM(E83:E87)</f>
        <v>0</v>
      </c>
      <c r="F88" s="71">
        <f>SUM(F83:F87)</f>
        <v>0</v>
      </c>
    </row>
    <row r="89" spans="1:6" ht="15.75" x14ac:dyDescent="0.25">
      <c r="A89" s="79" t="s">
        <v>119</v>
      </c>
      <c r="B89" s="80"/>
      <c r="C89" s="80"/>
      <c r="D89" s="80"/>
      <c r="E89" s="80"/>
      <c r="F89" s="81"/>
    </row>
    <row r="90" spans="1:6" ht="31.5" x14ac:dyDescent="0.2">
      <c r="A90" s="69" t="s">
        <v>109</v>
      </c>
      <c r="B90" s="38" t="s">
        <v>114</v>
      </c>
      <c r="C90" s="38" t="s">
        <v>125</v>
      </c>
      <c r="D90" s="38" t="s">
        <v>126</v>
      </c>
      <c r="E90" s="38"/>
      <c r="F90" s="38" t="s">
        <v>124</v>
      </c>
    </row>
    <row r="91" spans="1:6" ht="15.75" x14ac:dyDescent="0.25">
      <c r="A91" s="35" t="s">
        <v>116</v>
      </c>
      <c r="B91" s="76">
        <f>F83</f>
        <v>0</v>
      </c>
      <c r="C91" s="77">
        <v>5.5E-2</v>
      </c>
      <c r="D91" s="40">
        <v>240</v>
      </c>
      <c r="E91" s="60"/>
      <c r="F91" s="71">
        <f>IFERROR(PMT(C91/12,(D91),B91)*-1,0)</f>
        <v>0</v>
      </c>
    </row>
    <row r="92" spans="1:6" ht="15.75" x14ac:dyDescent="0.2">
      <c r="A92" s="72" t="s">
        <v>118</v>
      </c>
      <c r="B92" s="76">
        <f t="shared" ref="B92:B95" si="5">F84</f>
        <v>0</v>
      </c>
      <c r="C92" s="77">
        <v>5.5E-2</v>
      </c>
      <c r="D92" s="40">
        <v>240</v>
      </c>
      <c r="E92" s="60"/>
      <c r="F92" s="71">
        <f t="shared" ref="F92:F95" si="6">IFERROR(PMT(C92/12,(D92),B92)*-1,0)</f>
        <v>0</v>
      </c>
    </row>
    <row r="93" spans="1:6" ht="15.75" x14ac:dyDescent="0.25">
      <c r="A93" s="35" t="s">
        <v>115</v>
      </c>
      <c r="B93" s="76">
        <f t="shared" si="5"/>
        <v>0</v>
      </c>
      <c r="C93" s="77">
        <v>5.5E-2</v>
      </c>
      <c r="D93" s="40">
        <v>240</v>
      </c>
      <c r="E93" s="60"/>
      <c r="F93" s="71">
        <f t="shared" si="6"/>
        <v>0</v>
      </c>
    </row>
    <row r="94" spans="1:6" ht="15.75" x14ac:dyDescent="0.25">
      <c r="A94" s="35" t="s">
        <v>117</v>
      </c>
      <c r="B94" s="76">
        <f t="shared" si="5"/>
        <v>0</v>
      </c>
      <c r="C94" s="77">
        <v>5.5E-2</v>
      </c>
      <c r="D94" s="40">
        <v>240</v>
      </c>
      <c r="E94" s="60"/>
      <c r="F94" s="71">
        <f t="shared" si="6"/>
        <v>0</v>
      </c>
    </row>
    <row r="95" spans="1:6" ht="15.75" x14ac:dyDescent="0.25">
      <c r="A95" s="73" t="s">
        <v>157</v>
      </c>
      <c r="B95" s="76">
        <f t="shared" si="5"/>
        <v>0</v>
      </c>
      <c r="C95" s="77">
        <v>5.5E-2</v>
      </c>
      <c r="D95" s="40">
        <v>240</v>
      </c>
      <c r="E95" s="60"/>
      <c r="F95" s="71">
        <f t="shared" si="6"/>
        <v>0</v>
      </c>
    </row>
    <row r="96" spans="1:6" ht="15.75" x14ac:dyDescent="0.2">
      <c r="A96" s="72" t="s">
        <v>158</v>
      </c>
      <c r="B96" s="76">
        <f>SUM(B91:B95)</f>
        <v>0</v>
      </c>
      <c r="C96" s="60"/>
      <c r="D96" s="60"/>
      <c r="E96" s="60"/>
      <c r="F96" s="71">
        <f>SUM(F91:F95)</f>
        <v>0</v>
      </c>
    </row>
    <row r="97" spans="1:8" ht="15.75" x14ac:dyDescent="0.25">
      <c r="A97" s="79" t="s">
        <v>121</v>
      </c>
      <c r="B97" s="80"/>
      <c r="C97" s="80"/>
      <c r="D97" s="80"/>
      <c r="E97" s="80"/>
      <c r="F97" s="81"/>
    </row>
    <row r="98" spans="1:8" ht="15.75" x14ac:dyDescent="0.25">
      <c r="A98" s="92" t="s">
        <v>122</v>
      </c>
      <c r="B98" s="93"/>
      <c r="C98" s="93"/>
      <c r="D98" s="94"/>
      <c r="E98" s="98" t="s">
        <v>124</v>
      </c>
      <c r="F98" s="99"/>
    </row>
    <row r="99" spans="1:8" ht="15.75" x14ac:dyDescent="0.25">
      <c r="A99" s="95" t="s">
        <v>115</v>
      </c>
      <c r="B99" s="96"/>
      <c r="C99" s="96"/>
      <c r="D99" s="97"/>
      <c r="E99" s="100">
        <v>0</v>
      </c>
      <c r="F99" s="101"/>
    </row>
    <row r="100" spans="1:8" ht="15.75" x14ac:dyDescent="0.25">
      <c r="A100" s="95" t="s">
        <v>116</v>
      </c>
      <c r="B100" s="96"/>
      <c r="C100" s="96"/>
      <c r="D100" s="97"/>
      <c r="E100" s="100">
        <v>0</v>
      </c>
      <c r="F100" s="101"/>
    </row>
    <row r="101" spans="1:8" ht="15.75" x14ac:dyDescent="0.25">
      <c r="A101" s="95" t="s">
        <v>118</v>
      </c>
      <c r="B101" s="96"/>
      <c r="C101" s="96"/>
      <c r="D101" s="97"/>
      <c r="E101" s="100">
        <v>0</v>
      </c>
      <c r="F101" s="101"/>
      <c r="H101" s="6"/>
    </row>
    <row r="102" spans="1:8" ht="15.75" x14ac:dyDescent="0.25">
      <c r="A102" s="95" t="s">
        <v>123</v>
      </c>
      <c r="B102" s="96"/>
      <c r="C102" s="96"/>
      <c r="D102" s="97"/>
      <c r="E102" s="102">
        <f>SUM(E99:F101)</f>
        <v>0</v>
      </c>
      <c r="F102" s="103"/>
    </row>
    <row r="105" spans="1:8" x14ac:dyDescent="0.2">
      <c r="F105" s="6"/>
    </row>
  </sheetData>
  <sheetProtection algorithmName="SHA-512" hashValue="LJnQcN05gZs3C/0RjttIUEeOcOO7VDeDoAa6U1preq6qUnckzvj0jp2Ixz/ftNiXaOLt2WEj4vizChgWPfQ71Q==" saltValue="DD8BHehWnC6f1hJGcXRYNw==" spinCount="100000" sheet="1" objects="1" scenarios="1"/>
  <protectedRanges>
    <protectedRange sqref="B2:D6 A9:B9 B13:D15 B19:D23 B28 B27:E31 B35:E35 B37:E37 B39:E39 B41:E41 B43:E43 B45:E45 B47:E47 B49:E49 B51:E51 B53:E53 E59:E62 A72:D72 B83:C87 C91:D95 E99:F101" name="Range1"/>
  </protectedRanges>
  <mergeCells count="46">
    <mergeCell ref="A102:D102"/>
    <mergeCell ref="E98:F98"/>
    <mergeCell ref="E99:F99"/>
    <mergeCell ref="E100:F100"/>
    <mergeCell ref="E101:F101"/>
    <mergeCell ref="E102:F102"/>
    <mergeCell ref="A81:F81"/>
    <mergeCell ref="A98:D98"/>
    <mergeCell ref="A99:D99"/>
    <mergeCell ref="A100:D100"/>
    <mergeCell ref="A101:D101"/>
    <mergeCell ref="A89:F89"/>
    <mergeCell ref="A97:F97"/>
    <mergeCell ref="A65:F65"/>
    <mergeCell ref="A58:F58"/>
    <mergeCell ref="A60:D60"/>
    <mergeCell ref="A59:D59"/>
    <mergeCell ref="A61:D61"/>
    <mergeCell ref="A62:D62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4:F74"/>
    <mergeCell ref="A70:D70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3:E63"/>
    <mergeCell ref="A66:E66"/>
    <mergeCell ref="A67:E67"/>
    <mergeCell ref="A68:E68"/>
  </mergeCells>
  <pageMargins left="0.25" right="0.25" top="0.5" bottom="0.5" header="0.3" footer="0.3"/>
  <pageSetup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16" zoomScale="85" zoomScaleNormal="100" zoomScalePageLayoutView="85" workbookViewId="0">
      <selection activeCell="N40" sqref="N40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16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17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David Healy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Seaford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3470 Merrick Rd.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Seaford, NY 11783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15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182</v>
      </c>
      <c r="D56" s="119"/>
      <c r="E56" s="153" t="str">
        <f>CustomerName</f>
        <v>David Healy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183</v>
      </c>
      <c r="D57" s="121"/>
      <c r="E57" s="153" t="str">
        <f>CompanyName</f>
        <v>Seaford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127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3470 Merrick Rd.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Seaford, NY 11783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128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153</v>
      </c>
      <c r="C64" s="110"/>
      <c r="D64" s="110"/>
      <c r="E64" s="110"/>
      <c r="F64" s="110"/>
      <c r="G64" s="110"/>
      <c r="H64" s="110"/>
      <c r="I64" s="17" t="s">
        <v>129</v>
      </c>
      <c r="J64" s="17" t="s">
        <v>165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Form'!F96+'Input Form'!E102+'Pro Forma'!I83+'Pro Forma'!I84+'Pro Forma'!I89)/('Pro Forma'!J77*(1-('Pro Forma'!G80+'Pro Forma'!G81+'Pro Forma'!G82+'Pro Forma'!G85+'Pro Forma'!G86+'Pro Forma'!G87+'Pro Forma'!G88+'Pro Forma'!G90+'Pro Forma'!G91)))),0)</f>
        <v>1978.1957053316073</v>
      </c>
      <c r="J65" s="18">
        <f>'Input Form'!B77</f>
        <v>4248.4396139705868</v>
      </c>
      <c r="K65" s="10"/>
    </row>
    <row r="66" spans="1:15" ht="18.75" x14ac:dyDescent="0.3">
      <c r="A66" s="10"/>
      <c r="B66" s="112" t="s">
        <v>154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134</v>
      </c>
      <c r="C67" s="118"/>
      <c r="D67" s="118"/>
      <c r="E67" s="118"/>
      <c r="F67" s="137" t="s">
        <v>133</v>
      </c>
      <c r="G67" s="114" t="s">
        <v>132</v>
      </c>
      <c r="H67" s="115"/>
      <c r="I67" s="113" t="s">
        <v>131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129</v>
      </c>
      <c r="J68" s="17" t="s">
        <v>165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4450.9403369961165</v>
      </c>
      <c r="J69" s="20">
        <f>J$65*F69*G69</f>
        <v>9558.9891314338201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2967.293557997411</v>
      </c>
      <c r="J70" s="20">
        <f t="shared" ref="J70:J73" si="0">J$65*F70*G70</f>
        <v>6372.6594209558798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4450.9403369961165</v>
      </c>
      <c r="J71" s="20">
        <f t="shared" si="0"/>
        <v>9558.9891314338201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7912.7828213264293</v>
      </c>
      <c r="J72" s="20">
        <f t="shared" si="0"/>
        <v>16993.758455882347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2472.7446316645091</v>
      </c>
      <c r="J73" s="20">
        <f t="shared" si="0"/>
        <v>5310.5495174632342</v>
      </c>
      <c r="K73" s="10"/>
    </row>
    <row r="74" spans="1:15" x14ac:dyDescent="0.2">
      <c r="A74" s="10"/>
      <c r="B74" s="135" t="s">
        <v>135</v>
      </c>
      <c r="C74" s="135"/>
      <c r="D74" s="135"/>
      <c r="E74" s="135"/>
      <c r="F74" s="135"/>
      <c r="G74" s="135"/>
      <c r="H74" s="135"/>
      <c r="I74" s="20">
        <f>SUM(I69:I73)</f>
        <v>22254.70168498058</v>
      </c>
      <c r="J74" s="20">
        <f>SUM(J69:J73)</f>
        <v>47794.945657169097</v>
      </c>
      <c r="K74" s="10"/>
      <c r="O74" s="5"/>
    </row>
    <row r="75" spans="1:15" x14ac:dyDescent="0.2">
      <c r="A75" s="10"/>
      <c r="B75" s="132" t="s">
        <v>136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-400.58463032965045</v>
      </c>
      <c r="J75" s="20">
        <f>-(J74*$F75*$G75)</f>
        <v>-860.30902182904367</v>
      </c>
      <c r="K75" s="10"/>
      <c r="L75" s="7"/>
    </row>
    <row r="76" spans="1:15" x14ac:dyDescent="0.2">
      <c r="A76" s="10"/>
      <c r="B76" s="135" t="s">
        <v>137</v>
      </c>
      <c r="C76" s="135"/>
      <c r="D76" s="135"/>
      <c r="E76" s="135"/>
      <c r="F76" s="135"/>
      <c r="G76" s="135"/>
      <c r="H76" s="135"/>
      <c r="I76" s="20">
        <f>SUM(I74:I75)</f>
        <v>21854.117054650931</v>
      </c>
      <c r="J76" s="20">
        <f>SUM(J74:J75)</f>
        <v>46934.636635340052</v>
      </c>
      <c r="K76" s="10"/>
      <c r="L76" s="5"/>
      <c r="N76" s="8"/>
    </row>
    <row r="77" spans="1:15" x14ac:dyDescent="0.2">
      <c r="A77" s="10"/>
      <c r="B77" s="135" t="s">
        <v>152</v>
      </c>
      <c r="C77" s="135"/>
      <c r="D77" s="135"/>
      <c r="E77" s="135"/>
      <c r="F77" s="135"/>
      <c r="G77" s="135"/>
      <c r="H77" s="135"/>
      <c r="I77" s="20">
        <f>IFERROR((I76/I65),0)</f>
        <v>11.047499999999999</v>
      </c>
      <c r="J77" s="22">
        <f>J76/(J65+0.000000001)</f>
        <v>11.047499999997397</v>
      </c>
      <c r="K77" s="10"/>
      <c r="M77" s="5"/>
      <c r="N77" s="7"/>
    </row>
    <row r="78" spans="1:15" ht="18.75" x14ac:dyDescent="0.3">
      <c r="A78" s="10"/>
      <c r="B78" s="112" t="s">
        <v>155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138</v>
      </c>
      <c r="C79" s="119"/>
      <c r="D79" s="119"/>
      <c r="E79" s="119"/>
      <c r="F79" s="119"/>
      <c r="G79" s="113" t="s">
        <v>139</v>
      </c>
      <c r="H79" s="113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32" t="s">
        <v>142</v>
      </c>
      <c r="C80" s="133"/>
      <c r="D80" s="133"/>
      <c r="E80" s="133"/>
      <c r="F80" s="134"/>
      <c r="G80" s="128">
        <v>0.03</v>
      </c>
      <c r="H80" s="129"/>
      <c r="I80" s="20">
        <f>$G80*I76</f>
        <v>655.62351163952792</v>
      </c>
      <c r="J80" s="20">
        <f>$G80*J76</f>
        <v>1408.0390990602016</v>
      </c>
      <c r="K80" s="10"/>
    </row>
    <row r="81" spans="1:12" x14ac:dyDescent="0.2">
      <c r="A81" s="10"/>
      <c r="B81" s="132" t="s">
        <v>140</v>
      </c>
      <c r="C81" s="133"/>
      <c r="D81" s="133"/>
      <c r="E81" s="133"/>
      <c r="F81" s="134"/>
      <c r="G81" s="130">
        <f>IFERROR((J81/J74),0)</f>
        <v>6.2415999999999992E-2</v>
      </c>
      <c r="H81" s="131"/>
      <c r="I81" s="20">
        <f>G81*I76</f>
        <v>1364.0465700830923</v>
      </c>
      <c r="J81" s="20">
        <f>('Input Form'!B77*'Input Form'!D19*'Input Form'!C19)+('Input Form'!B77*'Input Form'!C20*'Input Form'!D20)+('Input Form'!B77*'Input Form'!C21*'Input Form'!D21)+('Input Form'!B77*'Input Form'!C22*'Input Form'!D22)+('Input Form'!B77*'Input Form'!C23*'Input Form'!D23)</f>
        <v>2983.1693281378662</v>
      </c>
      <c r="K81" s="10"/>
    </row>
    <row r="82" spans="1:12" x14ac:dyDescent="0.2">
      <c r="A82" s="10"/>
      <c r="B82" s="132" t="s">
        <v>143</v>
      </c>
      <c r="C82" s="133"/>
      <c r="D82" s="133"/>
      <c r="E82" s="133"/>
      <c r="F82" s="134"/>
      <c r="G82" s="128">
        <v>0.01</v>
      </c>
      <c r="H82" s="129"/>
      <c r="I82" s="20">
        <f>$G82*I76</f>
        <v>218.54117054650931</v>
      </c>
      <c r="J82" s="20">
        <f>$G82*J76</f>
        <v>469.34636635340053</v>
      </c>
      <c r="K82" s="10"/>
    </row>
    <row r="83" spans="1:12" x14ac:dyDescent="0.2">
      <c r="A83" s="10"/>
      <c r="B83" s="132" t="s">
        <v>149</v>
      </c>
      <c r="C83" s="133"/>
      <c r="D83" s="133"/>
      <c r="E83" s="133"/>
      <c r="F83" s="134"/>
      <c r="G83" s="130">
        <f>IFERROR((I83/I74),0)</f>
        <v>4.4934325076794332E-2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22</v>
      </c>
      <c r="C84" s="133"/>
      <c r="D84" s="133"/>
      <c r="E84" s="133"/>
      <c r="F84" s="134"/>
      <c r="G84" s="130">
        <f>IFERROR((I84/I74),0)</f>
        <v>0.61405451276944067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2" t="s">
        <v>144</v>
      </c>
      <c r="C85" s="133"/>
      <c r="D85" s="133"/>
      <c r="E85" s="133"/>
      <c r="F85" s="134"/>
      <c r="G85" s="128">
        <v>0.01</v>
      </c>
      <c r="H85" s="129"/>
      <c r="I85" s="20">
        <f>$G85*I76</f>
        <v>218.54117054650931</v>
      </c>
      <c r="J85" s="20">
        <f>$G85*J76</f>
        <v>469.34636635340053</v>
      </c>
      <c r="K85" s="10"/>
    </row>
    <row r="86" spans="1:12" x14ac:dyDescent="0.2">
      <c r="A86" s="10"/>
      <c r="B86" s="132" t="s">
        <v>145</v>
      </c>
      <c r="C86" s="133"/>
      <c r="D86" s="133"/>
      <c r="E86" s="133"/>
      <c r="F86" s="134"/>
      <c r="G86" s="128">
        <v>0.01</v>
      </c>
      <c r="H86" s="129"/>
      <c r="I86" s="20">
        <f>$G86*I76</f>
        <v>218.54117054650931</v>
      </c>
      <c r="J86" s="20">
        <f>$G86*J76</f>
        <v>469.34636635340053</v>
      </c>
      <c r="K86" s="10"/>
    </row>
    <row r="87" spans="1:12" x14ac:dyDescent="0.2">
      <c r="A87" s="10"/>
      <c r="B87" s="132" t="s">
        <v>147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327.81175581976396</v>
      </c>
      <c r="J87" s="20">
        <f>$G87*J76</f>
        <v>704.01954953010079</v>
      </c>
      <c r="K87" s="10"/>
    </row>
    <row r="88" spans="1:12" x14ac:dyDescent="0.2">
      <c r="A88" s="10"/>
      <c r="B88" s="132" t="s">
        <v>150</v>
      </c>
      <c r="C88" s="133"/>
      <c r="D88" s="133"/>
      <c r="E88" s="133"/>
      <c r="F88" s="134"/>
      <c r="G88" s="128">
        <v>0.01</v>
      </c>
      <c r="H88" s="129"/>
      <c r="I88" s="20">
        <f>$G88*I76</f>
        <v>218.54117054650931</v>
      </c>
      <c r="J88" s="20">
        <f>$G88*J76</f>
        <v>469.34636635340053</v>
      </c>
      <c r="K88" s="10"/>
    </row>
    <row r="89" spans="1:12" x14ac:dyDescent="0.2">
      <c r="A89" s="10"/>
      <c r="B89" s="132" t="s">
        <v>148</v>
      </c>
      <c r="C89" s="133"/>
      <c r="D89" s="133"/>
      <c r="E89" s="133"/>
      <c r="F89" s="134"/>
      <c r="G89" s="130">
        <f>IFERROR((I89/I74),0)</f>
        <v>8.9868650153588664E-2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146</v>
      </c>
      <c r="C90" s="133"/>
      <c r="D90" s="133"/>
      <c r="E90" s="133"/>
      <c r="F90" s="134"/>
      <c r="G90" s="128">
        <v>0.01</v>
      </c>
      <c r="H90" s="129"/>
      <c r="I90" s="20">
        <f>$G90*I76</f>
        <v>218.54117054650931</v>
      </c>
      <c r="J90" s="20">
        <f>$G90*J76</f>
        <v>469.34636635340053</v>
      </c>
      <c r="K90" s="10"/>
      <c r="L90" s="5"/>
    </row>
    <row r="91" spans="1:12" x14ac:dyDescent="0.2">
      <c r="A91" s="10"/>
      <c r="B91" s="132" t="s">
        <v>141</v>
      </c>
      <c r="C91" s="133"/>
      <c r="D91" s="133"/>
      <c r="E91" s="133"/>
      <c r="F91" s="134"/>
      <c r="G91" s="128">
        <v>0.08</v>
      </c>
      <c r="H91" s="129"/>
      <c r="I91" s="20">
        <f>$G91*I76</f>
        <v>1748.3293643720745</v>
      </c>
      <c r="J91" s="20">
        <f>$G91*J76</f>
        <v>3754.7709308272042</v>
      </c>
      <c r="K91" s="10"/>
      <c r="L91" s="5"/>
    </row>
    <row r="92" spans="1:12" x14ac:dyDescent="0.2">
      <c r="A92" s="10"/>
      <c r="B92" s="135" t="s">
        <v>151</v>
      </c>
      <c r="C92" s="135"/>
      <c r="D92" s="135"/>
      <c r="E92" s="135"/>
      <c r="F92" s="135"/>
      <c r="G92" s="135"/>
      <c r="H92" s="135"/>
      <c r="I92" s="20">
        <f>SUM(I80:I91)</f>
        <v>21854.117054647002</v>
      </c>
      <c r="J92" s="20">
        <f>SUM(J80:J91)</f>
        <v>27862.33073932238</v>
      </c>
      <c r="K92" s="10"/>
    </row>
    <row r="93" spans="1:12" x14ac:dyDescent="0.2">
      <c r="A93" s="10"/>
      <c r="B93" s="119" t="s">
        <v>190</v>
      </c>
      <c r="C93" s="119"/>
      <c r="D93" s="119"/>
      <c r="E93" s="119"/>
      <c r="F93" s="119"/>
      <c r="G93" s="119"/>
      <c r="H93" s="119"/>
      <c r="I93" s="24">
        <f>I76-I92</f>
        <v>3.92901711165905E-9</v>
      </c>
      <c r="J93" s="24">
        <f>J76-J92</f>
        <v>19072.305896017671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15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182</v>
      </c>
      <c r="D108" s="119"/>
      <c r="E108" s="153" t="str">
        <f>CustomerName</f>
        <v>David Healy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183</v>
      </c>
      <c r="D109" s="121"/>
      <c r="E109" s="153" t="str">
        <f>CompanyName</f>
        <v>Seaford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127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3470 Merrick Rd.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Seaford, NY 11783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128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109</v>
      </c>
      <c r="C116" s="157" t="s">
        <v>110</v>
      </c>
      <c r="D116" s="157"/>
      <c r="E116" s="26" t="s">
        <v>111</v>
      </c>
      <c r="F116" s="26" t="s">
        <v>112</v>
      </c>
      <c r="G116" s="157" t="s">
        <v>113</v>
      </c>
      <c r="H116" s="157"/>
      <c r="I116" s="157" t="s">
        <v>114</v>
      </c>
      <c r="J116" s="157"/>
      <c r="K116" s="10"/>
    </row>
    <row r="117" spans="1:11" x14ac:dyDescent="0.2">
      <c r="A117" s="10"/>
      <c r="B117" s="27" t="s">
        <v>116</v>
      </c>
      <c r="C117" s="156">
        <f>'Input Form'!B83</f>
        <v>0</v>
      </c>
      <c r="D117" s="140"/>
      <c r="E117" s="28">
        <f>'Input Form'!C83</f>
        <v>0.2</v>
      </c>
      <c r="F117" s="28">
        <f>'Input Form'!D83</f>
        <v>0.8</v>
      </c>
      <c r="G117" s="156">
        <f>'Input Form'!E83</f>
        <v>0</v>
      </c>
      <c r="H117" s="140"/>
      <c r="I117" s="156">
        <f>'Input Form'!F83</f>
        <v>0</v>
      </c>
      <c r="J117" s="140"/>
      <c r="K117" s="10"/>
    </row>
    <row r="118" spans="1:11" x14ac:dyDescent="0.2">
      <c r="A118" s="10"/>
      <c r="B118" s="27" t="s">
        <v>118</v>
      </c>
      <c r="C118" s="156">
        <f>'Input Form'!B84</f>
        <v>0</v>
      </c>
      <c r="D118" s="140"/>
      <c r="E118" s="28">
        <f>'Input Form'!C84</f>
        <v>0.2</v>
      </c>
      <c r="F118" s="28">
        <f>'Input Form'!D84</f>
        <v>0.8</v>
      </c>
      <c r="G118" s="156">
        <f>'Input Form'!E84</f>
        <v>0</v>
      </c>
      <c r="H118" s="140"/>
      <c r="I118" s="156">
        <f>'Input Form'!F84</f>
        <v>0</v>
      </c>
      <c r="J118" s="140"/>
      <c r="K118" s="10"/>
    </row>
    <row r="119" spans="1:11" x14ac:dyDescent="0.2">
      <c r="A119" s="10"/>
      <c r="B119" s="27" t="s">
        <v>115</v>
      </c>
      <c r="C119" s="156">
        <f>'Input Form'!B85</f>
        <v>0</v>
      </c>
      <c r="D119" s="140"/>
      <c r="E119" s="28">
        <f>'Input Form'!C85</f>
        <v>0.2</v>
      </c>
      <c r="F119" s="28">
        <f>'Input Form'!D85</f>
        <v>0.8</v>
      </c>
      <c r="G119" s="156">
        <f>'Input Form'!E85</f>
        <v>0</v>
      </c>
      <c r="H119" s="140"/>
      <c r="I119" s="156">
        <f>'Input Form'!F85</f>
        <v>0</v>
      </c>
      <c r="J119" s="140"/>
      <c r="K119" s="10"/>
    </row>
    <row r="120" spans="1:11" x14ac:dyDescent="0.2">
      <c r="A120" s="10"/>
      <c r="B120" s="27" t="s">
        <v>117</v>
      </c>
      <c r="C120" s="156">
        <f>'Input Form'!B86</f>
        <v>0</v>
      </c>
      <c r="D120" s="140"/>
      <c r="E120" s="28">
        <f>'Input Form'!C86</f>
        <v>0.2</v>
      </c>
      <c r="F120" s="28">
        <f>'Input Form'!D86</f>
        <v>0.8</v>
      </c>
      <c r="G120" s="156">
        <f>'Input Form'!E86</f>
        <v>0</v>
      </c>
      <c r="H120" s="140"/>
      <c r="I120" s="156">
        <f>'Input Form'!F86</f>
        <v>0</v>
      </c>
      <c r="J120" s="140"/>
      <c r="K120" s="10"/>
    </row>
    <row r="121" spans="1:11" x14ac:dyDescent="0.2">
      <c r="A121" s="10"/>
      <c r="B121" s="27" t="s">
        <v>157</v>
      </c>
      <c r="C121" s="156">
        <f>'Input Form'!B87</f>
        <v>0</v>
      </c>
      <c r="D121" s="140"/>
      <c r="E121" s="28">
        <f>'Input Form'!C87</f>
        <v>0.2</v>
      </c>
      <c r="F121" s="28">
        <f>'Input Form'!D87</f>
        <v>0.8</v>
      </c>
      <c r="G121" s="156">
        <f>'Input Form'!E87</f>
        <v>0</v>
      </c>
      <c r="H121" s="140"/>
      <c r="I121" s="156">
        <f>'Input Form'!F87</f>
        <v>0</v>
      </c>
      <c r="J121" s="140"/>
      <c r="K121" s="10"/>
    </row>
    <row r="122" spans="1:11" x14ac:dyDescent="0.2">
      <c r="A122" s="10"/>
      <c r="B122" s="27" t="s">
        <v>158</v>
      </c>
      <c r="C122" s="156">
        <f>'Input Form'!B88</f>
        <v>0</v>
      </c>
      <c r="D122" s="140"/>
      <c r="E122" s="28">
        <f>'Input Form'!C88</f>
        <v>0</v>
      </c>
      <c r="F122" s="28">
        <f>'Input Form'!D88</f>
        <v>0</v>
      </c>
      <c r="G122" s="156">
        <f>'Input Form'!E88</f>
        <v>0</v>
      </c>
      <c r="H122" s="140"/>
      <c r="I122" s="156">
        <f>'Input Form'!F88</f>
        <v>0</v>
      </c>
      <c r="J122" s="140"/>
      <c r="K122" s="10"/>
    </row>
    <row r="123" spans="1:11" ht="18.75" x14ac:dyDescent="0.3">
      <c r="A123" s="10"/>
      <c r="B123" s="112" t="s">
        <v>119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109</v>
      </c>
      <c r="C124" s="157" t="s">
        <v>114</v>
      </c>
      <c r="D124" s="157"/>
      <c r="E124" s="168" t="s">
        <v>125</v>
      </c>
      <c r="F124" s="169"/>
      <c r="G124" s="157" t="s">
        <v>159</v>
      </c>
      <c r="H124" s="157"/>
      <c r="I124" s="157" t="s">
        <v>124</v>
      </c>
      <c r="J124" s="157"/>
      <c r="K124" s="10"/>
    </row>
    <row r="125" spans="1:11" x14ac:dyDescent="0.2">
      <c r="A125" s="10"/>
      <c r="B125" s="27" t="s">
        <v>116</v>
      </c>
      <c r="C125" s="156">
        <f>'Input Form'!B91</f>
        <v>0</v>
      </c>
      <c r="D125" s="140"/>
      <c r="E125" s="108">
        <f>'Input Form'!C91</f>
        <v>5.5E-2</v>
      </c>
      <c r="F125" s="109"/>
      <c r="G125" s="140">
        <f>'Input Form'!D91</f>
        <v>240</v>
      </c>
      <c r="H125" s="140"/>
      <c r="I125" s="167">
        <f>'Input Form'!F91</f>
        <v>0</v>
      </c>
      <c r="J125" s="167"/>
      <c r="K125" s="10"/>
    </row>
    <row r="126" spans="1:11" x14ac:dyDescent="0.2">
      <c r="A126" s="10"/>
      <c r="B126" s="27" t="s">
        <v>118</v>
      </c>
      <c r="C126" s="156">
        <f>'Input Form'!B92</f>
        <v>0</v>
      </c>
      <c r="D126" s="140"/>
      <c r="E126" s="108">
        <f>'Input Form'!C92</f>
        <v>5.5E-2</v>
      </c>
      <c r="F126" s="109"/>
      <c r="G126" s="140">
        <f>'Input Form'!D92</f>
        <v>240</v>
      </c>
      <c r="H126" s="140"/>
      <c r="I126" s="167">
        <f>'Input Form'!F92</f>
        <v>0</v>
      </c>
      <c r="J126" s="167"/>
      <c r="K126" s="10"/>
    </row>
    <row r="127" spans="1:11" x14ac:dyDescent="0.2">
      <c r="A127" s="10"/>
      <c r="B127" s="27" t="s">
        <v>115</v>
      </c>
      <c r="C127" s="156">
        <f>'Input Form'!B93</f>
        <v>0</v>
      </c>
      <c r="D127" s="140"/>
      <c r="E127" s="108">
        <f>'Input Form'!C93</f>
        <v>5.5E-2</v>
      </c>
      <c r="F127" s="109"/>
      <c r="G127" s="140">
        <f>'Input Form'!D93</f>
        <v>240</v>
      </c>
      <c r="H127" s="140"/>
      <c r="I127" s="167">
        <f>'Input Form'!F93</f>
        <v>0</v>
      </c>
      <c r="J127" s="167"/>
      <c r="K127" s="10"/>
    </row>
    <row r="128" spans="1:11" x14ac:dyDescent="0.2">
      <c r="A128" s="10"/>
      <c r="B128" s="27" t="s">
        <v>117</v>
      </c>
      <c r="C128" s="156">
        <f>'Input Form'!B94</f>
        <v>0</v>
      </c>
      <c r="D128" s="140"/>
      <c r="E128" s="108">
        <f>'Input Form'!C94</f>
        <v>5.5E-2</v>
      </c>
      <c r="F128" s="109"/>
      <c r="G128" s="140">
        <f>'Input Form'!D94</f>
        <v>240</v>
      </c>
      <c r="H128" s="140"/>
      <c r="I128" s="167">
        <f>'Input Form'!F94</f>
        <v>0</v>
      </c>
      <c r="J128" s="167"/>
      <c r="K128" s="10"/>
    </row>
    <row r="129" spans="1:11" x14ac:dyDescent="0.2">
      <c r="A129" s="10"/>
      <c r="B129" s="27" t="s">
        <v>157</v>
      </c>
      <c r="C129" s="156">
        <f>'Input Form'!B95</f>
        <v>0</v>
      </c>
      <c r="D129" s="140"/>
      <c r="E129" s="108">
        <f>'Input Form'!C95</f>
        <v>5.5E-2</v>
      </c>
      <c r="F129" s="109"/>
      <c r="G129" s="140">
        <f>'Input Form'!D95</f>
        <v>240</v>
      </c>
      <c r="H129" s="140"/>
      <c r="I129" s="167">
        <f>'Input Form'!F95</f>
        <v>0</v>
      </c>
      <c r="J129" s="167"/>
      <c r="K129" s="10"/>
    </row>
    <row r="130" spans="1:11" x14ac:dyDescent="0.2">
      <c r="A130" s="10"/>
      <c r="B130" s="27" t="s">
        <v>120</v>
      </c>
      <c r="C130" s="156">
        <f>'Input Form'!B96</f>
        <v>0</v>
      </c>
      <c r="D130" s="140"/>
      <c r="E130" s="170"/>
      <c r="F130" s="171"/>
      <c r="G130" s="171"/>
      <c r="H130" s="172"/>
      <c r="I130" s="167">
        <f>'Input Form'!F96</f>
        <v>0</v>
      </c>
      <c r="J130" s="167"/>
      <c r="K130" s="10"/>
    </row>
    <row r="131" spans="1:11" ht="18.75" x14ac:dyDescent="0.3">
      <c r="A131" s="10"/>
      <c r="B131" s="112" t="s">
        <v>121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122</v>
      </c>
      <c r="C132" s="119"/>
      <c r="D132" s="119"/>
      <c r="E132" s="119"/>
      <c r="F132" s="119"/>
      <c r="G132" s="119"/>
      <c r="H132" s="119"/>
      <c r="I132" s="113" t="s">
        <v>124</v>
      </c>
      <c r="J132" s="113"/>
      <c r="K132" s="10"/>
    </row>
    <row r="133" spans="1:11" x14ac:dyDescent="0.2">
      <c r="A133" s="10"/>
      <c r="B133" s="135" t="s">
        <v>116</v>
      </c>
      <c r="C133" s="135"/>
      <c r="D133" s="135"/>
      <c r="E133" s="135"/>
      <c r="F133" s="135"/>
      <c r="G133" s="135"/>
      <c r="H133" s="135"/>
      <c r="I133" s="167">
        <f>'Input Form'!E99</f>
        <v>0</v>
      </c>
      <c r="J133" s="167"/>
      <c r="K133" s="10"/>
    </row>
    <row r="134" spans="1:11" x14ac:dyDescent="0.2">
      <c r="A134" s="10"/>
      <c r="B134" s="135" t="s">
        <v>118</v>
      </c>
      <c r="C134" s="135"/>
      <c r="D134" s="135"/>
      <c r="E134" s="135"/>
      <c r="F134" s="135"/>
      <c r="G134" s="135"/>
      <c r="H134" s="135"/>
      <c r="I134" s="167">
        <f>'Input Form'!E100</f>
        <v>0</v>
      </c>
      <c r="J134" s="167"/>
      <c r="K134" s="10"/>
    </row>
    <row r="135" spans="1:11" x14ac:dyDescent="0.2">
      <c r="A135" s="10"/>
      <c r="B135" s="135" t="s">
        <v>115</v>
      </c>
      <c r="C135" s="135"/>
      <c r="D135" s="135"/>
      <c r="E135" s="135"/>
      <c r="F135" s="135"/>
      <c r="G135" s="135"/>
      <c r="H135" s="135"/>
      <c r="I135" s="167">
        <f>'Input Form'!E101</f>
        <v>0</v>
      </c>
      <c r="J135" s="167"/>
      <c r="K135" s="10"/>
    </row>
    <row r="136" spans="1:11" x14ac:dyDescent="0.2">
      <c r="A136" s="10"/>
      <c r="B136" s="135" t="s">
        <v>123</v>
      </c>
      <c r="C136" s="135"/>
      <c r="D136" s="135"/>
      <c r="E136" s="135"/>
      <c r="F136" s="135"/>
      <c r="G136" s="135"/>
      <c r="H136" s="135"/>
      <c r="I136" s="167">
        <f>'Input Form'!E102</f>
        <v>0</v>
      </c>
      <c r="J136" s="167"/>
      <c r="K136" s="10"/>
    </row>
    <row r="137" spans="1:11" ht="18.75" x14ac:dyDescent="0.3">
      <c r="A137" s="10"/>
      <c r="B137" s="175" t="s">
        <v>160</v>
      </c>
      <c r="C137" s="176"/>
      <c r="D137" s="176"/>
      <c r="E137" s="176"/>
      <c r="F137" s="176"/>
      <c r="G137" s="173" t="s">
        <v>129</v>
      </c>
      <c r="H137" s="173"/>
      <c r="I137" s="173" t="s">
        <v>165</v>
      </c>
      <c r="J137" s="174"/>
      <c r="K137" s="10"/>
    </row>
    <row r="138" spans="1:11" x14ac:dyDescent="0.2">
      <c r="A138" s="10"/>
      <c r="B138" s="135" t="s">
        <v>137</v>
      </c>
      <c r="C138" s="135"/>
      <c r="D138" s="135"/>
      <c r="E138" s="135"/>
      <c r="F138" s="135"/>
      <c r="G138" s="167">
        <f>I76</f>
        <v>21854.117054650931</v>
      </c>
      <c r="H138" s="167"/>
      <c r="I138" s="167">
        <f>J76</f>
        <v>46934.636635340052</v>
      </c>
      <c r="J138" s="167"/>
      <c r="K138" s="10"/>
    </row>
    <row r="139" spans="1:11" x14ac:dyDescent="0.2">
      <c r="A139" s="10"/>
      <c r="B139" s="135" t="s">
        <v>161</v>
      </c>
      <c r="C139" s="135"/>
      <c r="D139" s="135"/>
      <c r="E139" s="135"/>
      <c r="F139" s="135"/>
      <c r="G139" s="167">
        <f>I92</f>
        <v>21854.117054647002</v>
      </c>
      <c r="H139" s="167"/>
      <c r="I139" s="167">
        <f>J92</f>
        <v>27862.33073932238</v>
      </c>
      <c r="J139" s="167"/>
      <c r="K139" s="10"/>
    </row>
    <row r="140" spans="1:11" x14ac:dyDescent="0.2">
      <c r="A140" s="10"/>
      <c r="B140" s="135" t="s">
        <v>156</v>
      </c>
      <c r="C140" s="135"/>
      <c r="D140" s="135"/>
      <c r="E140" s="135"/>
      <c r="F140" s="135"/>
      <c r="G140" s="167">
        <f>G138-G139</f>
        <v>3.92901711165905E-9</v>
      </c>
      <c r="H140" s="167"/>
      <c r="I140" s="167">
        <f>J93</f>
        <v>19072.305896017671</v>
      </c>
      <c r="J140" s="167"/>
      <c r="K140" s="10"/>
    </row>
    <row r="141" spans="1:11" x14ac:dyDescent="0.2">
      <c r="A141" s="10"/>
      <c r="B141" s="135" t="s">
        <v>162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163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164</v>
      </c>
      <c r="C143" s="135"/>
      <c r="D143" s="135"/>
      <c r="E143" s="135"/>
      <c r="F143" s="135"/>
      <c r="G143" s="167">
        <f>G140-G141-G142</f>
        <v>3.92901711165905E-9</v>
      </c>
      <c r="H143" s="167"/>
      <c r="I143" s="167">
        <f>I140-I141-I142</f>
        <v>19072.305896017671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15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182</v>
      </c>
      <c r="D157" s="119"/>
      <c r="E157" s="153" t="str">
        <f>CustomerName</f>
        <v>David Healy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183</v>
      </c>
      <c r="D158" s="121"/>
      <c r="E158" s="153" t="str">
        <f>CompanyName</f>
        <v>Seaford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127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3470 Merrick Rd.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Seaford, NY 11783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184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166</v>
      </c>
      <c r="C165" s="112"/>
      <c r="D165" s="112"/>
      <c r="E165" s="112"/>
      <c r="F165" s="112"/>
      <c r="G165" s="112"/>
      <c r="H165" s="112"/>
      <c r="I165" s="17" t="s">
        <v>165</v>
      </c>
      <c r="J165" s="177" t="s">
        <v>167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Form'!B76</f>
        <v>50981.275367647046</v>
      </c>
      <c r="J166" s="177"/>
      <c r="K166" s="10"/>
    </row>
    <row r="167" spans="1:11" ht="18.75" x14ac:dyDescent="0.3">
      <c r="A167" s="10"/>
      <c r="B167" s="178" t="s">
        <v>154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134</v>
      </c>
      <c r="C168" s="113"/>
      <c r="D168" s="113"/>
      <c r="E168" s="113"/>
      <c r="F168" s="29" t="s">
        <v>133</v>
      </c>
      <c r="G168" s="177" t="s">
        <v>132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114707.86957720586</v>
      </c>
      <c r="J169" s="30">
        <f>IFERROR((I169/I$174),0)</f>
        <v>0.2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76471.913051470576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114707.86957720584</v>
      </c>
      <c r="J171" s="30">
        <f t="shared" si="2"/>
        <v>0.19999999999999998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203925.10147058821</v>
      </c>
      <c r="J172" s="30">
        <f t="shared" si="2"/>
        <v>0.35555555555555557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63726.594209558811</v>
      </c>
      <c r="J173" s="30">
        <f t="shared" si="2"/>
        <v>0.11111111111111112</v>
      </c>
      <c r="K173" s="10"/>
    </row>
    <row r="174" spans="1:11" x14ac:dyDescent="0.2">
      <c r="A174" s="10"/>
      <c r="B174" s="135" t="s">
        <v>135</v>
      </c>
      <c r="C174" s="135"/>
      <c r="D174" s="135"/>
      <c r="E174" s="135"/>
      <c r="F174" s="135"/>
      <c r="G174" s="135"/>
      <c r="H174" s="135"/>
      <c r="I174" s="20">
        <f>SUM(I169:I173)</f>
        <v>573539.34788602928</v>
      </c>
      <c r="J174" s="30">
        <f t="shared" si="2"/>
        <v>1</v>
      </c>
      <c r="K174" s="10"/>
    </row>
    <row r="175" spans="1:11" x14ac:dyDescent="0.2">
      <c r="A175" s="10"/>
      <c r="B175" s="135" t="s">
        <v>136</v>
      </c>
      <c r="C175" s="135"/>
      <c r="D175" s="135"/>
      <c r="E175" s="135"/>
      <c r="F175" s="31">
        <f>$F$75</f>
        <v>0.03</v>
      </c>
      <c r="G175" s="179">
        <f>$G$75</f>
        <v>0.6</v>
      </c>
      <c r="H175" s="179"/>
      <c r="I175" s="20">
        <f>-(I174*F175*G175)</f>
        <v>-10323.708261948526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137</v>
      </c>
      <c r="C176" s="135"/>
      <c r="D176" s="135"/>
      <c r="E176" s="135"/>
      <c r="F176" s="135"/>
      <c r="G176" s="135"/>
      <c r="H176" s="135"/>
      <c r="I176" s="20">
        <f>I174+I175</f>
        <v>563215.63962408074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155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142</v>
      </c>
      <c r="C178" s="133"/>
      <c r="D178" s="133"/>
      <c r="E178" s="133"/>
      <c r="F178" s="133"/>
      <c r="G178" s="133"/>
      <c r="H178" s="134"/>
      <c r="I178" s="20">
        <f>$G$80*I176</f>
        <v>16896.469188722422</v>
      </c>
      <c r="J178" s="30">
        <f>IFERROR((I178/I$176),0)</f>
        <v>0.03</v>
      </c>
      <c r="K178" s="10"/>
    </row>
    <row r="179" spans="1:11" x14ac:dyDescent="0.2">
      <c r="A179" s="10"/>
      <c r="B179" s="132" t="s">
        <v>140</v>
      </c>
      <c r="C179" s="133"/>
      <c r="D179" s="133"/>
      <c r="E179" s="133"/>
      <c r="F179" s="133"/>
      <c r="G179" s="133"/>
      <c r="H179" s="134"/>
      <c r="I179" s="20">
        <f>$G$81*I176</f>
        <v>35153.667362776621</v>
      </c>
      <c r="J179" s="30">
        <f t="shared" ref="J179:J196" si="3">IFERROR((I179/I$176),0)</f>
        <v>6.2415999999999999E-2</v>
      </c>
      <c r="K179" s="10"/>
    </row>
    <row r="180" spans="1:11" x14ac:dyDescent="0.2">
      <c r="A180" s="10"/>
      <c r="B180" s="132" t="s">
        <v>143</v>
      </c>
      <c r="C180" s="133"/>
      <c r="D180" s="133"/>
      <c r="E180" s="133"/>
      <c r="F180" s="133"/>
      <c r="G180" s="133"/>
      <c r="H180" s="134"/>
      <c r="I180" s="20">
        <f>$G$82*I176</f>
        <v>5632.1563962408072</v>
      </c>
      <c r="J180" s="30">
        <f t="shared" si="3"/>
        <v>0.01</v>
      </c>
      <c r="K180" s="10"/>
    </row>
    <row r="181" spans="1:11" x14ac:dyDescent="0.2">
      <c r="A181" s="10"/>
      <c r="B181" s="132" t="s">
        <v>149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2.1306226524550029E-2</v>
      </c>
      <c r="K181" s="10"/>
    </row>
    <row r="182" spans="1:11" x14ac:dyDescent="0.2">
      <c r="A182" s="10"/>
      <c r="B182" s="132" t="s">
        <v>22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0.29116236919389094</v>
      </c>
      <c r="K182" s="10"/>
    </row>
    <row r="183" spans="1:11" x14ac:dyDescent="0.2">
      <c r="A183" s="10"/>
      <c r="B183" s="132" t="s">
        <v>144</v>
      </c>
      <c r="C183" s="133"/>
      <c r="D183" s="133"/>
      <c r="E183" s="133"/>
      <c r="F183" s="133"/>
      <c r="G183" s="133"/>
      <c r="H183" s="134"/>
      <c r="I183" s="20">
        <f>$G$85*I176</f>
        <v>5632.1563962408072</v>
      </c>
      <c r="J183" s="30">
        <f t="shared" si="3"/>
        <v>0.01</v>
      </c>
      <c r="K183" s="10"/>
    </row>
    <row r="184" spans="1:11" x14ac:dyDescent="0.2">
      <c r="A184" s="10"/>
      <c r="B184" s="132" t="s">
        <v>145</v>
      </c>
      <c r="C184" s="133"/>
      <c r="D184" s="133"/>
      <c r="E184" s="133"/>
      <c r="F184" s="133"/>
      <c r="G184" s="133"/>
      <c r="H184" s="134"/>
      <c r="I184" s="20">
        <f>$G$86*I176</f>
        <v>5632.1563962408072</v>
      </c>
      <c r="J184" s="30">
        <f t="shared" si="3"/>
        <v>0.01</v>
      </c>
      <c r="K184" s="10"/>
    </row>
    <row r="185" spans="1:11" x14ac:dyDescent="0.2">
      <c r="A185" s="10"/>
      <c r="B185" s="132" t="s">
        <v>147</v>
      </c>
      <c r="C185" s="133"/>
      <c r="D185" s="133"/>
      <c r="E185" s="133"/>
      <c r="F185" s="133"/>
      <c r="G185" s="133"/>
      <c r="H185" s="134"/>
      <c r="I185" s="20">
        <f>$G$87*I176</f>
        <v>8448.2345943612108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150</v>
      </c>
      <c r="C186" s="133"/>
      <c r="D186" s="133"/>
      <c r="E186" s="133"/>
      <c r="F186" s="133"/>
      <c r="G186" s="133"/>
      <c r="H186" s="134"/>
      <c r="I186" s="20">
        <f>$G$88*I176</f>
        <v>5632.1563962408072</v>
      </c>
      <c r="J186" s="30">
        <f t="shared" si="3"/>
        <v>0.01</v>
      </c>
      <c r="K186" s="10"/>
    </row>
    <row r="187" spans="1:11" x14ac:dyDescent="0.2">
      <c r="A187" s="10"/>
      <c r="B187" s="132" t="s">
        <v>148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4.2612453049100059E-2</v>
      </c>
      <c r="K187" s="10"/>
    </row>
    <row r="188" spans="1:11" x14ac:dyDescent="0.2">
      <c r="A188" s="10"/>
      <c r="B188" s="132" t="s">
        <v>146</v>
      </c>
      <c r="C188" s="133"/>
      <c r="D188" s="133"/>
      <c r="E188" s="133"/>
      <c r="F188" s="133"/>
      <c r="G188" s="133"/>
      <c r="H188" s="134"/>
      <c r="I188" s="20">
        <f>$G$90*I176</f>
        <v>5632.1563962408072</v>
      </c>
      <c r="J188" s="30">
        <f t="shared" si="3"/>
        <v>0.01</v>
      </c>
      <c r="K188" s="10"/>
    </row>
    <row r="189" spans="1:11" x14ac:dyDescent="0.2">
      <c r="A189" s="10"/>
      <c r="B189" s="132" t="s">
        <v>141</v>
      </c>
      <c r="C189" s="133"/>
      <c r="D189" s="133"/>
      <c r="E189" s="133"/>
      <c r="F189" s="133"/>
      <c r="G189" s="133"/>
      <c r="H189" s="134"/>
      <c r="I189" s="20">
        <f>$G$91*I176</f>
        <v>45057.251169926458</v>
      </c>
      <c r="J189" s="30">
        <f t="shared" si="3"/>
        <v>0.08</v>
      </c>
      <c r="K189" s="10"/>
    </row>
    <row r="190" spans="1:11" x14ac:dyDescent="0.2">
      <c r="A190" s="10"/>
      <c r="B190" s="135" t="s">
        <v>151</v>
      </c>
      <c r="C190" s="135"/>
      <c r="D190" s="135"/>
      <c r="E190" s="135"/>
      <c r="F190" s="135"/>
      <c r="G190" s="135"/>
      <c r="H190" s="135"/>
      <c r="I190" s="20">
        <f>SUM(I178:I189)</f>
        <v>333703.60429699079</v>
      </c>
      <c r="J190" s="30">
        <f t="shared" si="3"/>
        <v>0.59249704876754106</v>
      </c>
      <c r="K190" s="10"/>
    </row>
    <row r="191" spans="1:11" x14ac:dyDescent="0.2">
      <c r="A191" s="10"/>
      <c r="B191" s="119" t="s">
        <v>190</v>
      </c>
      <c r="C191" s="119"/>
      <c r="D191" s="119"/>
      <c r="E191" s="119"/>
      <c r="F191" s="119"/>
      <c r="G191" s="119"/>
      <c r="H191" s="119"/>
      <c r="I191" s="24">
        <f>I176-I190</f>
        <v>229512.03532708995</v>
      </c>
      <c r="J191" s="30">
        <f t="shared" si="3"/>
        <v>0.40750295123245894</v>
      </c>
      <c r="K191" s="10"/>
    </row>
    <row r="192" spans="1:11" ht="18.75" x14ac:dyDescent="0.3">
      <c r="A192" s="10"/>
      <c r="B192" s="112" t="s">
        <v>168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169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123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170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189</v>
      </c>
      <c r="C196" s="119"/>
      <c r="D196" s="119"/>
      <c r="E196" s="119"/>
      <c r="F196" s="119"/>
      <c r="G196" s="119"/>
      <c r="H196" s="119"/>
      <c r="I196" s="24">
        <f>I191-I195</f>
        <v>229512.03532708995</v>
      </c>
      <c r="J196" s="30">
        <f t="shared" si="3"/>
        <v>0.40750295123245894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15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182</v>
      </c>
      <c r="D208" s="119"/>
      <c r="E208" s="153" t="str">
        <f>CustomerName</f>
        <v>David Healy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183</v>
      </c>
      <c r="D209" s="121"/>
      <c r="E209" s="153" t="str">
        <f>CompanyName</f>
        <v>Seaford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127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3470 Merrick Rd.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Seaford, NY 11783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185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166</v>
      </c>
      <c r="C216" s="112"/>
      <c r="D216" s="112"/>
      <c r="E216" s="112"/>
      <c r="F216" s="112"/>
      <c r="G216" s="112"/>
      <c r="H216" s="112"/>
      <c r="I216" s="17" t="s">
        <v>171</v>
      </c>
      <c r="J216" s="177" t="s">
        <v>167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Form'!C76</f>
        <v>67288.950407608703</v>
      </c>
      <c r="J217" s="177"/>
      <c r="K217" s="10"/>
    </row>
    <row r="218" spans="1:11" ht="18.75" x14ac:dyDescent="0.3">
      <c r="A218" s="10"/>
      <c r="B218" s="112" t="s">
        <v>154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134</v>
      </c>
      <c r="C219" s="113"/>
      <c r="D219" s="113"/>
      <c r="E219" s="113"/>
      <c r="F219" s="29" t="s">
        <v>133</v>
      </c>
      <c r="G219" s="177" t="s">
        <v>132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151400.1384171196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100933.42561141305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151400.1384171196</v>
      </c>
      <c r="J222" s="30">
        <f t="shared" si="4"/>
        <v>0.2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269155.80163043481</v>
      </c>
      <c r="J223" s="30">
        <f t="shared" si="4"/>
        <v>0.35555555555555557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84111.188009510879</v>
      </c>
      <c r="J224" s="30">
        <f t="shared" si="4"/>
        <v>0.11111111111111112</v>
      </c>
      <c r="K224" s="10"/>
    </row>
    <row r="225" spans="1:11" x14ac:dyDescent="0.2">
      <c r="A225" s="10"/>
      <c r="B225" s="135" t="s">
        <v>135</v>
      </c>
      <c r="C225" s="135"/>
      <c r="D225" s="135"/>
      <c r="E225" s="135"/>
      <c r="F225" s="135"/>
      <c r="G225" s="135"/>
      <c r="H225" s="135"/>
      <c r="I225" s="20">
        <f>SUM(I220:I224)</f>
        <v>757000.6920855979</v>
      </c>
      <c r="J225" s="30">
        <f t="shared" si="4"/>
        <v>1</v>
      </c>
      <c r="K225" s="10"/>
    </row>
    <row r="226" spans="1:11" x14ac:dyDescent="0.2">
      <c r="A226" s="10"/>
      <c r="B226" s="135" t="s">
        <v>136</v>
      </c>
      <c r="C226" s="135"/>
      <c r="D226" s="135"/>
      <c r="E226" s="135"/>
      <c r="F226" s="31">
        <f>$F$75</f>
        <v>0.03</v>
      </c>
      <c r="G226" s="179">
        <f>$G$75</f>
        <v>0.6</v>
      </c>
      <c r="H226" s="179"/>
      <c r="I226" s="20">
        <f>-(I225*F226*G226)</f>
        <v>-13626.012457540761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137</v>
      </c>
      <c r="C227" s="135"/>
      <c r="D227" s="135"/>
      <c r="E227" s="135"/>
      <c r="F227" s="135"/>
      <c r="G227" s="135"/>
      <c r="H227" s="135"/>
      <c r="I227" s="20">
        <f>I225+I226</f>
        <v>743374.67962805717</v>
      </c>
      <c r="J227" s="30">
        <f t="shared" si="4"/>
        <v>0.9820000000000001</v>
      </c>
      <c r="K227" s="10"/>
    </row>
    <row r="228" spans="1:11" ht="18.75" x14ac:dyDescent="0.3">
      <c r="A228" s="10"/>
      <c r="B228" s="112" t="s">
        <v>155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142</v>
      </c>
      <c r="C229" s="133"/>
      <c r="D229" s="133"/>
      <c r="E229" s="133"/>
      <c r="F229" s="133"/>
      <c r="G229" s="133"/>
      <c r="H229" s="134"/>
      <c r="I229" s="20">
        <f>$G$80*I227</f>
        <v>22301.240388841714</v>
      </c>
      <c r="J229" s="30">
        <f>IFERROR((I229/I$227),0)</f>
        <v>0.03</v>
      </c>
      <c r="K229" s="10"/>
    </row>
    <row r="230" spans="1:11" x14ac:dyDescent="0.2">
      <c r="A230" s="10"/>
      <c r="B230" s="132" t="s">
        <v>140</v>
      </c>
      <c r="C230" s="133"/>
      <c r="D230" s="133"/>
      <c r="E230" s="133"/>
      <c r="F230" s="133"/>
      <c r="G230" s="133"/>
      <c r="H230" s="134"/>
      <c r="I230" s="20">
        <f>$G$81*I227</f>
        <v>46398.474003664807</v>
      </c>
      <c r="J230" s="30">
        <f t="shared" ref="J230:J247" si="5">IFERROR((I230/I$227),0)</f>
        <v>6.2415999999999985E-2</v>
      </c>
      <c r="K230" s="10"/>
    </row>
    <row r="231" spans="1:11" x14ac:dyDescent="0.2">
      <c r="A231" s="10"/>
      <c r="B231" s="132" t="s">
        <v>143</v>
      </c>
      <c r="C231" s="133"/>
      <c r="D231" s="133"/>
      <c r="E231" s="133"/>
      <c r="F231" s="133"/>
      <c r="G231" s="133"/>
      <c r="H231" s="134"/>
      <c r="I231" s="20">
        <f>$G$82*I227</f>
        <v>7433.7467962805722</v>
      </c>
      <c r="J231" s="30">
        <f t="shared" si="5"/>
        <v>0.01</v>
      </c>
      <c r="K231" s="10"/>
    </row>
    <row r="232" spans="1:11" x14ac:dyDescent="0.2">
      <c r="A232" s="10"/>
      <c r="B232" s="132" t="s">
        <v>149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1.6142599860953191E-2</v>
      </c>
      <c r="K232" s="10"/>
    </row>
    <row r="233" spans="1:11" x14ac:dyDescent="0.2">
      <c r="A233" s="10"/>
      <c r="B233" s="132" t="s">
        <v>22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0.22059831265984198</v>
      </c>
      <c r="K233" s="10"/>
    </row>
    <row r="234" spans="1:11" x14ac:dyDescent="0.2">
      <c r="A234" s="10"/>
      <c r="B234" s="132" t="s">
        <v>144</v>
      </c>
      <c r="C234" s="133"/>
      <c r="D234" s="133"/>
      <c r="E234" s="133"/>
      <c r="F234" s="133"/>
      <c r="G234" s="133"/>
      <c r="H234" s="134"/>
      <c r="I234" s="20">
        <f>$G$85*I227</f>
        <v>7433.7467962805722</v>
      </c>
      <c r="J234" s="30">
        <f t="shared" si="5"/>
        <v>0.01</v>
      </c>
      <c r="K234" s="10"/>
    </row>
    <row r="235" spans="1:11" x14ac:dyDescent="0.2">
      <c r="A235" s="10"/>
      <c r="B235" s="132" t="s">
        <v>145</v>
      </c>
      <c r="C235" s="133"/>
      <c r="D235" s="133"/>
      <c r="E235" s="133"/>
      <c r="F235" s="133"/>
      <c r="G235" s="133"/>
      <c r="H235" s="134"/>
      <c r="I235" s="20">
        <f>$G$86*I227</f>
        <v>7433.7467962805722</v>
      </c>
      <c r="J235" s="30">
        <f t="shared" si="5"/>
        <v>0.01</v>
      </c>
      <c r="K235" s="10"/>
    </row>
    <row r="236" spans="1:11" x14ac:dyDescent="0.2">
      <c r="A236" s="10"/>
      <c r="B236" s="132" t="s">
        <v>147</v>
      </c>
      <c r="C236" s="133"/>
      <c r="D236" s="133"/>
      <c r="E236" s="133"/>
      <c r="F236" s="133"/>
      <c r="G236" s="133"/>
      <c r="H236" s="134"/>
      <c r="I236" s="20">
        <f>$G$87*I227</f>
        <v>11150.620194420857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150</v>
      </c>
      <c r="C237" s="133"/>
      <c r="D237" s="133"/>
      <c r="E237" s="133"/>
      <c r="F237" s="133"/>
      <c r="G237" s="133"/>
      <c r="H237" s="134"/>
      <c r="I237" s="20">
        <f>$G$88*I227</f>
        <v>7433.7467962805722</v>
      </c>
      <c r="J237" s="30">
        <f t="shared" si="5"/>
        <v>0.01</v>
      </c>
      <c r="K237" s="10"/>
    </row>
    <row r="238" spans="1:11" x14ac:dyDescent="0.2">
      <c r="A238" s="10"/>
      <c r="B238" s="132" t="s">
        <v>148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3.2285199721906382E-2</v>
      </c>
      <c r="K238" s="10"/>
    </row>
    <row r="239" spans="1:11" x14ac:dyDescent="0.2">
      <c r="A239" s="10"/>
      <c r="B239" s="132" t="s">
        <v>146</v>
      </c>
      <c r="C239" s="133"/>
      <c r="D239" s="133"/>
      <c r="E239" s="133"/>
      <c r="F239" s="133"/>
      <c r="G239" s="133"/>
      <c r="H239" s="134"/>
      <c r="I239" s="20">
        <f>$G$90*I227</f>
        <v>7433.7467962805722</v>
      </c>
      <c r="J239" s="30">
        <f t="shared" si="5"/>
        <v>0.01</v>
      </c>
      <c r="K239" s="10"/>
    </row>
    <row r="240" spans="1:11" x14ac:dyDescent="0.2">
      <c r="A240" s="10"/>
      <c r="B240" s="132" t="s">
        <v>141</v>
      </c>
      <c r="C240" s="133"/>
      <c r="D240" s="133"/>
      <c r="E240" s="133"/>
      <c r="F240" s="133"/>
      <c r="G240" s="133"/>
      <c r="H240" s="134"/>
      <c r="I240" s="20">
        <f>$G$91*I227</f>
        <v>59469.974370244578</v>
      </c>
      <c r="J240" s="30">
        <f t="shared" si="5"/>
        <v>0.08</v>
      </c>
      <c r="K240" s="10"/>
    </row>
    <row r="241" spans="1:11" x14ac:dyDescent="0.2">
      <c r="A241" s="10"/>
      <c r="B241" s="135" t="s">
        <v>151</v>
      </c>
      <c r="C241" s="135"/>
      <c r="D241" s="135"/>
      <c r="E241" s="135"/>
      <c r="F241" s="135"/>
      <c r="G241" s="135"/>
      <c r="H241" s="135"/>
      <c r="I241" s="20">
        <f>SUM(I229:I240)</f>
        <v>376476.24293857481</v>
      </c>
      <c r="J241" s="30">
        <f t="shared" si="5"/>
        <v>0.50644211224270153</v>
      </c>
      <c r="K241" s="10"/>
    </row>
    <row r="242" spans="1:11" x14ac:dyDescent="0.2">
      <c r="A242" s="10"/>
      <c r="B242" s="119" t="s">
        <v>190</v>
      </c>
      <c r="C242" s="119"/>
      <c r="D242" s="119"/>
      <c r="E242" s="119"/>
      <c r="F242" s="119"/>
      <c r="G242" s="119"/>
      <c r="H242" s="119"/>
      <c r="I242" s="24">
        <f>I227-I241</f>
        <v>366898.43668948236</v>
      </c>
      <c r="J242" s="30">
        <f t="shared" si="5"/>
        <v>0.49355788775729847</v>
      </c>
      <c r="K242" s="10"/>
    </row>
    <row r="243" spans="1:11" ht="18.75" x14ac:dyDescent="0.3">
      <c r="A243" s="10"/>
      <c r="B243" s="112" t="s">
        <v>168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169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123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170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189</v>
      </c>
      <c r="C247" s="119"/>
      <c r="D247" s="119"/>
      <c r="E247" s="119"/>
      <c r="F247" s="119"/>
      <c r="G247" s="119"/>
      <c r="H247" s="119"/>
      <c r="I247" s="24">
        <f>I242-I246</f>
        <v>366898.43668948236</v>
      </c>
      <c r="J247" s="30">
        <f t="shared" si="5"/>
        <v>0.49355788775729847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15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182</v>
      </c>
      <c r="D259" s="119"/>
      <c r="E259" s="153" t="str">
        <f>CustomerName</f>
        <v>David Healy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183</v>
      </c>
      <c r="D260" s="121"/>
      <c r="E260" s="153" t="str">
        <f>CompanyName</f>
        <v>Seaford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127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3470 Merrick Rd.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Seaford, NY 11783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186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166</v>
      </c>
      <c r="C267" s="112"/>
      <c r="D267" s="112"/>
      <c r="E267" s="112"/>
      <c r="F267" s="112"/>
      <c r="G267" s="112"/>
      <c r="H267" s="112"/>
      <c r="I267" s="17" t="s">
        <v>172</v>
      </c>
      <c r="J267" s="177" t="s">
        <v>167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Form'!D76</f>
        <v>72830.393382352937</v>
      </c>
      <c r="J268" s="177"/>
      <c r="K268" s="10"/>
    </row>
    <row r="269" spans="1:11" ht="18.75" x14ac:dyDescent="0.3">
      <c r="A269" s="10"/>
      <c r="B269" s="112" t="s">
        <v>154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134</v>
      </c>
      <c r="C270" s="113"/>
      <c r="D270" s="113"/>
      <c r="E270" s="113"/>
      <c r="F270" s="29" t="s">
        <v>133</v>
      </c>
      <c r="G270" s="177" t="s">
        <v>132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163868.38511029413</v>
      </c>
      <c r="J271" s="30">
        <f>IFERROR((I271/I$276),0)</f>
        <v>0.2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109245.59007352941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163868.3851102941</v>
      </c>
      <c r="J273" s="30">
        <f t="shared" si="7"/>
        <v>0.19999999999999998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291321.57352941175</v>
      </c>
      <c r="J274" s="30">
        <f t="shared" si="7"/>
        <v>0.35555555555555551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91037.991727941175</v>
      </c>
      <c r="J275" s="30">
        <f t="shared" si="7"/>
        <v>0.1111111111111111</v>
      </c>
      <c r="K275" s="10"/>
    </row>
    <row r="276" spans="1:11" x14ac:dyDescent="0.2">
      <c r="A276" s="10"/>
      <c r="B276" s="135" t="s">
        <v>135</v>
      </c>
      <c r="C276" s="135"/>
      <c r="D276" s="135"/>
      <c r="E276" s="135"/>
      <c r="F276" s="135"/>
      <c r="G276" s="135"/>
      <c r="H276" s="135"/>
      <c r="I276" s="20">
        <f>SUM(I271:I275)</f>
        <v>819341.9255514706</v>
      </c>
      <c r="J276" s="30">
        <f t="shared" si="7"/>
        <v>1</v>
      </c>
      <c r="K276" s="10"/>
    </row>
    <row r="277" spans="1:11" x14ac:dyDescent="0.2">
      <c r="A277" s="10"/>
      <c r="B277" s="135" t="s">
        <v>136</v>
      </c>
      <c r="C277" s="135"/>
      <c r="D277" s="135"/>
      <c r="E277" s="135"/>
      <c r="F277" s="31">
        <f>$F$75</f>
        <v>0.03</v>
      </c>
      <c r="G277" s="179">
        <f>$G$75</f>
        <v>0.6</v>
      </c>
      <c r="H277" s="179"/>
      <c r="I277" s="20">
        <f>-(I276*F277*G277)</f>
        <v>-14748.154659926469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137</v>
      </c>
      <c r="C278" s="135"/>
      <c r="D278" s="135"/>
      <c r="E278" s="135"/>
      <c r="F278" s="135"/>
      <c r="G278" s="135"/>
      <c r="H278" s="135"/>
      <c r="I278" s="20">
        <f>I276+I277</f>
        <v>804593.77089154418</v>
      </c>
      <c r="J278" s="30">
        <f t="shared" si="7"/>
        <v>0.9820000000000001</v>
      </c>
      <c r="K278" s="10"/>
    </row>
    <row r="279" spans="1:11" ht="18.75" x14ac:dyDescent="0.3">
      <c r="A279" s="10"/>
      <c r="B279" s="112" t="s">
        <v>155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142</v>
      </c>
      <c r="C280" s="133"/>
      <c r="D280" s="133"/>
      <c r="E280" s="133"/>
      <c r="F280" s="133"/>
      <c r="G280" s="133"/>
      <c r="H280" s="134"/>
      <c r="I280" s="20">
        <f>$G$80*I278</f>
        <v>24137.813126746325</v>
      </c>
      <c r="J280" s="30">
        <f>IFERROR((I280/I$278),0)</f>
        <v>0.03</v>
      </c>
      <c r="K280" s="10"/>
    </row>
    <row r="281" spans="1:11" x14ac:dyDescent="0.2">
      <c r="A281" s="10"/>
      <c r="B281" s="132" t="s">
        <v>140</v>
      </c>
      <c r="C281" s="133"/>
      <c r="D281" s="133"/>
      <c r="E281" s="133"/>
      <c r="F281" s="133"/>
      <c r="G281" s="133"/>
      <c r="H281" s="134"/>
      <c r="I281" s="20">
        <f>$G$81*I278</f>
        <v>50219.524803966618</v>
      </c>
      <c r="J281" s="30">
        <f t="shared" ref="J281:J298" si="8">IFERROR((I281/I$278),0)</f>
        <v>6.2415999999999999E-2</v>
      </c>
      <c r="K281" s="10"/>
    </row>
    <row r="282" spans="1:11" x14ac:dyDescent="0.2">
      <c r="A282" s="10"/>
      <c r="B282" s="132" t="s">
        <v>143</v>
      </c>
      <c r="C282" s="133"/>
      <c r="D282" s="133"/>
      <c r="E282" s="133"/>
      <c r="F282" s="133"/>
      <c r="G282" s="133"/>
      <c r="H282" s="134"/>
      <c r="I282" s="20">
        <f>$G$82*I278</f>
        <v>8045.9377089154423</v>
      </c>
      <c r="J282" s="30">
        <f t="shared" si="8"/>
        <v>0.01</v>
      </c>
      <c r="K282" s="10"/>
    </row>
    <row r="283" spans="1:11" x14ac:dyDescent="0.2">
      <c r="A283" s="10"/>
      <c r="B283" s="132" t="s">
        <v>149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1.4914358567185017E-2</v>
      </c>
      <c r="K283" s="10"/>
    </row>
    <row r="284" spans="1:11" x14ac:dyDescent="0.2">
      <c r="A284" s="10"/>
      <c r="B284" s="132" t="s">
        <v>22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0.20381365843572358</v>
      </c>
      <c r="K284" s="10"/>
    </row>
    <row r="285" spans="1:11" x14ac:dyDescent="0.2">
      <c r="A285" s="10"/>
      <c r="B285" s="132" t="s">
        <v>144</v>
      </c>
      <c r="C285" s="133"/>
      <c r="D285" s="133"/>
      <c r="E285" s="133"/>
      <c r="F285" s="133"/>
      <c r="G285" s="133"/>
      <c r="H285" s="134"/>
      <c r="I285" s="20">
        <f>$G$85*I278</f>
        <v>8045.9377089154423</v>
      </c>
      <c r="J285" s="30">
        <f t="shared" si="8"/>
        <v>0.01</v>
      </c>
      <c r="K285" s="10"/>
    </row>
    <row r="286" spans="1:11" x14ac:dyDescent="0.2">
      <c r="A286" s="10"/>
      <c r="B286" s="132" t="s">
        <v>145</v>
      </c>
      <c r="C286" s="133"/>
      <c r="D286" s="133"/>
      <c r="E286" s="133"/>
      <c r="F286" s="133"/>
      <c r="G286" s="133"/>
      <c r="H286" s="134"/>
      <c r="I286" s="20">
        <f>$G$86*I278</f>
        <v>8045.9377089154423</v>
      </c>
      <c r="J286" s="30">
        <f t="shared" si="8"/>
        <v>0.01</v>
      </c>
      <c r="K286" s="10"/>
    </row>
    <row r="287" spans="1:11" x14ac:dyDescent="0.2">
      <c r="A287" s="10"/>
      <c r="B287" s="132" t="s">
        <v>147</v>
      </c>
      <c r="C287" s="133"/>
      <c r="D287" s="133"/>
      <c r="E287" s="133"/>
      <c r="F287" s="133"/>
      <c r="G287" s="133"/>
      <c r="H287" s="134"/>
      <c r="I287" s="20">
        <f>$G$87*I278</f>
        <v>12068.906563373162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150</v>
      </c>
      <c r="C288" s="133"/>
      <c r="D288" s="133"/>
      <c r="E288" s="133"/>
      <c r="F288" s="133"/>
      <c r="G288" s="133"/>
      <c r="H288" s="134"/>
      <c r="I288" s="20">
        <f>$G$88*I278</f>
        <v>8045.9377089154423</v>
      </c>
      <c r="J288" s="30">
        <f t="shared" si="8"/>
        <v>0.01</v>
      </c>
      <c r="K288" s="10"/>
    </row>
    <row r="289" spans="1:11" x14ac:dyDescent="0.2">
      <c r="A289" s="10"/>
      <c r="B289" s="132" t="s">
        <v>148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2.9828717134370034E-2</v>
      </c>
      <c r="K289" s="10"/>
    </row>
    <row r="290" spans="1:11" x14ac:dyDescent="0.2">
      <c r="A290" s="10"/>
      <c r="B290" s="132" t="s">
        <v>146</v>
      </c>
      <c r="C290" s="133"/>
      <c r="D290" s="133"/>
      <c r="E290" s="133"/>
      <c r="F290" s="133"/>
      <c r="G290" s="133"/>
      <c r="H290" s="134"/>
      <c r="I290" s="20">
        <f>$G$90*I278</f>
        <v>8045.9377089154423</v>
      </c>
      <c r="J290" s="30">
        <f t="shared" si="8"/>
        <v>0.01</v>
      </c>
      <c r="K290" s="10"/>
    </row>
    <row r="291" spans="1:11" x14ac:dyDescent="0.2">
      <c r="A291" s="10"/>
      <c r="B291" s="132" t="s">
        <v>141</v>
      </c>
      <c r="C291" s="133"/>
      <c r="D291" s="133"/>
      <c r="E291" s="133"/>
      <c r="F291" s="133"/>
      <c r="G291" s="133"/>
      <c r="H291" s="134"/>
      <c r="I291" s="20">
        <f>$G$91*I278</f>
        <v>64367.501671323538</v>
      </c>
      <c r="J291" s="30">
        <f t="shared" si="8"/>
        <v>0.08</v>
      </c>
      <c r="K291" s="10"/>
    </row>
    <row r="292" spans="1:11" x14ac:dyDescent="0.2">
      <c r="A292" s="10"/>
      <c r="B292" s="135" t="s">
        <v>151</v>
      </c>
      <c r="C292" s="135"/>
      <c r="D292" s="135"/>
      <c r="E292" s="135"/>
      <c r="F292" s="135"/>
      <c r="G292" s="135"/>
      <c r="H292" s="135"/>
      <c r="I292" s="20">
        <f>SUM(I280:I291)</f>
        <v>391010.63470998686</v>
      </c>
      <c r="J292" s="30">
        <f t="shared" si="8"/>
        <v>0.48597273413727859</v>
      </c>
      <c r="K292" s="10"/>
    </row>
    <row r="293" spans="1:11" x14ac:dyDescent="0.2">
      <c r="A293" s="10"/>
      <c r="B293" s="119" t="s">
        <v>190</v>
      </c>
      <c r="C293" s="119"/>
      <c r="D293" s="119"/>
      <c r="E293" s="119"/>
      <c r="F293" s="119"/>
      <c r="G293" s="119"/>
      <c r="H293" s="119"/>
      <c r="I293" s="24">
        <f>I278-I292</f>
        <v>413583.13618155732</v>
      </c>
      <c r="J293" s="30">
        <f t="shared" si="8"/>
        <v>0.51402726586272141</v>
      </c>
      <c r="K293" s="10"/>
    </row>
    <row r="294" spans="1:11" ht="18.75" x14ac:dyDescent="0.3">
      <c r="A294" s="10"/>
      <c r="B294" s="112" t="s">
        <v>168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169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123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170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189</v>
      </c>
      <c r="C298" s="119"/>
      <c r="D298" s="119"/>
      <c r="E298" s="119"/>
      <c r="F298" s="119"/>
      <c r="G298" s="119"/>
      <c r="H298" s="119"/>
      <c r="I298" s="24">
        <f>I293-I297</f>
        <v>413583.13618155732</v>
      </c>
      <c r="J298" s="30">
        <f t="shared" si="8"/>
        <v>0.51402726586272141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15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182</v>
      </c>
      <c r="D310" s="119"/>
      <c r="E310" s="153" t="str">
        <f>CustomerName</f>
        <v>David Healy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183</v>
      </c>
      <c r="D311" s="121"/>
      <c r="E311" s="153" t="str">
        <f>CompanyName</f>
        <v>Seaford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127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3470 Merrick Rd.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Seaford, NY 11783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187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166</v>
      </c>
      <c r="C318" s="112"/>
      <c r="D318" s="112"/>
      <c r="E318" s="112"/>
      <c r="F318" s="112"/>
      <c r="G318" s="112"/>
      <c r="H318" s="112"/>
      <c r="I318" s="17" t="s">
        <v>173</v>
      </c>
      <c r="J318" s="177" t="s">
        <v>167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Form'!E76</f>
        <v>75494.919969512193</v>
      </c>
      <c r="J319" s="177"/>
      <c r="K319" s="10"/>
    </row>
    <row r="320" spans="1:11" ht="18.75" x14ac:dyDescent="0.3">
      <c r="A320" s="10"/>
      <c r="B320" s="112" t="s">
        <v>154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134</v>
      </c>
      <c r="C321" s="113"/>
      <c r="D321" s="113"/>
      <c r="E321" s="113"/>
      <c r="F321" s="29" t="s">
        <v>133</v>
      </c>
      <c r="G321" s="177" t="s">
        <v>132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169863.56993140245</v>
      </c>
      <c r="J322" s="30">
        <f>IFERROR((I322/I$327),0)</f>
        <v>0.20000000000000004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113242.3799542683</v>
      </c>
      <c r="J323" s="30">
        <f t="shared" ref="J323:J329" si="9">IFERROR((I323/I$327),0)</f>
        <v>0.13333333333333336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169863.56993140242</v>
      </c>
      <c r="J324" s="30">
        <f t="shared" si="9"/>
        <v>0.19999999999999998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301979.67987804877</v>
      </c>
      <c r="J325" s="30">
        <f t="shared" si="9"/>
        <v>0.35555555555555557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94368.649961890245</v>
      </c>
      <c r="J326" s="30">
        <f t="shared" si="9"/>
        <v>0.11111111111111112</v>
      </c>
      <c r="K326" s="10"/>
    </row>
    <row r="327" spans="1:11" x14ac:dyDescent="0.2">
      <c r="A327" s="10"/>
      <c r="B327" s="135" t="s">
        <v>135</v>
      </c>
      <c r="C327" s="135"/>
      <c r="D327" s="135"/>
      <c r="E327" s="135"/>
      <c r="F327" s="135"/>
      <c r="G327" s="135"/>
      <c r="H327" s="135"/>
      <c r="I327" s="20">
        <f>SUM(I322:I326)</f>
        <v>849317.84965701215</v>
      </c>
      <c r="J327" s="30">
        <f t="shared" si="9"/>
        <v>1</v>
      </c>
      <c r="K327" s="10"/>
    </row>
    <row r="328" spans="1:11" x14ac:dyDescent="0.2">
      <c r="A328" s="10"/>
      <c r="B328" s="135" t="s">
        <v>136</v>
      </c>
      <c r="C328" s="135"/>
      <c r="D328" s="135"/>
      <c r="E328" s="135"/>
      <c r="F328" s="31">
        <f>$F$75</f>
        <v>0.03</v>
      </c>
      <c r="G328" s="179">
        <f>$G$75</f>
        <v>0.6</v>
      </c>
      <c r="H328" s="179"/>
      <c r="I328" s="20">
        <f>-(I327*F328*G328)</f>
        <v>-15287.721293826218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137</v>
      </c>
      <c r="C329" s="135"/>
      <c r="D329" s="135"/>
      <c r="E329" s="135"/>
      <c r="F329" s="135"/>
      <c r="G329" s="135"/>
      <c r="H329" s="135"/>
      <c r="I329" s="20">
        <f>I327+I328</f>
        <v>834030.12836318591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155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142</v>
      </c>
      <c r="C331" s="133"/>
      <c r="D331" s="133"/>
      <c r="E331" s="133"/>
      <c r="F331" s="133"/>
      <c r="G331" s="133"/>
      <c r="H331" s="134"/>
      <c r="I331" s="20">
        <f>$G$80*I329</f>
        <v>25020.903850895578</v>
      </c>
      <c r="J331" s="30">
        <f>IFERROR((I331/I$329),0)</f>
        <v>3.0000000000000002E-2</v>
      </c>
      <c r="K331" s="10"/>
    </row>
    <row r="332" spans="1:11" x14ac:dyDescent="0.2">
      <c r="A332" s="10"/>
      <c r="B332" s="132" t="s">
        <v>140</v>
      </c>
      <c r="C332" s="133"/>
      <c r="D332" s="133"/>
      <c r="E332" s="133"/>
      <c r="F332" s="133"/>
      <c r="G332" s="133"/>
      <c r="H332" s="134"/>
      <c r="I332" s="20">
        <f>$G$81*I329</f>
        <v>52056.824491916603</v>
      </c>
      <c r="J332" s="30">
        <f t="shared" ref="J332:J344" si="10">IFERROR((I332/I$329),0)</f>
        <v>6.2415999999999992E-2</v>
      </c>
      <c r="K332" s="10"/>
    </row>
    <row r="333" spans="1:11" x14ac:dyDescent="0.2">
      <c r="A333" s="10"/>
      <c r="B333" s="132" t="s">
        <v>143</v>
      </c>
      <c r="C333" s="133"/>
      <c r="D333" s="133"/>
      <c r="E333" s="133"/>
      <c r="F333" s="133"/>
      <c r="G333" s="133"/>
      <c r="H333" s="134"/>
      <c r="I333" s="20">
        <f>$G$82*I329</f>
        <v>8340.3012836318594</v>
      </c>
      <c r="J333" s="30">
        <f t="shared" si="10"/>
        <v>0.01</v>
      </c>
      <c r="K333" s="10"/>
    </row>
    <row r="334" spans="1:11" x14ac:dyDescent="0.2">
      <c r="A334" s="10"/>
      <c r="B334" s="132" t="s">
        <v>149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1.4387969441284371E-2</v>
      </c>
      <c r="K334" s="10"/>
    </row>
    <row r="335" spans="1:11" x14ac:dyDescent="0.2">
      <c r="A335" s="10"/>
      <c r="B335" s="132" t="s">
        <v>22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0.19662023519681571</v>
      </c>
      <c r="K335" s="10"/>
    </row>
    <row r="336" spans="1:11" x14ac:dyDescent="0.2">
      <c r="A336" s="10"/>
      <c r="B336" s="132" t="s">
        <v>144</v>
      </c>
      <c r="C336" s="133"/>
      <c r="D336" s="133"/>
      <c r="E336" s="133"/>
      <c r="F336" s="133"/>
      <c r="G336" s="133"/>
      <c r="H336" s="134"/>
      <c r="I336" s="20">
        <f>$G$85*I329</f>
        <v>8340.3012836318594</v>
      </c>
      <c r="J336" s="30">
        <f t="shared" si="10"/>
        <v>0.01</v>
      </c>
      <c r="K336" s="10"/>
    </row>
    <row r="337" spans="1:11" x14ac:dyDescent="0.2">
      <c r="A337" s="10"/>
      <c r="B337" s="132" t="s">
        <v>145</v>
      </c>
      <c r="C337" s="133"/>
      <c r="D337" s="133"/>
      <c r="E337" s="133"/>
      <c r="F337" s="133"/>
      <c r="G337" s="133"/>
      <c r="H337" s="134"/>
      <c r="I337" s="20">
        <f>$G$86*I329</f>
        <v>8340.3012836318594</v>
      </c>
      <c r="J337" s="30">
        <f t="shared" si="10"/>
        <v>0.01</v>
      </c>
      <c r="K337" s="10"/>
    </row>
    <row r="338" spans="1:11" x14ac:dyDescent="0.2">
      <c r="A338" s="10"/>
      <c r="B338" s="132" t="s">
        <v>147</v>
      </c>
      <c r="C338" s="133"/>
      <c r="D338" s="133"/>
      <c r="E338" s="133"/>
      <c r="F338" s="133"/>
      <c r="G338" s="133"/>
      <c r="H338" s="134"/>
      <c r="I338" s="20">
        <f>$G$87*I329</f>
        <v>12510.451925447789</v>
      </c>
      <c r="J338" s="30">
        <f t="shared" si="10"/>
        <v>1.5000000000000001E-2</v>
      </c>
      <c r="K338" s="10"/>
    </row>
    <row r="339" spans="1:11" x14ac:dyDescent="0.2">
      <c r="A339" s="10"/>
      <c r="B339" s="132" t="s">
        <v>150</v>
      </c>
      <c r="C339" s="133"/>
      <c r="D339" s="133"/>
      <c r="E339" s="133"/>
      <c r="F339" s="133"/>
      <c r="G339" s="133"/>
      <c r="H339" s="134"/>
      <c r="I339" s="20">
        <f>$G$88*I329</f>
        <v>8340.3012836318594</v>
      </c>
      <c r="J339" s="30">
        <f t="shared" si="10"/>
        <v>0.01</v>
      </c>
      <c r="K339" s="10"/>
    </row>
    <row r="340" spans="1:11" x14ac:dyDescent="0.2">
      <c r="A340" s="10"/>
      <c r="B340" s="132" t="s">
        <v>148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2.8775938882568741E-2</v>
      </c>
      <c r="K340" s="10"/>
    </row>
    <row r="341" spans="1:11" x14ac:dyDescent="0.2">
      <c r="A341" s="10"/>
      <c r="B341" s="132" t="s">
        <v>146</v>
      </c>
      <c r="C341" s="133"/>
      <c r="D341" s="133"/>
      <c r="E341" s="133"/>
      <c r="F341" s="133"/>
      <c r="G341" s="133"/>
      <c r="H341" s="134"/>
      <c r="I341" s="20">
        <f>$G$90*I329</f>
        <v>8340.3012836318594</v>
      </c>
      <c r="J341" s="30">
        <f t="shared" si="10"/>
        <v>0.01</v>
      </c>
      <c r="K341" s="10"/>
    </row>
    <row r="342" spans="1:11" x14ac:dyDescent="0.2">
      <c r="A342" s="10"/>
      <c r="B342" s="132" t="s">
        <v>141</v>
      </c>
      <c r="C342" s="133"/>
      <c r="D342" s="133"/>
      <c r="E342" s="133"/>
      <c r="F342" s="133"/>
      <c r="G342" s="133"/>
      <c r="H342" s="134"/>
      <c r="I342" s="20">
        <f>$G$91*I329</f>
        <v>66722.410269054875</v>
      </c>
      <c r="J342" s="30">
        <f t="shared" si="10"/>
        <v>0.08</v>
      </c>
      <c r="K342" s="10"/>
    </row>
    <row r="343" spans="1:11" x14ac:dyDescent="0.2">
      <c r="A343" s="10"/>
      <c r="B343" s="135" t="s">
        <v>151</v>
      </c>
      <c r="C343" s="135"/>
      <c r="D343" s="135"/>
      <c r="E343" s="135"/>
      <c r="F343" s="135"/>
      <c r="G343" s="135"/>
      <c r="H343" s="135"/>
      <c r="I343" s="20">
        <f>SUM(I331:I342)</f>
        <v>397999.29695547424</v>
      </c>
      <c r="J343" s="30">
        <f t="shared" si="10"/>
        <v>0.47720014352066892</v>
      </c>
      <c r="K343" s="10"/>
    </row>
    <row r="344" spans="1:11" x14ac:dyDescent="0.2">
      <c r="A344" s="10"/>
      <c r="B344" s="119" t="s">
        <v>190</v>
      </c>
      <c r="C344" s="119"/>
      <c r="D344" s="119"/>
      <c r="E344" s="119"/>
      <c r="F344" s="119"/>
      <c r="G344" s="119"/>
      <c r="H344" s="119"/>
      <c r="I344" s="24">
        <f>I329-I343</f>
        <v>436030.83140771167</v>
      </c>
      <c r="J344" s="30">
        <f t="shared" si="10"/>
        <v>0.52279985647933103</v>
      </c>
      <c r="K344" s="10"/>
    </row>
    <row r="345" spans="1:11" ht="18.75" x14ac:dyDescent="0.3">
      <c r="A345" s="10"/>
      <c r="B345" s="112" t="s">
        <v>168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169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123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170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189</v>
      </c>
      <c r="C349" s="119"/>
      <c r="D349" s="119"/>
      <c r="E349" s="119"/>
      <c r="F349" s="119"/>
      <c r="G349" s="119"/>
      <c r="H349" s="119"/>
      <c r="I349" s="24">
        <f>I344-I348</f>
        <v>436030.83140771167</v>
      </c>
      <c r="J349" s="30">
        <f t="shared" si="11"/>
        <v>0.52279985647933103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15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182</v>
      </c>
      <c r="D361" s="119"/>
      <c r="E361" s="153" t="str">
        <f>CustomerName</f>
        <v>David Healy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183</v>
      </c>
      <c r="D362" s="121"/>
      <c r="E362" s="153" t="str">
        <f>CompanyName</f>
        <v>Seaford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127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3470 Merrick Rd.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Seaford, NY 11783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188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166</v>
      </c>
      <c r="C369" s="112"/>
      <c r="D369" s="112"/>
      <c r="E369" s="112"/>
      <c r="F369" s="112"/>
      <c r="G369" s="112"/>
      <c r="H369" s="112"/>
      <c r="I369" s="17" t="s">
        <v>174</v>
      </c>
      <c r="J369" s="177" t="s">
        <v>167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Form'!F76</f>
        <v>81455.045230263146</v>
      </c>
      <c r="J370" s="177"/>
      <c r="K370" s="10"/>
    </row>
    <row r="371" spans="1:11" ht="18.75" x14ac:dyDescent="0.3">
      <c r="A371" s="10"/>
      <c r="B371" s="112" t="s">
        <v>154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134</v>
      </c>
      <c r="C372" s="113"/>
      <c r="D372" s="113"/>
      <c r="E372" s="113"/>
      <c r="F372" s="29" t="s">
        <v>133</v>
      </c>
      <c r="G372" s="177" t="s">
        <v>132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183273.85176809208</v>
      </c>
      <c r="J373" s="30">
        <f>IFERROR((I373/I$378),0)</f>
        <v>0.2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122182.56784539472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183273.85176809208</v>
      </c>
      <c r="J375" s="30">
        <f t="shared" si="13"/>
        <v>0.2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325820.18092105258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101818.80653782893</v>
      </c>
      <c r="J377" s="30">
        <f t="shared" si="13"/>
        <v>0.11111111111111112</v>
      </c>
      <c r="K377" s="10"/>
    </row>
    <row r="378" spans="1:11" x14ac:dyDescent="0.2">
      <c r="A378" s="10"/>
      <c r="B378" s="135" t="s">
        <v>135</v>
      </c>
      <c r="C378" s="135"/>
      <c r="D378" s="135"/>
      <c r="E378" s="135"/>
      <c r="F378" s="135"/>
      <c r="G378" s="135"/>
      <c r="H378" s="135"/>
      <c r="I378" s="20">
        <f>SUM(I373:I377)</f>
        <v>916369.25884046033</v>
      </c>
      <c r="J378" s="30">
        <f t="shared" si="13"/>
        <v>1</v>
      </c>
      <c r="K378" s="10"/>
    </row>
    <row r="379" spans="1:11" x14ac:dyDescent="0.2">
      <c r="A379" s="10"/>
      <c r="B379" s="135" t="s">
        <v>136</v>
      </c>
      <c r="C379" s="135"/>
      <c r="D379" s="135"/>
      <c r="E379" s="135"/>
      <c r="F379" s="31">
        <f>$F$75</f>
        <v>0.03</v>
      </c>
      <c r="G379" s="179">
        <f>$G$75</f>
        <v>0.6</v>
      </c>
      <c r="H379" s="179"/>
      <c r="I379" s="20">
        <f>-(I378*F379*G379)</f>
        <v>-16494.646659128284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137</v>
      </c>
      <c r="C380" s="135"/>
      <c r="D380" s="135"/>
      <c r="E380" s="135"/>
      <c r="F380" s="135"/>
      <c r="G380" s="135"/>
      <c r="H380" s="135"/>
      <c r="I380" s="20">
        <f>I378+I379</f>
        <v>899874.61218133208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155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142</v>
      </c>
      <c r="C382" s="133"/>
      <c r="D382" s="133"/>
      <c r="E382" s="133"/>
      <c r="F382" s="133"/>
      <c r="G382" s="133"/>
      <c r="H382" s="134"/>
      <c r="I382" s="20">
        <f>$G$80*I380</f>
        <v>26996.23836543996</v>
      </c>
      <c r="J382" s="30">
        <f>IFERROR((I382/I$380),0)</f>
        <v>0.03</v>
      </c>
      <c r="K382" s="10"/>
    </row>
    <row r="383" spans="1:11" x14ac:dyDescent="0.2">
      <c r="A383" s="10"/>
      <c r="B383" s="132" t="s">
        <v>140</v>
      </c>
      <c r="C383" s="133"/>
      <c r="D383" s="133"/>
      <c r="E383" s="133"/>
      <c r="F383" s="133"/>
      <c r="G383" s="133"/>
      <c r="H383" s="134"/>
      <c r="I383" s="20">
        <f>$G$81*I380</f>
        <v>56166.573793910015</v>
      </c>
      <c r="J383" s="30">
        <f t="shared" ref="J383:J395" si="14">IFERROR((I383/I$380),0)</f>
        <v>6.2415999999999992E-2</v>
      </c>
      <c r="K383" s="10"/>
    </row>
    <row r="384" spans="1:11" x14ac:dyDescent="0.2">
      <c r="A384" s="10"/>
      <c r="B384" s="132" t="s">
        <v>143</v>
      </c>
      <c r="C384" s="133"/>
      <c r="D384" s="133"/>
      <c r="E384" s="133"/>
      <c r="F384" s="133"/>
      <c r="G384" s="133"/>
      <c r="H384" s="134"/>
      <c r="I384" s="20">
        <f>$G$82*I380</f>
        <v>8998.7461218133212</v>
      </c>
      <c r="J384" s="30">
        <f t="shared" si="14"/>
        <v>0.01</v>
      </c>
      <c r="K384" s="10"/>
    </row>
    <row r="385" spans="1:11" x14ac:dyDescent="0.2">
      <c r="A385" s="10"/>
      <c r="B385" s="132" t="s">
        <v>149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1.3335191189483077E-2</v>
      </c>
      <c r="K385" s="10"/>
    </row>
    <row r="386" spans="1:11" x14ac:dyDescent="0.2">
      <c r="A386" s="10"/>
      <c r="B386" s="132" t="s">
        <v>22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0.18223338871899994</v>
      </c>
      <c r="K386" s="10"/>
    </row>
    <row r="387" spans="1:11" x14ac:dyDescent="0.2">
      <c r="A387" s="10"/>
      <c r="B387" s="132" t="s">
        <v>144</v>
      </c>
      <c r="C387" s="133"/>
      <c r="D387" s="133"/>
      <c r="E387" s="133"/>
      <c r="F387" s="133"/>
      <c r="G387" s="133"/>
      <c r="H387" s="134"/>
      <c r="I387" s="20">
        <f>$G$85*I380</f>
        <v>8998.7461218133212</v>
      </c>
      <c r="J387" s="30">
        <f t="shared" si="14"/>
        <v>0.01</v>
      </c>
      <c r="K387" s="10"/>
    </row>
    <row r="388" spans="1:11" x14ac:dyDescent="0.2">
      <c r="A388" s="10"/>
      <c r="B388" s="132" t="s">
        <v>145</v>
      </c>
      <c r="C388" s="133"/>
      <c r="D388" s="133"/>
      <c r="E388" s="133"/>
      <c r="F388" s="133"/>
      <c r="G388" s="133"/>
      <c r="H388" s="134"/>
      <c r="I388" s="20">
        <f>$G$86*I380</f>
        <v>8998.7461218133212</v>
      </c>
      <c r="J388" s="30">
        <f t="shared" si="14"/>
        <v>0.01</v>
      </c>
      <c r="K388" s="10"/>
    </row>
    <row r="389" spans="1:11" x14ac:dyDescent="0.2">
      <c r="A389" s="10"/>
      <c r="B389" s="132" t="s">
        <v>147</v>
      </c>
      <c r="C389" s="133"/>
      <c r="D389" s="133"/>
      <c r="E389" s="133"/>
      <c r="F389" s="133"/>
      <c r="G389" s="133"/>
      <c r="H389" s="134"/>
      <c r="I389" s="20">
        <f>$G$87*I380</f>
        <v>13498.11918271998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150</v>
      </c>
      <c r="C390" s="133"/>
      <c r="D390" s="133"/>
      <c r="E390" s="133"/>
      <c r="F390" s="133"/>
      <c r="G390" s="133"/>
      <c r="H390" s="134"/>
      <c r="I390" s="20">
        <f>$G$88*I380</f>
        <v>8998.7461218133212</v>
      </c>
      <c r="J390" s="30">
        <f t="shared" si="14"/>
        <v>0.01</v>
      </c>
      <c r="K390" s="10"/>
    </row>
    <row r="391" spans="1:11" x14ac:dyDescent="0.2">
      <c r="A391" s="10"/>
      <c r="B391" s="132" t="s">
        <v>148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2.6670382378966153E-2</v>
      </c>
      <c r="K391" s="10"/>
    </row>
    <row r="392" spans="1:11" x14ac:dyDescent="0.2">
      <c r="A392" s="10"/>
      <c r="B392" s="132" t="s">
        <v>146</v>
      </c>
      <c r="C392" s="133"/>
      <c r="D392" s="133"/>
      <c r="E392" s="133"/>
      <c r="F392" s="133"/>
      <c r="G392" s="133"/>
      <c r="H392" s="134"/>
      <c r="I392" s="20">
        <f>$G$90*I380</f>
        <v>8998.7461218133212</v>
      </c>
      <c r="J392" s="30">
        <f t="shared" si="14"/>
        <v>0.01</v>
      </c>
      <c r="K392" s="10"/>
    </row>
    <row r="393" spans="1:11" x14ac:dyDescent="0.2">
      <c r="A393" s="10"/>
      <c r="B393" s="132" t="s">
        <v>141</v>
      </c>
      <c r="C393" s="133"/>
      <c r="D393" s="133"/>
      <c r="E393" s="133"/>
      <c r="F393" s="133"/>
      <c r="G393" s="133"/>
      <c r="H393" s="134"/>
      <c r="I393" s="20">
        <f>$G$91*I380</f>
        <v>71989.96897450657</v>
      </c>
      <c r="J393" s="30">
        <f t="shared" si="14"/>
        <v>0.08</v>
      </c>
      <c r="K393" s="10"/>
    </row>
    <row r="394" spans="1:11" x14ac:dyDescent="0.2">
      <c r="A394" s="10"/>
      <c r="B394" s="135" t="s">
        <v>151</v>
      </c>
      <c r="C394" s="135"/>
      <c r="D394" s="135"/>
      <c r="E394" s="135"/>
      <c r="F394" s="135"/>
      <c r="G394" s="135"/>
      <c r="H394" s="135"/>
      <c r="I394" s="20">
        <f>SUM(I382:I393)</f>
        <v>413631.83092564309</v>
      </c>
      <c r="J394" s="30">
        <f t="shared" si="14"/>
        <v>0.45965496228744912</v>
      </c>
      <c r="K394" s="10"/>
    </row>
    <row r="395" spans="1:11" x14ac:dyDescent="0.2">
      <c r="A395" s="10"/>
      <c r="B395" s="119" t="s">
        <v>190</v>
      </c>
      <c r="C395" s="119"/>
      <c r="D395" s="119"/>
      <c r="E395" s="119"/>
      <c r="F395" s="119"/>
      <c r="G395" s="119"/>
      <c r="H395" s="119"/>
      <c r="I395" s="24">
        <f>I380-I394</f>
        <v>486242.78125568898</v>
      </c>
      <c r="J395" s="30">
        <f t="shared" si="14"/>
        <v>0.54034503771255094</v>
      </c>
      <c r="K395" s="10"/>
    </row>
    <row r="396" spans="1:11" ht="18.75" x14ac:dyDescent="0.3">
      <c r="A396" s="10"/>
      <c r="B396" s="112" t="s">
        <v>168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169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123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170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189</v>
      </c>
      <c r="C400" s="119"/>
      <c r="D400" s="119"/>
      <c r="E400" s="119"/>
      <c r="F400" s="119"/>
      <c r="G400" s="119"/>
      <c r="H400" s="119"/>
      <c r="I400" s="24">
        <f>I395-I399</f>
        <v>486242.78125568898</v>
      </c>
      <c r="J400" s="30">
        <f t="shared" si="15"/>
        <v>0.54034503771255094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15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182</v>
      </c>
      <c r="D412" s="119"/>
      <c r="E412" s="153" t="str">
        <f>CustomerName</f>
        <v>David Healy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183</v>
      </c>
      <c r="D413" s="121"/>
      <c r="E413" s="153" t="str">
        <f>CompanyName</f>
        <v>Seaford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127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3470 Merrick Rd.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Seaford, NY 11783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175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176</v>
      </c>
      <c r="C420" s="135"/>
      <c r="D420" s="135"/>
      <c r="E420" s="135"/>
      <c r="F420" s="135"/>
      <c r="G420" s="135"/>
      <c r="H420" s="135"/>
      <c r="I420" s="181">
        <f>'Input Form'!E88</f>
        <v>0</v>
      </c>
      <c r="J420" s="182"/>
      <c r="K420" s="10"/>
    </row>
    <row r="421" spans="1:11" x14ac:dyDescent="0.2">
      <c r="A421" s="10"/>
      <c r="B421" s="135" t="s">
        <v>177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178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179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180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181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MbV1PLLlVPQraYM+Uk3O7hHbYWJs0jTouzzFPhIkPNb9/xpUuT1HKrafemSyx8V4+nmBtmqUsP4d7MZbW8M3w==" saltValue="CbpPFEkHdTtzoh5ApcKvh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2021-03-16T15:59:58Z</cp:lastPrinted>
  <dcterms:created xsi:type="dcterms:W3CDTF">2003-04-06T16:14:55Z</dcterms:created>
  <dcterms:modified xsi:type="dcterms:W3CDTF">2021-04-09T17:47:41Z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