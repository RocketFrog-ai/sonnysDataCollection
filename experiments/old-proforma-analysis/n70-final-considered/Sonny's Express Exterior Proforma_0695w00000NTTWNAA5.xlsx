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Josh Kingsley\NV\6451 W Charleston Blvd., Las Vegas\"/>
    </mc:Choice>
  </mc:AlternateContent>
  <xr:revisionPtr revIDLastSave="0" documentId="8_{497D03E9-684D-49FF-9346-27518CF38E89}" xr6:coauthVersionLast="47" xr6:coauthVersionMax="47" xr10:uidLastSave="{00000000-0000-0000-0000-000000000000}"/>
  <workbookProtection workbookPassword="FB8D" lockStructure="1"/>
  <bookViews>
    <workbookView xWindow="9510" yWindow="-90" windowWidth="19380" windowHeight="1038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<sst xmlns="http://schemas.openxmlformats.org/spreadsheetml/2006/main" count="431" uniqueCount="198">
  <si>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</si>
  <si>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</si>
  <si>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</si>
  <si>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</si>
  <si>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</si>
  <si>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</si>
  <si>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</si>
  <si>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</si>
  <si>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</si>
  <si>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</si>
  <si>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</si>
  <si>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</si>
  <si>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</si>
  <si>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</si>
  <si>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</si>
  <si>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</si>
  <si>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</si>
  <si>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</si>
  <si>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</si>
  <si>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</si>
  <si>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</si>
  <si>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</si>
  <si>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</si>
  <si>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</si>
  <si>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</si>
  <si>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</si>
  <si>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</si>
  <si>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</si>
  <si>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</si>
  <si>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</si>
  <si>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</si>
  <si>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</si>
  <si>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</si>
  <si>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</si>
  <si>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</si>
  <si>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</si>
  <si>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</si>
  <si>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</si>
  <si>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</si>
  <si>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</si>
  <si>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</si>
  <si>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</si>
  <si>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</si>
  <si>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</si>
  <si>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</si>
  <si>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</si>
  <si>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</si>
  <si>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</si>
  <si>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</si>
  <si>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</si>
  <si>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</si>
  <si>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</si>
  <si>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</si>
  <si>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</si>
  <si>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</si>
  <si>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</si>
  <si>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</si>
  <si>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</si>
  <si>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</si>
  <si>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</si>
  <si>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</si>
  <si>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</si>
  <si>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</si>
  <si>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</si>
  <si>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</si>
  <si>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</si>
  <si>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</si>
  <si>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</si>
  <si>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</si>
  <si>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</si>
  <si>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</si>
  <si>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</si>
  <si>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</si>
  <si>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</si>
  <si>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</si>
  <si>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</si>
  <si>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</si>
  <si>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</si>
  <si>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</si>
  <si>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</si>
  <si>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</si>
  <si>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</si>
  <si>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</si>
  <si>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</si>
  <si>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</si>
  <si>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</si>
  <si>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</si>
  <si>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</si>
  <si>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</si>
  <si>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</si>
  <si>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</si>
  <si>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</si>
  <si>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</si>
  <si>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</si>
  <si>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</si>
  <si>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</si>
  <si>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</si>
  <si>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</si>
  <si>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</si>
  <si>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</si>
  <si>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</si>
  <si>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</si>
  <si>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</si>
  <si>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</si>
  <si>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</si>
  <si>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</si>
  <si>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</si>
  <si>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</si>
  <si>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</si>
  <si>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</si>
  <si>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</si>
  <si>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</si>
  <si>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</si>
  <si>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</si>
  <si>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</si>
  <si>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</si>
  <si>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</si>
  <si>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</si>
  <si>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</si>
  <si>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</si>
  <si>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</si>
  <si>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</si>
  <si>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</si>
  <si>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</si>
  <si>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</si>
  <si>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</si>
  <si>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</si>
  <si>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</si>
  <si>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</si>
  <si>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</si>
  <si>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</si>
  <si>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</si>
  <si>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</si>
  <si>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</si>
  <si>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</si>
  <si>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</si>
  <si>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</si>
  <si>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</si>
  <si>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</si>
  <si>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</si>
  <si>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</si>
  <si>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</si>
  <si>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</si>
  <si>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</si>
  <si>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</si>
  <si>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</si>
  <si>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</si>
  <si>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</si>
  <si>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</si>
  <si>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</si>
  <si>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</si>
  <si>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</si>
  <si>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</si>
  <si>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</si>
  <si>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</si>
  <si>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</si>
  <si>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</si>
  <si>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</si>
  <si>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</si>
  <si>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</si>
  <si>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</si>
  <si>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</si>
  <si>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</si>
  <si>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</si>
  <si>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</si>
  <si>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</si>
  <si>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</si>
  <si>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</si>
  <si>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</si>
  <si>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</si>
  <si>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</si>
  <si>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</si>
  <si>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</si>
  <si>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</si>
  <si>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</si>
  <si>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</si>
  <si>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</si>
  <si>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</si>
  <si>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</si>
  <si>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</si>
  <si>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</si>
  <si>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</si>
  <si>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</si>
  <si>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</si>
  <si>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</si>
  <si>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</si>
  <si>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</si>
  <si>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</si>
  <si>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</si>
  <si>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</si>
  <si>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</si>
  <si>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</si>
  <si>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Josh Kingsley</t>
  </si>
  <si>
    <t>LUV Car Wash</t>
  </si>
  <si>
    <t>U-Drive Express Car Wash</t>
  </si>
  <si>
    <t>6451 W Charleston Blvd.</t>
  </si>
  <si>
    <t>Las Vegas, NV 89146</t>
  </si>
  <si>
    <r>
  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rgb="FFFF0000"/>
        <rFont val="Calibri"/>
        <family val="2"/>
        <scheme val="minor"/>
      </rPr>
      <t>This proforma cannot account for the shared traffic pattern with an express competitor.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</si>
</sst>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514350</xdr:colOff>
      <xdr:row>32</xdr:row>
      <xdr:rowOff>190500</xdr:rowOff>
    </xdr:from>
    <xdr:to>
      <xdr:col>5</xdr:col>
      <xdr:colOff>714376</xdr:colOff>
      <xdr:row>39</xdr:row>
      <xdr:rowOff>19051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35AB2-5552-492D-A8A8-2F95EED8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5895975"/>
          <a:ext cx="1000126" cy="1000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D70" sqref="D70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0" t="s">
        <v>40</v>
      </c>
      <c r="B1" s="90"/>
      <c r="C1" s="90"/>
      <c r="D1" s="90"/>
      <c r="E1" s="34"/>
      <c r="F1" s="34"/>
    </row>
    <row r="2" spans="1:9" ht="15.75" x14ac:dyDescent="0.25">
      <c r="A2" s="35" t="s">
        <v>11</v>
      </c>
      <c r="B2" s="86" t="s">
        <v>192</v>
      </c>
      <c r="C2" s="87"/>
      <c r="D2" s="88"/>
      <c r="E2" s="34"/>
      <c r="F2" s="34"/>
    </row>
    <row r="3" spans="1:9" ht="15.75" x14ac:dyDescent="0.25">
      <c r="A3" s="35" t="s">
        <v>14</v>
      </c>
      <c r="B3" s="86" t="s">
        <v>193</v>
      </c>
      <c r="C3" s="87"/>
      <c r="D3" s="88"/>
      <c r="E3" s="34"/>
      <c r="F3" s="34"/>
    </row>
    <row r="4" spans="1:9" ht="15.75" x14ac:dyDescent="0.25">
      <c r="A4" s="35" t="s">
        <v>12</v>
      </c>
      <c r="B4" s="86" t="s">
        <v>194</v>
      </c>
      <c r="C4" s="87"/>
      <c r="D4" s="88"/>
      <c r="E4" s="34"/>
      <c r="F4" s="34"/>
    </row>
    <row r="5" spans="1:9" ht="15.75" x14ac:dyDescent="0.25">
      <c r="A5" s="35" t="s">
        <v>13</v>
      </c>
      <c r="B5" s="86" t="s">
        <v>195</v>
      </c>
      <c r="C5" s="87"/>
      <c r="D5" s="88"/>
      <c r="E5" s="34"/>
      <c r="F5" s="34"/>
    </row>
    <row r="6" spans="1:9" ht="15.75" x14ac:dyDescent="0.25">
      <c r="A6" s="35" t="s">
        <v>15</v>
      </c>
      <c r="B6" s="86" t="s">
        <v>196</v>
      </c>
      <c r="C6" s="87"/>
      <c r="D6" s="88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9" t="s">
        <v>39</v>
      </c>
      <c r="B11" s="89"/>
      <c r="C11" s="89"/>
      <c r="D11" s="89"/>
      <c r="E11" s="34"/>
      <c r="F11" s="34"/>
    </row>
    <row r="12" spans="1:9" ht="15.75" x14ac:dyDescent="0.2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75" x14ac:dyDescent="0.25">
      <c r="A13" s="43" t="s">
        <v>19</v>
      </c>
      <c r="B13" s="40">
        <v>45</v>
      </c>
      <c r="C13" s="44">
        <v>25</v>
      </c>
      <c r="D13" s="45">
        <v>0.2</v>
      </c>
      <c r="E13" s="34"/>
      <c r="F13" s="34"/>
      <c r="H13" s="9"/>
    </row>
    <row r="14" spans="1:9" ht="15.75" x14ac:dyDescent="0.2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75" x14ac:dyDescent="0.2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9" t="s">
        <v>38</v>
      </c>
      <c r="B17" s="80"/>
      <c r="C17" s="80"/>
      <c r="D17" s="81"/>
      <c r="E17" s="34"/>
      <c r="F17" s="34"/>
    </row>
    <row r="18" spans="1:8" ht="15.75" x14ac:dyDescent="0.2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75" x14ac:dyDescent="0.25">
      <c r="A19" s="43" t="s">
        <v>26</v>
      </c>
      <c r="B19" s="47">
        <v>0</v>
      </c>
      <c r="C19" s="48">
        <v>0.45</v>
      </c>
      <c r="D19" s="45">
        <v>0</v>
      </c>
      <c r="E19" s="34"/>
      <c r="F19" s="34"/>
    </row>
    <row r="20" spans="1:8" ht="15.75" x14ac:dyDescent="0.25">
      <c r="A20" s="43" t="s">
        <v>27</v>
      </c>
      <c r="B20" s="47">
        <v>10</v>
      </c>
      <c r="C20" s="48">
        <v>0.88600000000000001</v>
      </c>
      <c r="D20" s="45">
        <v>0.4</v>
      </c>
      <c r="E20" s="34"/>
      <c r="F20" s="34"/>
    </row>
    <row r="21" spans="1:8" ht="15.75" x14ac:dyDescent="0.25">
      <c r="A21" s="43" t="s">
        <v>28</v>
      </c>
      <c r="B21" s="47">
        <v>16</v>
      </c>
      <c r="C21" s="48">
        <v>1.054</v>
      </c>
      <c r="D21" s="45">
        <v>0.3</v>
      </c>
      <c r="E21" s="34"/>
      <c r="F21" s="34"/>
    </row>
    <row r="22" spans="1:8" ht="15.75" x14ac:dyDescent="0.25">
      <c r="A22" s="43" t="s">
        <v>29</v>
      </c>
      <c r="B22" s="47">
        <v>0</v>
      </c>
      <c r="C22" s="48">
        <v>1.873</v>
      </c>
      <c r="D22" s="45">
        <v>0</v>
      </c>
      <c r="E22" s="34"/>
      <c r="F22" s="34"/>
    </row>
    <row r="23" spans="1:8" ht="15.75" x14ac:dyDescent="0.25">
      <c r="A23" s="43" t="s">
        <v>30</v>
      </c>
      <c r="B23" s="47">
        <v>22</v>
      </c>
      <c r="C23" s="48">
        <v>2.121</v>
      </c>
      <c r="D23" s="45">
        <v>0.3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9" t="s">
        <v>43</v>
      </c>
      <c r="B25" s="80"/>
      <c r="C25" s="80"/>
      <c r="D25" s="80"/>
      <c r="E25" s="81"/>
      <c r="F25" s="34"/>
    </row>
    <row r="26" spans="1:8" ht="15.75" x14ac:dyDescent="0.2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75" x14ac:dyDescent="0.25">
      <c r="A27" s="43" t="s">
        <v>26</v>
      </c>
      <c r="B27" s="47">
        <v>0</v>
      </c>
      <c r="C27" s="47">
        <v>0</v>
      </c>
      <c r="D27" s="47">
        <v>0</v>
      </c>
      <c r="E27" s="47">
        <v>0</v>
      </c>
      <c r="F27" s="34"/>
    </row>
    <row r="28" spans="1:8" ht="15.75" x14ac:dyDescent="0.2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28</v>
      </c>
      <c r="B29" s="47">
        <v>16</v>
      </c>
      <c r="C29" s="47">
        <v>16</v>
      </c>
      <c r="D29" s="47">
        <v>16</v>
      </c>
      <c r="E29" s="47">
        <v>16</v>
      </c>
      <c r="F29" s="34"/>
    </row>
    <row r="30" spans="1:8" ht="15.75" x14ac:dyDescent="0.25">
      <c r="A30" s="43" t="s">
        <v>29</v>
      </c>
      <c r="B30" s="47">
        <v>0</v>
      </c>
      <c r="C30" s="47">
        <v>0</v>
      </c>
      <c r="D30" s="47">
        <v>0</v>
      </c>
      <c r="E30" s="47">
        <v>0</v>
      </c>
      <c r="F30" s="34"/>
    </row>
    <row r="31" spans="1:8" ht="15.75" x14ac:dyDescent="0.25">
      <c r="A31" s="43" t="s">
        <v>30</v>
      </c>
      <c r="B31" s="47">
        <v>22</v>
      </c>
      <c r="C31" s="47">
        <v>22</v>
      </c>
      <c r="D31" s="47">
        <v>22</v>
      </c>
      <c r="E31" s="47">
        <v>22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9" t="s">
        <v>58</v>
      </c>
      <c r="B33" s="80"/>
      <c r="C33" s="80"/>
      <c r="D33" s="80"/>
      <c r="E33" s="80"/>
      <c r="F33" s="81"/>
    </row>
    <row r="34" spans="1:6" ht="15.75" x14ac:dyDescent="0.2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25" x14ac:dyDescent="0.3">
      <c r="A35" s="8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75" x14ac:dyDescent="0.2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25" x14ac:dyDescent="0.3">
      <c r="A37" s="82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25" x14ac:dyDescent="0.3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25" x14ac:dyDescent="0.3">
      <c r="A41" s="8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25" x14ac:dyDescent="0.3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25" x14ac:dyDescent="0.3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25" x14ac:dyDescent="0.3">
      <c r="A47" s="82"/>
      <c r="B47" s="50">
        <v>1</v>
      </c>
      <c r="C47" s="50"/>
      <c r="D47" s="50"/>
      <c r="E47" s="50"/>
      <c r="F47" s="51">
        <f>IF(B47=1,0.15,IF(C47=1,0.1,IF(D47=1,0.05,IF(E47=1,-0.25,0))))</f>
        <v>0.15</v>
      </c>
    </row>
    <row r="48" spans="1:6" ht="15.75" x14ac:dyDescent="0.2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25" x14ac:dyDescent="0.3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25" x14ac:dyDescent="0.3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25" x14ac:dyDescent="0.3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83" t="s">
        <v>0</v>
      </c>
      <c r="B54" s="84"/>
      <c r="C54" s="84"/>
      <c r="D54" s="84"/>
      <c r="E54" s="85"/>
      <c r="F54" s="56">
        <f>F35+F37+F39+F41+F43+F45+F47+F49+F51+F53</f>
        <v>1.0250000000000001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9" t="s">
        <v>1</v>
      </c>
      <c r="B56" s="80"/>
      <c r="C56" s="80"/>
      <c r="D56" s="80"/>
      <c r="E56" s="80"/>
      <c r="F56" s="81"/>
    </row>
    <row r="57" spans="1:8" ht="15.75" x14ac:dyDescent="0.25">
      <c r="A57" s="83" t="s">
        <v>92</v>
      </c>
      <c r="B57" s="84"/>
      <c r="C57" s="84"/>
      <c r="D57" s="85"/>
      <c r="E57" s="59">
        <v>2.69</v>
      </c>
      <c r="F57" s="60">
        <f>IF(E57&lt;2.101,-0.1*(2.1-E57),IF(E57&gt;3,-0.5*(E57-3),0))</f>
        <v>0</v>
      </c>
      <c r="H57" s="2"/>
    </row>
    <row r="58" spans="1:8" ht="15.75" x14ac:dyDescent="0.25">
      <c r="A58" s="83" t="s">
        <v>93</v>
      </c>
      <c r="B58" s="84"/>
      <c r="C58" s="84"/>
      <c r="D58" s="85"/>
      <c r="E58" s="45">
        <v>0.51100000000000001</v>
      </c>
      <c r="F58" s="61">
        <f>-0.3*(0.55-E58)</f>
        <v>-1.1700000000000011E-2</v>
      </c>
    </row>
    <row r="59" spans="1:8" ht="15.75" x14ac:dyDescent="0.25">
      <c r="A59" s="83" t="s">
        <v>3</v>
      </c>
      <c r="B59" s="84"/>
      <c r="C59" s="84"/>
      <c r="D59" s="85"/>
      <c r="E59" s="45">
        <v>0.65800000000000003</v>
      </c>
      <c r="F59" s="61">
        <f>-0.75*(0.5-E59)</f>
        <v>0.11850000000000002</v>
      </c>
    </row>
    <row r="60" spans="1:8" ht="15.75" x14ac:dyDescent="0.2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75" x14ac:dyDescent="0.25">
      <c r="A61" s="83" t="s">
        <v>94</v>
      </c>
      <c r="B61" s="84"/>
      <c r="C61" s="84"/>
      <c r="D61" s="84"/>
      <c r="E61" s="85"/>
      <c r="F61" s="61">
        <f>SUM(F57:F60)/4</f>
        <v>2.6700000000000002E-2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1" t="s">
        <v>97</v>
      </c>
      <c r="B63" s="91"/>
      <c r="C63" s="91"/>
      <c r="D63" s="91"/>
      <c r="E63" s="91"/>
      <c r="F63" s="91"/>
    </row>
    <row r="64" spans="1:8" ht="15.75" x14ac:dyDescent="0.25">
      <c r="A64" s="83" t="s">
        <v>95</v>
      </c>
      <c r="B64" s="84"/>
      <c r="C64" s="84"/>
      <c r="D64" s="84"/>
      <c r="E64" s="85"/>
      <c r="F64" s="64">
        <f>(F54*0.7)*(1+F61)/85</f>
        <v>8.6665558823529418E-3</v>
      </c>
    </row>
    <row r="65" spans="1:6" ht="15.75" x14ac:dyDescent="0.25">
      <c r="A65" s="83" t="s">
        <v>96</v>
      </c>
      <c r="B65" s="84"/>
      <c r="C65" s="84"/>
      <c r="D65" s="84"/>
      <c r="E65" s="85"/>
      <c r="F65" s="64">
        <f>$F$54*(1+$F$61)/92</f>
        <v>1.1438777173913044E-2</v>
      </c>
    </row>
    <row r="66" spans="1:6" ht="15.75" x14ac:dyDescent="0.25">
      <c r="A66" s="83" t="s">
        <v>10</v>
      </c>
      <c r="B66" s="84"/>
      <c r="C66" s="84"/>
      <c r="D66" s="84"/>
      <c r="E66" s="85"/>
      <c r="F66" s="64">
        <f>$F$54*(1+$F$61)/76</f>
        <v>1.3846940789473686E-2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9" t="s">
        <v>102</v>
      </c>
      <c r="B68" s="80"/>
      <c r="C68" s="80"/>
      <c r="D68" s="81"/>
      <c r="E68" s="57"/>
      <c r="F68" s="58"/>
    </row>
    <row r="69" spans="1:6" ht="15.75" x14ac:dyDescent="0.2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75" x14ac:dyDescent="0.25">
      <c r="A70" s="78">
        <v>32002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9" t="s">
        <v>103</v>
      </c>
      <c r="B72" s="80"/>
      <c r="C72" s="80"/>
      <c r="D72" s="80"/>
      <c r="E72" s="80"/>
      <c r="F72" s="81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104</v>
      </c>
      <c r="B74" s="68">
        <f>F64*A70*300</f>
        <v>83204.136404117642</v>
      </c>
      <c r="C74" s="68">
        <f>F65*A70*300</f>
        <v>109819.12413586957</v>
      </c>
      <c r="D74" s="68">
        <f>($F$54*(1+$F$61))/85*($A$70*(1+B$70))*300</f>
        <v>118863.05200588237</v>
      </c>
      <c r="E74" s="68">
        <f>($F$54*(1+$F$61))/82*($A$70*(1+C$70))*300</f>
        <v>123211.70025000002</v>
      </c>
      <c r="F74" s="68">
        <f>F66*(A70*(1+D70)*300)</f>
        <v>132938.93974342107</v>
      </c>
    </row>
    <row r="75" spans="1:6" ht="15.75" x14ac:dyDescent="0.25">
      <c r="A75" s="35" t="s">
        <v>105</v>
      </c>
      <c r="B75" s="68">
        <f>B74/12</f>
        <v>6933.6780336764705</v>
      </c>
      <c r="C75" s="68">
        <f>C74/12</f>
        <v>9151.5936779891308</v>
      </c>
      <c r="D75" s="68">
        <f t="shared" ref="D75:F75" si="0">D74/12</f>
        <v>9905.2543338235319</v>
      </c>
      <c r="E75" s="68">
        <f t="shared" si="0"/>
        <v>10267.641687500001</v>
      </c>
      <c r="F75" s="68">
        <f t="shared" si="0"/>
        <v>11078.244978618422</v>
      </c>
    </row>
    <row r="76" spans="1:6" ht="15.75" x14ac:dyDescent="0.25">
      <c r="A76" s="35" t="s">
        <v>106</v>
      </c>
      <c r="B76" s="68">
        <f>B75/4.5/7*3</f>
        <v>660.35028892156856</v>
      </c>
      <c r="C76" s="68">
        <f t="shared" ref="C76:F76" si="1">C75/4.5/7*3</f>
        <v>871.58035028467918</v>
      </c>
      <c r="D76" s="68">
        <f t="shared" si="1"/>
        <v>943.35755560224106</v>
      </c>
      <c r="E76" s="68">
        <f t="shared" si="1"/>
        <v>977.87063690476202</v>
      </c>
      <c r="F76" s="68">
        <f t="shared" si="1"/>
        <v>1055.0709503446117</v>
      </c>
    </row>
    <row r="77" spans="1:6" ht="15.75" x14ac:dyDescent="0.25">
      <c r="A77" s="35" t="s">
        <v>107</v>
      </c>
      <c r="B77" s="68">
        <f>IFERROR((B76/$B9*1.3),0)</f>
        <v>71.537947966503268</v>
      </c>
      <c r="C77" s="68">
        <f t="shared" ref="C77:F77" si="2">IFERROR((C76/$B9*1.3),0)</f>
        <v>94.421204614173575</v>
      </c>
      <c r="D77" s="68">
        <f t="shared" si="2"/>
        <v>102.19706852357612</v>
      </c>
      <c r="E77" s="68">
        <f t="shared" si="2"/>
        <v>105.93598566468255</v>
      </c>
      <c r="F77" s="68">
        <f t="shared" si="2"/>
        <v>114.2993529539996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9" t="s">
        <v>2</v>
      </c>
      <c r="B79" s="89"/>
      <c r="C79" s="89"/>
      <c r="D79" s="89"/>
      <c r="E79" s="89"/>
      <c r="F79" s="89"/>
    </row>
    <row r="80" spans="1:6" ht="31.5" x14ac:dyDescent="0.2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75" x14ac:dyDescent="0.2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119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116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118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158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9" t="s">
        <v>120</v>
      </c>
      <c r="B87" s="80"/>
      <c r="C87" s="80"/>
      <c r="D87" s="80"/>
      <c r="E87" s="80"/>
      <c r="F87" s="81"/>
    </row>
    <row r="88" spans="1:6" ht="31.5" x14ac:dyDescent="0.2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75" x14ac:dyDescent="0.2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9" t="s">
        <v>122</v>
      </c>
      <c r="B95" s="80"/>
      <c r="C95" s="80"/>
      <c r="D95" s="80"/>
      <c r="E95" s="80"/>
      <c r="F95" s="81"/>
    </row>
    <row r="96" spans="1:6" ht="15.75" x14ac:dyDescent="0.25">
      <c r="A96" s="92" t="s">
        <v>123</v>
      </c>
      <c r="B96" s="93"/>
      <c r="C96" s="93"/>
      <c r="D96" s="94"/>
      <c r="E96" s="98" t="s">
        <v>125</v>
      </c>
      <c r="F96" s="99"/>
    </row>
    <row r="97" spans="1:8" ht="15.75" x14ac:dyDescent="0.25">
      <c r="A97" s="95" t="s">
        <v>116</v>
      </c>
      <c r="B97" s="96"/>
      <c r="C97" s="96"/>
      <c r="D97" s="97"/>
      <c r="E97" s="100">
        <v>0</v>
      </c>
      <c r="F97" s="101"/>
    </row>
    <row r="98" spans="1:8" ht="15.75" x14ac:dyDescent="0.25">
      <c r="A98" s="95" t="s">
        <v>117</v>
      </c>
      <c r="B98" s="96"/>
      <c r="C98" s="96"/>
      <c r="D98" s="97"/>
      <c r="E98" s="100">
        <v>0</v>
      </c>
      <c r="F98" s="101"/>
    </row>
    <row r="99" spans="1:8" ht="15.75" x14ac:dyDescent="0.2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75" x14ac:dyDescent="0.2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4" zoomScaleNormal="100" workbookViewId="0">
      <selection activeCell="M46" sqref="M46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7" t="str">
        <f>'Input Form'!B2</f>
        <v>Josh Kingsley</v>
      </c>
      <c r="F29" s="107"/>
      <c r="G29" s="107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7" t="str">
        <f>'Input Form'!B3</f>
        <v>LUV Car Wash</v>
      </c>
      <c r="F30" s="107"/>
      <c r="G30" s="107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7" t="str">
        <f>'Input Form'!B4</f>
        <v>U-Drive Express Car Wash</v>
      </c>
      <c r="F31" s="107"/>
      <c r="G31" s="107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7" t="str">
        <f>'Input Form'!B5</f>
        <v>6451 W Charleston Blvd.</v>
      </c>
      <c r="F32" s="107"/>
      <c r="G32" s="107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7" t="str">
        <f>'Input Form'!B6</f>
        <v>Las Vegas, NV 89146</v>
      </c>
      <c r="F33" s="107"/>
      <c r="G33" s="107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1" t="s">
        <v>197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2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2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2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2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2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9" t="s">
        <v>183</v>
      </c>
      <c r="D56" s="119"/>
      <c r="E56" s="153" t="str">
        <f>CustomerName</f>
        <v>Josh Kingsley</v>
      </c>
      <c r="F56" s="154"/>
      <c r="G56" s="154"/>
      <c r="H56" s="154"/>
      <c r="I56" s="155"/>
      <c r="J56" s="10"/>
      <c r="K56" s="10"/>
    </row>
    <row r="57" spans="1:11" x14ac:dyDescent="0.2">
      <c r="A57" s="10"/>
      <c r="B57" s="10"/>
      <c r="C57" s="120" t="s">
        <v>184</v>
      </c>
      <c r="D57" s="121"/>
      <c r="E57" s="153" t="str">
        <f>CompanyName</f>
        <v>LUV Car Wash</v>
      </c>
      <c r="F57" s="154"/>
      <c r="G57" s="154"/>
      <c r="H57" s="154"/>
      <c r="I57" s="155"/>
      <c r="J57" s="10"/>
      <c r="K57" s="10"/>
    </row>
    <row r="58" spans="1:11" x14ac:dyDescent="0.2">
      <c r="A58" s="10"/>
      <c r="B58" s="10"/>
      <c r="C58" s="122" t="s">
        <v>128</v>
      </c>
      <c r="D58" s="123"/>
      <c r="E58" s="158" t="str">
        <f>AddressLine1</f>
        <v>U-Drive Express Car Wash</v>
      </c>
      <c r="F58" s="159"/>
      <c r="G58" s="159"/>
      <c r="H58" s="159"/>
      <c r="I58" s="160"/>
      <c r="J58" s="13"/>
      <c r="K58" s="10"/>
    </row>
    <row r="59" spans="1:11" x14ac:dyDescent="0.2">
      <c r="A59" s="10"/>
      <c r="B59" s="10"/>
      <c r="C59" s="124"/>
      <c r="D59" s="125"/>
      <c r="E59" s="161" t="str">
        <f>AddressLine2</f>
        <v>6451 W Charleston Blvd.</v>
      </c>
      <c r="F59" s="162"/>
      <c r="G59" s="162"/>
      <c r="H59" s="162"/>
      <c r="I59" s="163"/>
      <c r="J59" s="10"/>
      <c r="K59" s="10"/>
    </row>
    <row r="60" spans="1:11" x14ac:dyDescent="0.2">
      <c r="A60" s="10"/>
      <c r="B60" s="10"/>
      <c r="C60" s="126"/>
      <c r="D60" s="127"/>
      <c r="E60" s="164" t="str">
        <f>AddressLine3</f>
        <v>Las Vegas, NV 89146</v>
      </c>
      <c r="F60" s="165"/>
      <c r="G60" s="165"/>
      <c r="H60" s="165"/>
      <c r="I60" s="166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2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2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2120.9619200905909</v>
      </c>
      <c r="J65" s="18">
        <f>'Input Form'!B75</f>
        <v>6933.6780336764705</v>
      </c>
      <c r="K65" s="10"/>
    </row>
    <row r="66" spans="1:15" ht="18.75" x14ac:dyDescent="0.3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2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2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2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0</v>
      </c>
      <c r="G69" s="139">
        <f>'Input Form'!D19</f>
        <v>0</v>
      </c>
      <c r="H69" s="140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0.4</v>
      </c>
      <c r="H70" s="140"/>
      <c r="I70" s="20">
        <f>IFERROR((I$65*G70*F70),0)</f>
        <v>8483.8476803623635</v>
      </c>
      <c r="J70" s="20">
        <f t="shared" ref="J70:J73" si="0">J$65*F70*G70</f>
        <v>27734.712134705882</v>
      </c>
      <c r="K70" s="10"/>
    </row>
    <row r="71" spans="1:15" x14ac:dyDescent="0.2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16</v>
      </c>
      <c r="G71" s="139">
        <f>'Input Form'!D21</f>
        <v>0.3</v>
      </c>
      <c r="H71" s="140"/>
      <c r="I71" s="20">
        <f>IFERROR((I$65*G71*F71),0)</f>
        <v>10180.617216434835</v>
      </c>
      <c r="J71" s="20">
        <f t="shared" si="0"/>
        <v>33281.654561647054</v>
      </c>
      <c r="K71" s="10"/>
    </row>
    <row r="72" spans="1:15" x14ac:dyDescent="0.2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0</v>
      </c>
      <c r="G72" s="139">
        <f>'Input Form'!D22</f>
        <v>0</v>
      </c>
      <c r="H72" s="140"/>
      <c r="I72" s="20">
        <f t="shared" ref="I72:I73" si="1">I$65*G72*F72</f>
        <v>0</v>
      </c>
      <c r="J72" s="20">
        <f t="shared" si="0"/>
        <v>0</v>
      </c>
      <c r="K72" s="10"/>
    </row>
    <row r="73" spans="1:15" x14ac:dyDescent="0.2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22</v>
      </c>
      <c r="G73" s="139">
        <f>'Input Form'!D23</f>
        <v>0.3</v>
      </c>
      <c r="H73" s="140"/>
      <c r="I73" s="20">
        <f t="shared" si="1"/>
        <v>13998.348672597898</v>
      </c>
      <c r="J73" s="20">
        <f t="shared" si="0"/>
        <v>45762.275022264708</v>
      </c>
      <c r="K73" s="10"/>
    </row>
    <row r="74" spans="1:15" x14ac:dyDescent="0.2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32662.813569395097</v>
      </c>
      <c r="J74" s="20">
        <f>SUM(J69:J73)</f>
        <v>106778.64171861764</v>
      </c>
      <c r="K74" s="10"/>
      <c r="O74" s="5"/>
    </row>
    <row r="75" spans="1:15" x14ac:dyDescent="0.2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-734.91330531138965</v>
      </c>
      <c r="J75" s="20">
        <f>-(J74*$F75*$G75)</f>
        <v>-2402.5194386688968</v>
      </c>
      <c r="K75" s="10"/>
      <c r="L75" s="7"/>
    </row>
    <row r="76" spans="1:15" x14ac:dyDescent="0.2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31927.900264083706</v>
      </c>
      <c r="J76" s="20">
        <f>SUM(J74:J75)</f>
        <v>104376.12227994874</v>
      </c>
      <c r="K76" s="10"/>
      <c r="L76" s="5"/>
      <c r="N76" s="8"/>
    </row>
    <row r="77" spans="1:15" x14ac:dyDescent="0.2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15.053499999999998</v>
      </c>
      <c r="J77" s="22">
        <f>J76/(J65+0.000000001)</f>
        <v>15.053499999997827</v>
      </c>
      <c r="K77" s="10"/>
      <c r="M77" s="5"/>
      <c r="N77" s="7"/>
    </row>
    <row r="78" spans="1:15" ht="18.75" x14ac:dyDescent="0.3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2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2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957.83700792251113</v>
      </c>
      <c r="J80" s="20">
        <f>$G80*J76</f>
        <v>3131.2836683984624</v>
      </c>
      <c r="K80" s="10"/>
    </row>
    <row r="81" spans="1:12" x14ac:dyDescent="0.2">
      <c r="A81" s="10"/>
      <c r="B81" s="132" t="s">
        <v>141</v>
      </c>
      <c r="C81" s="133"/>
      <c r="D81" s="133"/>
      <c r="E81" s="133"/>
      <c r="F81" s="134"/>
      <c r="G81" s="130">
        <f>IFERROR((J81/J74),0)</f>
        <v>8.4863636363636363E-2</v>
      </c>
      <c r="H81" s="131"/>
      <c r="I81" s="20">
        <f>G81*I76</f>
        <v>2709.517717865649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9061.623822211779</v>
      </c>
      <c r="K81" s="10"/>
    </row>
    <row r="82" spans="1:12" x14ac:dyDescent="0.2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319.27900264083706</v>
      </c>
      <c r="J82" s="20">
        <f>$G82*J76</f>
        <v>1043.7612227994875</v>
      </c>
      <c r="K82" s="10"/>
    </row>
    <row r="83" spans="1:12" x14ac:dyDescent="0.2">
      <c r="A83" s="10"/>
      <c r="B83" s="132" t="s">
        <v>150</v>
      </c>
      <c r="C83" s="133"/>
      <c r="D83" s="133"/>
      <c r="E83" s="133"/>
      <c r="F83" s="134"/>
      <c r="G83" s="130">
        <f>IFERROR((I83/I74),0)</f>
        <v>3.0615856098110156E-2</v>
      </c>
      <c r="H83" s="131"/>
      <c r="I83" s="23">
        <v>1000</v>
      </c>
      <c r="J83" s="20">
        <f>I83</f>
        <v>1000</v>
      </c>
      <c r="K83" s="10"/>
    </row>
    <row r="84" spans="1:12" x14ac:dyDescent="0.2">
      <c r="A84" s="10"/>
      <c r="B84" s="132" t="s">
        <v>23</v>
      </c>
      <c r="C84" s="133"/>
      <c r="D84" s="133"/>
      <c r="E84" s="133"/>
      <c r="F84" s="134"/>
      <c r="G84" s="130">
        <f>IFERROR((I84/I74),0)</f>
        <v>0.63163572716011063</v>
      </c>
      <c r="H84" s="131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319.27900264083706</v>
      </c>
      <c r="J85" s="20">
        <f>$G85*J76</f>
        <v>1043.7612227994875</v>
      </c>
      <c r="K85" s="10"/>
    </row>
    <row r="86" spans="1:12" x14ac:dyDescent="0.2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319.27900264083706</v>
      </c>
      <c r="J86" s="20">
        <f>$G86*J76</f>
        <v>1043.7612227994875</v>
      </c>
      <c r="K86" s="10"/>
    </row>
    <row r="87" spans="1:12" x14ac:dyDescent="0.2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478.91850396125557</v>
      </c>
      <c r="J87" s="20">
        <f>$G87*J76</f>
        <v>1565.6418341992312</v>
      </c>
      <c r="K87" s="10"/>
    </row>
    <row r="88" spans="1:12" x14ac:dyDescent="0.2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319.27900264083706</v>
      </c>
      <c r="J88" s="20">
        <f>$G88*J76</f>
        <v>1043.7612227994875</v>
      </c>
      <c r="K88" s="10"/>
    </row>
    <row r="89" spans="1:12" x14ac:dyDescent="0.2">
      <c r="A89" s="10"/>
      <c r="B89" s="132" t="s">
        <v>149</v>
      </c>
      <c r="C89" s="133"/>
      <c r="D89" s="133"/>
      <c r="E89" s="133"/>
      <c r="F89" s="134"/>
      <c r="G89" s="130">
        <f>IFERROR((I89/I74),0)</f>
        <v>6.1231712196220311E-2</v>
      </c>
      <c r="H89" s="131"/>
      <c r="I89" s="23">
        <v>2000</v>
      </c>
      <c r="J89" s="20">
        <f>I89</f>
        <v>2000</v>
      </c>
      <c r="K89" s="10"/>
    </row>
    <row r="90" spans="1:12" x14ac:dyDescent="0.2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319.27900264083706</v>
      </c>
      <c r="J90" s="20">
        <f>$G90*J76</f>
        <v>1043.7612227994875</v>
      </c>
      <c r="K90" s="10"/>
      <c r="L90" s="5"/>
    </row>
    <row r="91" spans="1:12" x14ac:dyDescent="0.2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2554.2320211266965</v>
      </c>
      <c r="J91" s="20">
        <f>$G91*J76</f>
        <v>8350.0897823959003</v>
      </c>
      <c r="K91" s="10"/>
      <c r="L91" s="5"/>
    </row>
    <row r="92" spans="1:12" x14ac:dyDescent="0.2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31927.900264080297</v>
      </c>
      <c r="J92" s="20">
        <f>SUM(J80:J91)</f>
        <v>50958.445221202826</v>
      </c>
      <c r="K92" s="10"/>
    </row>
    <row r="93" spans="1:12" x14ac:dyDescent="0.2">
      <c r="A93" s="10"/>
      <c r="B93" s="119" t="s">
        <v>191</v>
      </c>
      <c r="C93" s="119"/>
      <c r="D93" s="119"/>
      <c r="E93" s="119"/>
      <c r="F93" s="119"/>
      <c r="G93" s="119"/>
      <c r="H93" s="119"/>
      <c r="I93" s="24">
        <f>I76-I92</f>
        <v>3.408786142244935E-9</v>
      </c>
      <c r="J93" s="24">
        <f>J76-J92</f>
        <v>53417.677058745918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9" t="s">
        <v>183</v>
      </c>
      <c r="D108" s="119"/>
      <c r="E108" s="153" t="str">
        <f>CustomerName</f>
        <v>Josh Kingsley</v>
      </c>
      <c r="F108" s="154"/>
      <c r="G108" s="154"/>
      <c r="H108" s="154"/>
      <c r="I108" s="155"/>
      <c r="J108" s="10"/>
      <c r="K108" s="10"/>
    </row>
    <row r="109" spans="1:11" x14ac:dyDescent="0.2">
      <c r="A109" s="10"/>
      <c r="B109" s="10"/>
      <c r="C109" s="120" t="s">
        <v>184</v>
      </c>
      <c r="D109" s="121"/>
      <c r="E109" s="153" t="str">
        <f>CompanyName</f>
        <v>LUV Car Wash</v>
      </c>
      <c r="F109" s="154"/>
      <c r="G109" s="154"/>
      <c r="H109" s="154"/>
      <c r="I109" s="155"/>
      <c r="J109" s="10"/>
      <c r="K109" s="10"/>
    </row>
    <row r="110" spans="1:11" x14ac:dyDescent="0.2">
      <c r="A110" s="10"/>
      <c r="B110" s="10"/>
      <c r="C110" s="122" t="s">
        <v>128</v>
      </c>
      <c r="D110" s="123"/>
      <c r="E110" s="158" t="str">
        <f>AddressLine1</f>
        <v>U-Drive Express Car Wash</v>
      </c>
      <c r="F110" s="159"/>
      <c r="G110" s="159"/>
      <c r="H110" s="159"/>
      <c r="I110" s="160"/>
      <c r="J110" s="10"/>
      <c r="K110" s="10"/>
    </row>
    <row r="111" spans="1:11" x14ac:dyDescent="0.2">
      <c r="A111" s="10"/>
      <c r="B111" s="10"/>
      <c r="C111" s="124"/>
      <c r="D111" s="125"/>
      <c r="E111" s="161" t="str">
        <f>AddressLine2</f>
        <v>6451 W Charleston Blvd.</v>
      </c>
      <c r="F111" s="162"/>
      <c r="G111" s="162"/>
      <c r="H111" s="162"/>
      <c r="I111" s="163"/>
      <c r="J111" s="10"/>
      <c r="K111" s="10"/>
    </row>
    <row r="112" spans="1:11" x14ac:dyDescent="0.2">
      <c r="A112" s="10"/>
      <c r="B112" s="10"/>
      <c r="C112" s="126"/>
      <c r="D112" s="127"/>
      <c r="E112" s="164" t="str">
        <f>AddressLine3</f>
        <v>Las Vegas, NV 89146</v>
      </c>
      <c r="F112" s="165"/>
      <c r="G112" s="165"/>
      <c r="H112" s="165"/>
      <c r="I112" s="166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8.25" x14ac:dyDescent="0.2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2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2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2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2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2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2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75" x14ac:dyDescent="0.3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5.5" x14ac:dyDescent="0.2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2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2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2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2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2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2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75" x14ac:dyDescent="0.3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2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2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2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2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2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75" x14ac:dyDescent="0.3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2">
      <c r="A138" s="10"/>
      <c r="B138" s="135" t="s">
        <v>138</v>
      </c>
      <c r="C138" s="135"/>
      <c r="D138" s="135"/>
      <c r="E138" s="135"/>
      <c r="F138" s="135"/>
      <c r="G138" s="167">
        <f>I76</f>
        <v>31927.900264083706</v>
      </c>
      <c r="H138" s="167"/>
      <c r="I138" s="167">
        <f>J76</f>
        <v>104376.12227994874</v>
      </c>
      <c r="J138" s="167"/>
      <c r="K138" s="10"/>
    </row>
    <row r="139" spans="1:11" x14ac:dyDescent="0.2">
      <c r="A139" s="10"/>
      <c r="B139" s="135" t="s">
        <v>162</v>
      </c>
      <c r="C139" s="135"/>
      <c r="D139" s="135"/>
      <c r="E139" s="135"/>
      <c r="F139" s="135"/>
      <c r="G139" s="167">
        <f>I92</f>
        <v>31927.900264080297</v>
      </c>
      <c r="H139" s="167"/>
      <c r="I139" s="167">
        <f>J92</f>
        <v>50958.445221202826</v>
      </c>
      <c r="J139" s="167"/>
      <c r="K139" s="10"/>
    </row>
    <row r="140" spans="1:11" x14ac:dyDescent="0.2">
      <c r="A140" s="10"/>
      <c r="B140" s="135" t="s">
        <v>157</v>
      </c>
      <c r="C140" s="135"/>
      <c r="D140" s="135"/>
      <c r="E140" s="135"/>
      <c r="F140" s="135"/>
      <c r="G140" s="167">
        <f>G138-G139</f>
        <v>3.408786142244935E-9</v>
      </c>
      <c r="H140" s="167"/>
      <c r="I140" s="167">
        <f>J93</f>
        <v>53417.677058745918</v>
      </c>
      <c r="J140" s="167"/>
      <c r="K140" s="10"/>
    </row>
    <row r="141" spans="1:11" x14ac:dyDescent="0.2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2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2">
      <c r="A143" s="10"/>
      <c r="B143" s="135" t="s">
        <v>165</v>
      </c>
      <c r="C143" s="135"/>
      <c r="D143" s="135"/>
      <c r="E143" s="135"/>
      <c r="F143" s="135"/>
      <c r="G143" s="167">
        <f>G140-G141-G142</f>
        <v>3.408786142244935E-9</v>
      </c>
      <c r="H143" s="167"/>
      <c r="I143" s="167">
        <f>I140-I141-I142</f>
        <v>53417.677058745918</v>
      </c>
      <c r="J143" s="16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9" t="s">
        <v>183</v>
      </c>
      <c r="D157" s="119"/>
      <c r="E157" s="153" t="str">
        <f>CustomerName</f>
        <v>Josh Kingsley</v>
      </c>
      <c r="F157" s="154"/>
      <c r="G157" s="154"/>
      <c r="H157" s="154"/>
      <c r="I157" s="155"/>
      <c r="J157" s="10"/>
      <c r="K157" s="10"/>
    </row>
    <row r="158" spans="1:11" x14ac:dyDescent="0.2">
      <c r="A158" s="10"/>
      <c r="B158" s="10"/>
      <c r="C158" s="120" t="s">
        <v>184</v>
      </c>
      <c r="D158" s="121"/>
      <c r="E158" s="153" t="str">
        <f>CompanyName</f>
        <v>LUV Car Wash</v>
      </c>
      <c r="F158" s="154"/>
      <c r="G158" s="154"/>
      <c r="H158" s="154"/>
      <c r="I158" s="155"/>
      <c r="J158" s="10"/>
      <c r="K158" s="10"/>
    </row>
    <row r="159" spans="1:11" x14ac:dyDescent="0.2">
      <c r="A159" s="10"/>
      <c r="B159" s="10"/>
      <c r="C159" s="122" t="s">
        <v>128</v>
      </c>
      <c r="D159" s="123"/>
      <c r="E159" s="158" t="str">
        <f>AddressLine1</f>
        <v>U-Drive Express Car Wash</v>
      </c>
      <c r="F159" s="159"/>
      <c r="G159" s="159"/>
      <c r="H159" s="159"/>
      <c r="I159" s="160"/>
      <c r="J159" s="10"/>
      <c r="K159" s="10"/>
    </row>
    <row r="160" spans="1:11" x14ac:dyDescent="0.2">
      <c r="A160" s="10"/>
      <c r="B160" s="10"/>
      <c r="C160" s="124"/>
      <c r="D160" s="125"/>
      <c r="E160" s="161" t="str">
        <f>AddressLine2</f>
        <v>6451 W Charleston Blvd.</v>
      </c>
      <c r="F160" s="162"/>
      <c r="G160" s="162"/>
      <c r="H160" s="162"/>
      <c r="I160" s="163"/>
      <c r="J160" s="10"/>
      <c r="K160" s="10"/>
    </row>
    <row r="161" spans="1:11" x14ac:dyDescent="0.2">
      <c r="A161" s="10"/>
      <c r="B161" s="10"/>
      <c r="C161" s="126"/>
      <c r="D161" s="127"/>
      <c r="E161" s="164" t="str">
        <f>AddressLine3</f>
        <v>Las Vegas, NV 89146</v>
      </c>
      <c r="F161" s="165"/>
      <c r="G161" s="165"/>
      <c r="H161" s="165"/>
      <c r="I161" s="166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2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2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83204.136404117642</v>
      </c>
      <c r="J166" s="177"/>
      <c r="K166" s="10"/>
    </row>
    <row r="167" spans="1:11" ht="18.75" x14ac:dyDescent="0.3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2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2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0</v>
      </c>
      <c r="G169" s="139">
        <f>'Input Form'!$D$19</f>
        <v>0</v>
      </c>
      <c r="H169" s="140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0.4</v>
      </c>
      <c r="H170" s="140"/>
      <c r="I170" s="20">
        <f>I$166*F170*G170</f>
        <v>332816.54561647057</v>
      </c>
      <c r="J170" s="30">
        <f t="shared" ref="J170:J176" si="2">IFERROR((I170/I$174),0)</f>
        <v>0.25974025974025972</v>
      </c>
      <c r="K170" s="10"/>
    </row>
    <row r="171" spans="1:11" x14ac:dyDescent="0.2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16</v>
      </c>
      <c r="G171" s="139">
        <f>'Input Form'!$D$21</f>
        <v>0.3</v>
      </c>
      <c r="H171" s="140"/>
      <c r="I171" s="20">
        <f>I$166*F171*G171</f>
        <v>399379.85473976465</v>
      </c>
      <c r="J171" s="30">
        <f t="shared" si="2"/>
        <v>0.31168831168831168</v>
      </c>
      <c r="K171" s="10"/>
    </row>
    <row r="172" spans="1:11" x14ac:dyDescent="0.2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0</v>
      </c>
      <c r="G172" s="139">
        <f>'Input Form'!$D$22</f>
        <v>0</v>
      </c>
      <c r="H172" s="140"/>
      <c r="I172" s="20">
        <f>I$166*F172*G172</f>
        <v>0</v>
      </c>
      <c r="J172" s="30">
        <f t="shared" si="2"/>
        <v>0</v>
      </c>
      <c r="K172" s="10"/>
    </row>
    <row r="173" spans="1:11" x14ac:dyDescent="0.2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22</v>
      </c>
      <c r="G173" s="139">
        <f>'Input Form'!$D$23</f>
        <v>0.3</v>
      </c>
      <c r="H173" s="140"/>
      <c r="I173" s="20">
        <f>I$166*F173*G173</f>
        <v>549147.30026717647</v>
      </c>
      <c r="J173" s="30">
        <f t="shared" si="2"/>
        <v>0.4285714285714286</v>
      </c>
      <c r="K173" s="10"/>
    </row>
    <row r="174" spans="1:11" x14ac:dyDescent="0.2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1281343.7006234117</v>
      </c>
      <c r="J174" s="30">
        <f t="shared" si="2"/>
        <v>1</v>
      </c>
      <c r="K174" s="10"/>
    </row>
    <row r="175" spans="1:11" x14ac:dyDescent="0.2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-28830.233264026763</v>
      </c>
      <c r="J175" s="30">
        <f t="shared" si="2"/>
        <v>-2.2499999999999999E-2</v>
      </c>
      <c r="K175" s="10"/>
    </row>
    <row r="176" spans="1:11" x14ac:dyDescent="0.2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1252513.467359385</v>
      </c>
      <c r="J176" s="30">
        <f t="shared" si="2"/>
        <v>0.97750000000000004</v>
      </c>
      <c r="K176" s="10"/>
    </row>
    <row r="177" spans="1:11" ht="18.75" x14ac:dyDescent="0.3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2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37575.404020781549</v>
      </c>
      <c r="J178" s="30">
        <f>IFERROR((I178/I$176),0)</f>
        <v>0.03</v>
      </c>
      <c r="K178" s="10"/>
    </row>
    <row r="179" spans="1:11" x14ac:dyDescent="0.2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106292.84743454416</v>
      </c>
      <c r="J179" s="30">
        <f t="shared" ref="J179:J196" si="3">IFERROR((I179/I$176),0)</f>
        <v>8.4863636363636363E-2</v>
      </c>
      <c r="K179" s="10"/>
    </row>
    <row r="180" spans="1:11" x14ac:dyDescent="0.2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12525.13467359385</v>
      </c>
      <c r="J180" s="30">
        <f t="shared" si="3"/>
        <v>0.01</v>
      </c>
      <c r="K180" s="10"/>
    </row>
    <row r="181" spans="1:11" x14ac:dyDescent="0.2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9.5807353076203111E-3</v>
      </c>
      <c r="K181" s="10"/>
    </row>
    <row r="182" spans="1:11" x14ac:dyDescent="0.2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247572</v>
      </c>
      <c r="J182" s="30">
        <f t="shared" si="3"/>
        <v>0.19766015013151464</v>
      </c>
      <c r="K182" s="10"/>
    </row>
    <row r="183" spans="1:11" x14ac:dyDescent="0.2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12525.13467359385</v>
      </c>
      <c r="J183" s="30">
        <f t="shared" si="3"/>
        <v>0.01</v>
      </c>
      <c r="K183" s="10"/>
    </row>
    <row r="184" spans="1:11" x14ac:dyDescent="0.2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12525.13467359385</v>
      </c>
      <c r="J184" s="30">
        <f t="shared" si="3"/>
        <v>0.01</v>
      </c>
      <c r="K184" s="10"/>
    </row>
    <row r="185" spans="1:11" x14ac:dyDescent="0.2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18787.702010390774</v>
      </c>
      <c r="J185" s="30">
        <f t="shared" si="3"/>
        <v>1.4999999999999999E-2</v>
      </c>
      <c r="K185" s="10"/>
    </row>
    <row r="186" spans="1:11" x14ac:dyDescent="0.2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12525.13467359385</v>
      </c>
      <c r="J186" s="30">
        <f t="shared" si="3"/>
        <v>0.01</v>
      </c>
      <c r="K186" s="10"/>
    </row>
    <row r="187" spans="1:11" x14ac:dyDescent="0.2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1.9161470615240622E-2</v>
      </c>
      <c r="K187" s="10"/>
    </row>
    <row r="188" spans="1:11" x14ac:dyDescent="0.2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12525.13467359385</v>
      </c>
      <c r="J188" s="30">
        <f t="shared" si="3"/>
        <v>0.01</v>
      </c>
      <c r="K188" s="10"/>
    </row>
    <row r="189" spans="1:11" x14ac:dyDescent="0.2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100201.0773887508</v>
      </c>
      <c r="J189" s="30">
        <f t="shared" si="3"/>
        <v>0.08</v>
      </c>
      <c r="K189" s="10"/>
    </row>
    <row r="190" spans="1:11" x14ac:dyDescent="0.2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609054.70422243653</v>
      </c>
      <c r="J190" s="30">
        <f t="shared" si="3"/>
        <v>0.48626599241801194</v>
      </c>
      <c r="K190" s="10"/>
    </row>
    <row r="191" spans="1:11" x14ac:dyDescent="0.2">
      <c r="A191" s="10"/>
      <c r="B191" s="119" t="s">
        <v>191</v>
      </c>
      <c r="C191" s="119"/>
      <c r="D191" s="119"/>
      <c r="E191" s="119"/>
      <c r="F191" s="119"/>
      <c r="G191" s="119"/>
      <c r="H191" s="119"/>
      <c r="I191" s="24">
        <f>I176-I190</f>
        <v>643458.76313694846</v>
      </c>
      <c r="J191" s="30">
        <f t="shared" si="3"/>
        <v>0.51373400758198806</v>
      </c>
      <c r="K191" s="10"/>
    </row>
    <row r="192" spans="1:11" ht="18.75" x14ac:dyDescent="0.3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2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643458.76313694846</v>
      </c>
      <c r="J196" s="30">
        <f t="shared" si="3"/>
        <v>0.51373400758198806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9" t="s">
        <v>183</v>
      </c>
      <c r="D208" s="119"/>
      <c r="E208" s="153" t="str">
        <f>CustomerName</f>
        <v>Josh Kingsley</v>
      </c>
      <c r="F208" s="154"/>
      <c r="G208" s="154"/>
      <c r="H208" s="154"/>
      <c r="I208" s="155"/>
      <c r="J208" s="10"/>
      <c r="K208" s="10"/>
    </row>
    <row r="209" spans="1:11" x14ac:dyDescent="0.2">
      <c r="A209" s="10"/>
      <c r="B209" s="10"/>
      <c r="C209" s="120" t="s">
        <v>184</v>
      </c>
      <c r="D209" s="121"/>
      <c r="E209" s="153" t="str">
        <f>CompanyName</f>
        <v>LUV Car Wash</v>
      </c>
      <c r="F209" s="154"/>
      <c r="G209" s="154"/>
      <c r="H209" s="154"/>
      <c r="I209" s="155"/>
      <c r="J209" s="10"/>
      <c r="K209" s="10"/>
    </row>
    <row r="210" spans="1:11" x14ac:dyDescent="0.2">
      <c r="A210" s="10"/>
      <c r="B210" s="10"/>
      <c r="C210" s="122" t="s">
        <v>128</v>
      </c>
      <c r="D210" s="123"/>
      <c r="E210" s="158" t="str">
        <f>AddressLine1</f>
        <v>U-Drive Express Car Wash</v>
      </c>
      <c r="F210" s="159"/>
      <c r="G210" s="159"/>
      <c r="H210" s="159"/>
      <c r="I210" s="160"/>
      <c r="J210" s="10"/>
      <c r="K210" s="10"/>
    </row>
    <row r="211" spans="1:11" x14ac:dyDescent="0.2">
      <c r="A211" s="10"/>
      <c r="B211" s="10"/>
      <c r="C211" s="124"/>
      <c r="D211" s="125"/>
      <c r="E211" s="161" t="str">
        <f>AddressLine2</f>
        <v>6451 W Charleston Blvd.</v>
      </c>
      <c r="F211" s="162"/>
      <c r="G211" s="162"/>
      <c r="H211" s="162"/>
      <c r="I211" s="163"/>
      <c r="J211" s="10"/>
      <c r="K211" s="10"/>
    </row>
    <row r="212" spans="1:11" x14ac:dyDescent="0.2">
      <c r="A212" s="10"/>
      <c r="B212" s="10"/>
      <c r="C212" s="126"/>
      <c r="D212" s="127"/>
      <c r="E212" s="164" t="str">
        <f>AddressLine3</f>
        <v>Las Vegas, NV 89146</v>
      </c>
      <c r="F212" s="165"/>
      <c r="G212" s="165"/>
      <c r="H212" s="165"/>
      <c r="I212" s="166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2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2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109819.12413586957</v>
      </c>
      <c r="J217" s="177"/>
      <c r="K217" s="10"/>
    </row>
    <row r="218" spans="1:11" ht="18.75" x14ac:dyDescent="0.3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5.5" x14ac:dyDescent="0.2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2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0</v>
      </c>
      <c r="G220" s="139">
        <f>'Input Form'!$D$19</f>
        <v>0</v>
      </c>
      <c r="H220" s="140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0.4</v>
      </c>
      <c r="H221" s="140"/>
      <c r="I221" s="20">
        <f>I$217*F221*G221</f>
        <v>439276.49654347834</v>
      </c>
      <c r="J221" s="30">
        <f t="shared" ref="J221:J227" si="4">IFERROR((I221/I$225),0)</f>
        <v>0.25974025974025977</v>
      </c>
      <c r="K221" s="10"/>
    </row>
    <row r="222" spans="1:11" x14ac:dyDescent="0.2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16</v>
      </c>
      <c r="G222" s="139">
        <f>'Input Form'!$D$21</f>
        <v>0.3</v>
      </c>
      <c r="H222" s="140"/>
      <c r="I222" s="20">
        <f>I$217*F222*G222</f>
        <v>527131.79585217393</v>
      </c>
      <c r="J222" s="30">
        <f t="shared" si="4"/>
        <v>0.31168831168831168</v>
      </c>
      <c r="K222" s="10"/>
    </row>
    <row r="223" spans="1:11" x14ac:dyDescent="0.2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0</v>
      </c>
      <c r="G223" s="139">
        <f>'Input Form'!$D$22</f>
        <v>0</v>
      </c>
      <c r="H223" s="140"/>
      <c r="I223" s="20">
        <f>I$217*F223*G223</f>
        <v>0</v>
      </c>
      <c r="J223" s="30">
        <f t="shared" si="4"/>
        <v>0</v>
      </c>
      <c r="K223" s="10"/>
    </row>
    <row r="224" spans="1:11" x14ac:dyDescent="0.2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22</v>
      </c>
      <c r="G224" s="139">
        <f>'Input Form'!$D$23</f>
        <v>0.3</v>
      </c>
      <c r="H224" s="140"/>
      <c r="I224" s="20">
        <f>I$217*F224*G224</f>
        <v>724806.2192967392</v>
      </c>
      <c r="J224" s="30">
        <f t="shared" si="4"/>
        <v>0.42857142857142855</v>
      </c>
      <c r="K224" s="10"/>
    </row>
    <row r="225" spans="1:11" x14ac:dyDescent="0.2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1691214.5116923915</v>
      </c>
      <c r="J225" s="30">
        <f t="shared" si="4"/>
        <v>1</v>
      </c>
      <c r="K225" s="10"/>
    </row>
    <row r="226" spans="1:11" x14ac:dyDescent="0.2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-38052.326513078806</v>
      </c>
      <c r="J226" s="30">
        <f t="shared" si="4"/>
        <v>-2.2499999999999999E-2</v>
      </c>
      <c r="K226" s="10"/>
    </row>
    <row r="227" spans="1:11" x14ac:dyDescent="0.2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1653162.1851793127</v>
      </c>
      <c r="J227" s="30">
        <f t="shared" si="4"/>
        <v>0.97750000000000004</v>
      </c>
      <c r="K227" s="10"/>
    </row>
    <row r="228" spans="1:11" ht="18.75" x14ac:dyDescent="0.3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2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49594.86555537938</v>
      </c>
      <c r="J229" s="30">
        <f>IFERROR((I229/I$227),0)</f>
        <v>0.03</v>
      </c>
      <c r="K229" s="10"/>
    </row>
    <row r="230" spans="1:11" x14ac:dyDescent="0.2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140293.35453317166</v>
      </c>
      <c r="J230" s="30">
        <f t="shared" ref="J230:J247" si="5">IFERROR((I230/I$227),0)</f>
        <v>8.4863636363636349E-2</v>
      </c>
      <c r="K230" s="10"/>
    </row>
    <row r="231" spans="1:11" x14ac:dyDescent="0.2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16531.621851793127</v>
      </c>
      <c r="J231" s="30">
        <f t="shared" si="5"/>
        <v>0.01</v>
      </c>
      <c r="K231" s="10"/>
    </row>
    <row r="232" spans="1:11" x14ac:dyDescent="0.2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7.2588159271852705E-3</v>
      </c>
      <c r="K232" s="10"/>
    </row>
    <row r="233" spans="1:11" x14ac:dyDescent="0.2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247572</v>
      </c>
      <c r="J233" s="30">
        <f t="shared" si="5"/>
        <v>0.1497566313937593</v>
      </c>
      <c r="K233" s="10"/>
    </row>
    <row r="234" spans="1:11" x14ac:dyDescent="0.2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16531.621851793127</v>
      </c>
      <c r="J234" s="30">
        <f t="shared" si="5"/>
        <v>0.01</v>
      </c>
      <c r="K234" s="10"/>
    </row>
    <row r="235" spans="1:11" x14ac:dyDescent="0.2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16531.621851793127</v>
      </c>
      <c r="J235" s="30">
        <f t="shared" si="5"/>
        <v>0.01</v>
      </c>
      <c r="K235" s="10"/>
    </row>
    <row r="236" spans="1:11" x14ac:dyDescent="0.2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24797.43277768969</v>
      </c>
      <c r="J236" s="30">
        <f t="shared" si="5"/>
        <v>1.4999999999999999E-2</v>
      </c>
      <c r="K236" s="10"/>
    </row>
    <row r="237" spans="1:11" x14ac:dyDescent="0.2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16531.621851793127</v>
      </c>
      <c r="J237" s="30">
        <f t="shared" si="5"/>
        <v>0.01</v>
      </c>
      <c r="K237" s="10"/>
    </row>
    <row r="238" spans="1:11" x14ac:dyDescent="0.2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1.4517631854370541E-2</v>
      </c>
      <c r="K238" s="10"/>
    </row>
    <row r="239" spans="1:11" x14ac:dyDescent="0.2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16531.621851793127</v>
      </c>
      <c r="J239" s="30">
        <f t="shared" si="5"/>
        <v>0.01</v>
      </c>
      <c r="K239" s="10"/>
    </row>
    <row r="240" spans="1:11" x14ac:dyDescent="0.2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132252.97481434501</v>
      </c>
      <c r="J240" s="30">
        <f t="shared" si="5"/>
        <v>0.08</v>
      </c>
      <c r="K240" s="10"/>
    </row>
    <row r="241" spans="1:11" x14ac:dyDescent="0.2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713168.73693955143</v>
      </c>
      <c r="J241" s="30">
        <f t="shared" si="5"/>
        <v>0.43139671553895148</v>
      </c>
      <c r="K241" s="10"/>
    </row>
    <row r="242" spans="1:11" x14ac:dyDescent="0.2">
      <c r="A242" s="10"/>
      <c r="B242" s="119" t="s">
        <v>191</v>
      </c>
      <c r="C242" s="119"/>
      <c r="D242" s="119"/>
      <c r="E242" s="119"/>
      <c r="F242" s="119"/>
      <c r="G242" s="119"/>
      <c r="H242" s="119"/>
      <c r="I242" s="24">
        <f>I227-I241</f>
        <v>939993.44823976129</v>
      </c>
      <c r="J242" s="30">
        <f t="shared" si="5"/>
        <v>0.56860328446104846</v>
      </c>
      <c r="K242" s="10"/>
    </row>
    <row r="243" spans="1:11" ht="18.75" x14ac:dyDescent="0.3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2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939993.44823976129</v>
      </c>
      <c r="J247" s="30">
        <f t="shared" si="5"/>
        <v>0.56860328446104846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9" t="s">
        <v>183</v>
      </c>
      <c r="D259" s="119"/>
      <c r="E259" s="153" t="str">
        <f>CustomerName</f>
        <v>Josh Kingsley</v>
      </c>
      <c r="F259" s="154"/>
      <c r="G259" s="154"/>
      <c r="H259" s="154"/>
      <c r="I259" s="155"/>
      <c r="J259" s="10"/>
      <c r="K259" s="10"/>
    </row>
    <row r="260" spans="1:11" x14ac:dyDescent="0.2">
      <c r="A260" s="10"/>
      <c r="B260" s="10"/>
      <c r="C260" s="120" t="s">
        <v>184</v>
      </c>
      <c r="D260" s="121"/>
      <c r="E260" s="153" t="str">
        <f>CompanyName</f>
        <v>LUV Car Wash</v>
      </c>
      <c r="F260" s="154"/>
      <c r="G260" s="154"/>
      <c r="H260" s="154"/>
      <c r="I260" s="155"/>
      <c r="J260" s="10"/>
      <c r="K260" s="10"/>
    </row>
    <row r="261" spans="1:11" x14ac:dyDescent="0.2">
      <c r="A261" s="10"/>
      <c r="B261" s="10"/>
      <c r="C261" s="122" t="s">
        <v>128</v>
      </c>
      <c r="D261" s="123"/>
      <c r="E261" s="158" t="str">
        <f>AddressLine1</f>
        <v>U-Drive Express Car Wash</v>
      </c>
      <c r="F261" s="159"/>
      <c r="G261" s="159"/>
      <c r="H261" s="159"/>
      <c r="I261" s="160"/>
      <c r="J261" s="10"/>
      <c r="K261" s="10"/>
    </row>
    <row r="262" spans="1:11" x14ac:dyDescent="0.2">
      <c r="A262" s="10"/>
      <c r="B262" s="10"/>
      <c r="C262" s="124"/>
      <c r="D262" s="125"/>
      <c r="E262" s="161" t="str">
        <f>AddressLine2</f>
        <v>6451 W Charleston Blvd.</v>
      </c>
      <c r="F262" s="162"/>
      <c r="G262" s="162"/>
      <c r="H262" s="162"/>
      <c r="I262" s="163"/>
      <c r="J262" s="10"/>
      <c r="K262" s="10"/>
    </row>
    <row r="263" spans="1:11" x14ac:dyDescent="0.2">
      <c r="A263" s="10"/>
      <c r="B263" s="10"/>
      <c r="C263" s="126"/>
      <c r="D263" s="127"/>
      <c r="E263" s="164" t="str">
        <f>AddressLine3</f>
        <v>Las Vegas, NV 89146</v>
      </c>
      <c r="F263" s="165"/>
      <c r="G263" s="165"/>
      <c r="H263" s="165"/>
      <c r="I263" s="166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2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2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118863.05200588237</v>
      </c>
      <c r="J268" s="177"/>
      <c r="K268" s="10"/>
    </row>
    <row r="269" spans="1:11" ht="18.75" x14ac:dyDescent="0.3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5.5" x14ac:dyDescent="0.2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2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0</v>
      </c>
      <c r="G271" s="139">
        <f>'Input Form'!$D$19</f>
        <v>0</v>
      </c>
      <c r="H271" s="140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0.4</v>
      </c>
      <c r="H272" s="140"/>
      <c r="I272" s="20">
        <f t="shared" ref="I272:I275" si="6">I$268*F272*G272</f>
        <v>475452.2080235295</v>
      </c>
      <c r="J272" s="30">
        <f t="shared" ref="J272:J278" si="7">IFERROR((I272/I$276),0)</f>
        <v>0.25974025974025977</v>
      </c>
      <c r="K272" s="10"/>
    </row>
    <row r="273" spans="1:11" x14ac:dyDescent="0.2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16</v>
      </c>
      <c r="G273" s="139">
        <f>'Input Form'!$D$21</f>
        <v>0.3</v>
      </c>
      <c r="H273" s="140"/>
      <c r="I273" s="20">
        <f t="shared" si="6"/>
        <v>570542.64962823538</v>
      </c>
      <c r="J273" s="30">
        <f t="shared" si="7"/>
        <v>0.31168831168831168</v>
      </c>
      <c r="K273" s="10"/>
    </row>
    <row r="274" spans="1:11" x14ac:dyDescent="0.2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0</v>
      </c>
      <c r="G274" s="139">
        <f>'Input Form'!$D$22</f>
        <v>0</v>
      </c>
      <c r="H274" s="140"/>
      <c r="I274" s="20">
        <f t="shared" si="6"/>
        <v>0</v>
      </c>
      <c r="J274" s="30">
        <f t="shared" si="7"/>
        <v>0</v>
      </c>
      <c r="K274" s="10"/>
    </row>
    <row r="275" spans="1:11" x14ac:dyDescent="0.2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22</v>
      </c>
      <c r="G275" s="139">
        <f>'Input Form'!$D$23</f>
        <v>0.3</v>
      </c>
      <c r="H275" s="140"/>
      <c r="I275" s="20">
        <f t="shared" si="6"/>
        <v>784496.14323882363</v>
      </c>
      <c r="J275" s="30">
        <f t="shared" si="7"/>
        <v>0.4285714285714286</v>
      </c>
      <c r="K275" s="10"/>
    </row>
    <row r="276" spans="1:11" x14ac:dyDescent="0.2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1830491.0008905884</v>
      </c>
      <c r="J276" s="30">
        <f t="shared" si="7"/>
        <v>1</v>
      </c>
      <c r="K276" s="10"/>
    </row>
    <row r="277" spans="1:11" x14ac:dyDescent="0.2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-41186.047520038235</v>
      </c>
      <c r="J277" s="30">
        <f t="shared" si="7"/>
        <v>-2.2499999999999999E-2</v>
      </c>
      <c r="K277" s="10"/>
    </row>
    <row r="278" spans="1:11" x14ac:dyDescent="0.2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1789304.9533705502</v>
      </c>
      <c r="J278" s="30">
        <f t="shared" si="7"/>
        <v>0.97750000000000004</v>
      </c>
      <c r="K278" s="10"/>
    </row>
    <row r="279" spans="1:11" ht="18.75" x14ac:dyDescent="0.3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2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53679.148601116503</v>
      </c>
      <c r="J280" s="30">
        <f>IFERROR((I280/I$278),0)</f>
        <v>0.03</v>
      </c>
      <c r="K280" s="10"/>
    </row>
    <row r="281" spans="1:11" x14ac:dyDescent="0.2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151846.92490649168</v>
      </c>
      <c r="J281" s="30">
        <f t="shared" ref="J281:J298" si="8">IFERROR((I281/I$278),0)</f>
        <v>8.4863636363636363E-2</v>
      </c>
      <c r="K281" s="10"/>
    </row>
    <row r="282" spans="1:11" x14ac:dyDescent="0.2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17893.049533705504</v>
      </c>
      <c r="J282" s="30">
        <f t="shared" si="8"/>
        <v>0.01</v>
      </c>
      <c r="K282" s="10"/>
    </row>
    <row r="283" spans="1:11" x14ac:dyDescent="0.2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6.7065147153342174E-3</v>
      </c>
      <c r="K283" s="10"/>
    </row>
    <row r="284" spans="1:11" x14ac:dyDescent="0.2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247572</v>
      </c>
      <c r="J284" s="30">
        <f t="shared" si="8"/>
        <v>0.13836210509206023</v>
      </c>
      <c r="K284" s="10"/>
    </row>
    <row r="285" spans="1:11" x14ac:dyDescent="0.2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17893.049533705504</v>
      </c>
      <c r="J285" s="30">
        <f t="shared" si="8"/>
        <v>0.01</v>
      </c>
      <c r="K285" s="10"/>
    </row>
    <row r="286" spans="1:11" x14ac:dyDescent="0.2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17893.049533705504</v>
      </c>
      <c r="J286" s="30">
        <f t="shared" si="8"/>
        <v>0.01</v>
      </c>
      <c r="K286" s="10"/>
    </row>
    <row r="287" spans="1:11" x14ac:dyDescent="0.2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26839.574300558252</v>
      </c>
      <c r="J287" s="30">
        <f t="shared" si="8"/>
        <v>1.4999999999999999E-2</v>
      </c>
      <c r="K287" s="10"/>
    </row>
    <row r="288" spans="1:11" x14ac:dyDescent="0.2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17893.049533705504</v>
      </c>
      <c r="J288" s="30">
        <f t="shared" si="8"/>
        <v>0.01</v>
      </c>
      <c r="K288" s="10"/>
    </row>
    <row r="289" spans="1:11" x14ac:dyDescent="0.2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1.3413029430668435E-2</v>
      </c>
      <c r="K289" s="10"/>
    </row>
    <row r="290" spans="1:11" x14ac:dyDescent="0.2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17893.049533705504</v>
      </c>
      <c r="J290" s="30">
        <f t="shared" si="8"/>
        <v>0.01</v>
      </c>
      <c r="K290" s="10"/>
    </row>
    <row r="291" spans="1:11" x14ac:dyDescent="0.2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143144.39626964403</v>
      </c>
      <c r="J291" s="30">
        <f t="shared" si="8"/>
        <v>0.08</v>
      </c>
      <c r="K291" s="10"/>
    </row>
    <row r="292" spans="1:11" x14ac:dyDescent="0.2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748547.2917463379</v>
      </c>
      <c r="J292" s="30">
        <f t="shared" si="8"/>
        <v>0.4183452856016992</v>
      </c>
      <c r="K292" s="10"/>
    </row>
    <row r="293" spans="1:11" x14ac:dyDescent="0.2">
      <c r="A293" s="10"/>
      <c r="B293" s="119" t="s">
        <v>191</v>
      </c>
      <c r="C293" s="119"/>
      <c r="D293" s="119"/>
      <c r="E293" s="119"/>
      <c r="F293" s="119"/>
      <c r="G293" s="119"/>
      <c r="H293" s="119"/>
      <c r="I293" s="24">
        <f>I278-I292</f>
        <v>1040757.6616242123</v>
      </c>
      <c r="J293" s="30">
        <f t="shared" si="8"/>
        <v>0.58165471439830074</v>
      </c>
      <c r="K293" s="10"/>
    </row>
    <row r="294" spans="1:11" ht="18.75" x14ac:dyDescent="0.3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2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1040757.6616242123</v>
      </c>
      <c r="J298" s="30">
        <f t="shared" si="8"/>
        <v>0.58165471439830074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9" t="s">
        <v>183</v>
      </c>
      <c r="D310" s="119"/>
      <c r="E310" s="153" t="str">
        <f>CustomerName</f>
        <v>Josh Kingsley</v>
      </c>
      <c r="F310" s="154"/>
      <c r="G310" s="154"/>
      <c r="H310" s="154"/>
      <c r="I310" s="155"/>
      <c r="J310" s="10"/>
      <c r="K310" s="10"/>
    </row>
    <row r="311" spans="1:11" x14ac:dyDescent="0.2">
      <c r="A311" s="10"/>
      <c r="B311" s="10"/>
      <c r="C311" s="120" t="s">
        <v>184</v>
      </c>
      <c r="D311" s="121"/>
      <c r="E311" s="153" t="str">
        <f>CompanyName</f>
        <v>LUV Car Wash</v>
      </c>
      <c r="F311" s="154"/>
      <c r="G311" s="154"/>
      <c r="H311" s="154"/>
      <c r="I311" s="155"/>
      <c r="J311" s="10"/>
      <c r="K311" s="10"/>
    </row>
    <row r="312" spans="1:11" x14ac:dyDescent="0.2">
      <c r="A312" s="10"/>
      <c r="B312" s="10"/>
      <c r="C312" s="122" t="s">
        <v>128</v>
      </c>
      <c r="D312" s="123"/>
      <c r="E312" s="158" t="str">
        <f>AddressLine1</f>
        <v>U-Drive Express Car Wash</v>
      </c>
      <c r="F312" s="159"/>
      <c r="G312" s="159"/>
      <c r="H312" s="159"/>
      <c r="I312" s="160"/>
      <c r="J312" s="10"/>
      <c r="K312" s="10"/>
    </row>
    <row r="313" spans="1:11" x14ac:dyDescent="0.2">
      <c r="A313" s="10"/>
      <c r="B313" s="10"/>
      <c r="C313" s="124"/>
      <c r="D313" s="125"/>
      <c r="E313" s="161" t="str">
        <f>AddressLine2</f>
        <v>6451 W Charleston Blvd.</v>
      </c>
      <c r="F313" s="162"/>
      <c r="G313" s="162"/>
      <c r="H313" s="162"/>
      <c r="I313" s="163"/>
      <c r="J313" s="10"/>
      <c r="K313" s="10"/>
    </row>
    <row r="314" spans="1:11" x14ac:dyDescent="0.2">
      <c r="A314" s="10"/>
      <c r="B314" s="10"/>
      <c r="C314" s="126"/>
      <c r="D314" s="127"/>
      <c r="E314" s="164" t="str">
        <f>AddressLine3</f>
        <v>Las Vegas, NV 89146</v>
      </c>
      <c r="F314" s="165"/>
      <c r="G314" s="165"/>
      <c r="H314" s="165"/>
      <c r="I314" s="166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2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2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123211.70025000002</v>
      </c>
      <c r="J319" s="177"/>
      <c r="K319" s="10"/>
    </row>
    <row r="320" spans="1:11" ht="18.75" x14ac:dyDescent="0.3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5.5" x14ac:dyDescent="0.2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2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0</v>
      </c>
      <c r="G322" s="139">
        <f>'Input Form'!$D$19</f>
        <v>0</v>
      </c>
      <c r="H322" s="140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0.4</v>
      </c>
      <c r="H323" s="140"/>
      <c r="I323" s="20">
        <f>I$319*F323*G323</f>
        <v>492846.80100000009</v>
      </c>
      <c r="J323" s="30">
        <f t="shared" ref="J323:J329" si="9">IFERROR((I323/I$327),0)</f>
        <v>0.25974025974025977</v>
      </c>
      <c r="K323" s="10"/>
    </row>
    <row r="324" spans="1:11" x14ac:dyDescent="0.2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16</v>
      </c>
      <c r="G324" s="139">
        <f>'Input Form'!$D$21</f>
        <v>0.3</v>
      </c>
      <c r="H324" s="140"/>
      <c r="I324" s="20">
        <f>I$319*F324*G324</f>
        <v>591416.16120000009</v>
      </c>
      <c r="J324" s="30">
        <f t="shared" si="9"/>
        <v>0.31168831168831174</v>
      </c>
      <c r="K324" s="10"/>
    </row>
    <row r="325" spans="1:11" x14ac:dyDescent="0.2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0</v>
      </c>
      <c r="G325" s="139">
        <f>'Input Form'!$D$22</f>
        <v>0</v>
      </c>
      <c r="H325" s="140"/>
      <c r="I325" s="20">
        <f>I$319*F325*G325</f>
        <v>0</v>
      </c>
      <c r="J325" s="30">
        <f t="shared" si="9"/>
        <v>0</v>
      </c>
      <c r="K325" s="10"/>
    </row>
    <row r="326" spans="1:11" x14ac:dyDescent="0.2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22</v>
      </c>
      <c r="G326" s="139">
        <f>'Input Form'!$D$23</f>
        <v>0.3</v>
      </c>
      <c r="H326" s="140"/>
      <c r="I326" s="20">
        <f>I$319*F326*G326</f>
        <v>813197.22165000008</v>
      </c>
      <c r="J326" s="30">
        <f t="shared" si="9"/>
        <v>0.4285714285714286</v>
      </c>
      <c r="K326" s="10"/>
    </row>
    <row r="327" spans="1:11" x14ac:dyDescent="0.2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1897460.1838500001</v>
      </c>
      <c r="J327" s="30">
        <f t="shared" si="9"/>
        <v>1</v>
      </c>
      <c r="K327" s="10"/>
    </row>
    <row r="328" spans="1:11" x14ac:dyDescent="0.2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-42692.854136624999</v>
      </c>
      <c r="J328" s="30">
        <f t="shared" si="9"/>
        <v>-2.2499999999999999E-2</v>
      </c>
      <c r="K328" s="10"/>
    </row>
    <row r="329" spans="1:11" x14ac:dyDescent="0.2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1854767.3297133751</v>
      </c>
      <c r="J329" s="30">
        <f t="shared" si="9"/>
        <v>0.97749999999999992</v>
      </c>
      <c r="K329" s="10"/>
    </row>
    <row r="330" spans="1:11" ht="18.75" x14ac:dyDescent="0.3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2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55643.019891401251</v>
      </c>
      <c r="J331" s="30">
        <f>IFERROR((I331/I$329),0)</f>
        <v>0.03</v>
      </c>
      <c r="K331" s="10"/>
    </row>
    <row r="332" spans="1:11" x14ac:dyDescent="0.2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157402.30020794869</v>
      </c>
      <c r="J332" s="30">
        <f t="shared" ref="J332:J344" si="10">IFERROR((I332/I$329),0)</f>
        <v>8.4863636363636363E-2</v>
      </c>
      <c r="K332" s="10"/>
    </row>
    <row r="333" spans="1:11" x14ac:dyDescent="0.2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18547.673297133751</v>
      </c>
      <c r="J333" s="30">
        <f t="shared" si="10"/>
        <v>0.01</v>
      </c>
      <c r="K333" s="10"/>
    </row>
    <row r="334" spans="1:11" x14ac:dyDescent="0.2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6.4698141959694802E-3</v>
      </c>
      <c r="K334" s="10"/>
    </row>
    <row r="335" spans="1:11" x14ac:dyDescent="0.2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247572</v>
      </c>
      <c r="J335" s="30">
        <f t="shared" si="10"/>
        <v>0.13347873667704635</v>
      </c>
      <c r="K335" s="10"/>
    </row>
    <row r="336" spans="1:11" x14ac:dyDescent="0.2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18547.673297133751</v>
      </c>
      <c r="J336" s="30">
        <f t="shared" si="10"/>
        <v>0.01</v>
      </c>
      <c r="K336" s="10"/>
    </row>
    <row r="337" spans="1:11" x14ac:dyDescent="0.2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18547.673297133751</v>
      </c>
      <c r="J337" s="30">
        <f t="shared" si="10"/>
        <v>0.01</v>
      </c>
      <c r="K337" s="10"/>
    </row>
    <row r="338" spans="1:11" x14ac:dyDescent="0.2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27821.509945700625</v>
      </c>
      <c r="J338" s="30">
        <f t="shared" si="10"/>
        <v>1.4999999999999999E-2</v>
      </c>
      <c r="K338" s="10"/>
    </row>
    <row r="339" spans="1:11" x14ac:dyDescent="0.2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18547.673297133751</v>
      </c>
      <c r="J339" s="30">
        <f t="shared" si="10"/>
        <v>0.01</v>
      </c>
      <c r="K339" s="10"/>
    </row>
    <row r="340" spans="1:11" x14ac:dyDescent="0.2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1.293962839193896E-2</v>
      </c>
      <c r="K340" s="10"/>
    </row>
    <row r="341" spans="1:11" x14ac:dyDescent="0.2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18547.673297133751</v>
      </c>
      <c r="J341" s="30">
        <f t="shared" si="10"/>
        <v>0.01</v>
      </c>
      <c r="K341" s="10"/>
    </row>
    <row r="342" spans="1:11" x14ac:dyDescent="0.2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148381.38637707001</v>
      </c>
      <c r="J342" s="30">
        <f t="shared" si="10"/>
        <v>0.08</v>
      </c>
      <c r="K342" s="10"/>
    </row>
    <row r="343" spans="1:11" x14ac:dyDescent="0.2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765558.58290778939</v>
      </c>
      <c r="J343" s="30">
        <f t="shared" si="10"/>
        <v>0.4127518156285912</v>
      </c>
      <c r="K343" s="10"/>
    </row>
    <row r="344" spans="1:11" x14ac:dyDescent="0.2">
      <c r="A344" s="10"/>
      <c r="B344" s="119" t="s">
        <v>191</v>
      </c>
      <c r="C344" s="119"/>
      <c r="D344" s="119"/>
      <c r="E344" s="119"/>
      <c r="F344" s="119"/>
      <c r="G344" s="119"/>
      <c r="H344" s="119"/>
      <c r="I344" s="24">
        <f>I329-I343</f>
        <v>1089208.7468055857</v>
      </c>
      <c r="J344" s="30">
        <f t="shared" si="10"/>
        <v>0.5872481843714088</v>
      </c>
      <c r="K344" s="10"/>
    </row>
    <row r="345" spans="1:11" ht="18.75" x14ac:dyDescent="0.3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2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1089208.7468055857</v>
      </c>
      <c r="J349" s="30">
        <f t="shared" si="11"/>
        <v>0.5872481843714088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9" t="s">
        <v>183</v>
      </c>
      <c r="D361" s="119"/>
      <c r="E361" s="153" t="str">
        <f>CustomerName</f>
        <v>Josh Kingsley</v>
      </c>
      <c r="F361" s="154"/>
      <c r="G361" s="154"/>
      <c r="H361" s="154"/>
      <c r="I361" s="155"/>
      <c r="J361" s="10"/>
      <c r="K361" s="10"/>
    </row>
    <row r="362" spans="1:11" x14ac:dyDescent="0.2">
      <c r="A362" s="10"/>
      <c r="B362" s="10"/>
      <c r="C362" s="120" t="s">
        <v>184</v>
      </c>
      <c r="D362" s="121"/>
      <c r="E362" s="153" t="str">
        <f>CompanyName</f>
        <v>LUV Car Wash</v>
      </c>
      <c r="F362" s="154"/>
      <c r="G362" s="154"/>
      <c r="H362" s="154"/>
      <c r="I362" s="155"/>
      <c r="J362" s="10"/>
      <c r="K362" s="10"/>
    </row>
    <row r="363" spans="1:11" x14ac:dyDescent="0.2">
      <c r="A363" s="10"/>
      <c r="B363" s="10"/>
      <c r="C363" s="122" t="s">
        <v>128</v>
      </c>
      <c r="D363" s="123"/>
      <c r="E363" s="158" t="str">
        <f>AddressLine1</f>
        <v>U-Drive Express Car Wash</v>
      </c>
      <c r="F363" s="159"/>
      <c r="G363" s="159"/>
      <c r="H363" s="159"/>
      <c r="I363" s="160"/>
      <c r="J363" s="10"/>
      <c r="K363" s="10"/>
    </row>
    <row r="364" spans="1:11" x14ac:dyDescent="0.2">
      <c r="A364" s="10"/>
      <c r="B364" s="10"/>
      <c r="C364" s="124"/>
      <c r="D364" s="125"/>
      <c r="E364" s="161" t="str">
        <f>AddressLine2</f>
        <v>6451 W Charleston Blvd.</v>
      </c>
      <c r="F364" s="162"/>
      <c r="G364" s="162"/>
      <c r="H364" s="162"/>
      <c r="I364" s="163"/>
      <c r="J364" s="10"/>
      <c r="K364" s="10"/>
    </row>
    <row r="365" spans="1:11" x14ac:dyDescent="0.2">
      <c r="A365" s="10"/>
      <c r="B365" s="10"/>
      <c r="C365" s="126"/>
      <c r="D365" s="127"/>
      <c r="E365" s="164" t="str">
        <f>AddressLine3</f>
        <v>Las Vegas, NV 89146</v>
      </c>
      <c r="F365" s="165"/>
      <c r="G365" s="165"/>
      <c r="H365" s="165"/>
      <c r="I365" s="166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2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2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132938.93974342107</v>
      </c>
      <c r="J370" s="177"/>
      <c r="K370" s="10"/>
    </row>
    <row r="371" spans="1:11" ht="18.75" x14ac:dyDescent="0.3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5.5" x14ac:dyDescent="0.2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2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0</v>
      </c>
      <c r="G373" s="139">
        <f>'Input Form'!$D$19</f>
        <v>0</v>
      </c>
      <c r="H373" s="140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0.4</v>
      </c>
      <c r="H374" s="140"/>
      <c r="I374" s="20">
        <f t="shared" ref="I374:I377" si="12">I$370*F374*G374</f>
        <v>531755.75897368428</v>
      </c>
      <c r="J374" s="30">
        <f t="shared" ref="J374:J380" si="13">IFERROR((I374/I$378),0)</f>
        <v>0.25974025974025972</v>
      </c>
      <c r="K374" s="10"/>
    </row>
    <row r="375" spans="1:11" x14ac:dyDescent="0.2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16</v>
      </c>
      <c r="G375" s="139">
        <f>'Input Form'!$D$21</f>
        <v>0.3</v>
      </c>
      <c r="H375" s="140"/>
      <c r="I375" s="20">
        <f t="shared" si="12"/>
        <v>638106.91076842113</v>
      </c>
      <c r="J375" s="30">
        <f t="shared" si="13"/>
        <v>0.31168831168831168</v>
      </c>
      <c r="K375" s="10"/>
    </row>
    <row r="376" spans="1:11" x14ac:dyDescent="0.2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0</v>
      </c>
      <c r="G376" s="139">
        <f>'Input Form'!$D$22</f>
        <v>0</v>
      </c>
      <c r="H376" s="140"/>
      <c r="I376" s="20">
        <f t="shared" si="12"/>
        <v>0</v>
      </c>
      <c r="J376" s="30">
        <f t="shared" si="13"/>
        <v>0</v>
      </c>
      <c r="K376" s="10"/>
    </row>
    <row r="377" spans="1:11" x14ac:dyDescent="0.2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22</v>
      </c>
      <c r="G377" s="139">
        <f>'Input Form'!$D$23</f>
        <v>0.3</v>
      </c>
      <c r="H377" s="140"/>
      <c r="I377" s="20">
        <f t="shared" si="12"/>
        <v>877397.00230657903</v>
      </c>
      <c r="J377" s="30">
        <f t="shared" si="13"/>
        <v>0.42857142857142849</v>
      </c>
      <c r="K377" s="10"/>
    </row>
    <row r="378" spans="1:11" x14ac:dyDescent="0.2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2047259.6720486847</v>
      </c>
      <c r="J378" s="30">
        <f t="shared" si="13"/>
        <v>1</v>
      </c>
      <c r="K378" s="10"/>
    </row>
    <row r="379" spans="1:11" x14ac:dyDescent="0.2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-46063.342621095406</v>
      </c>
      <c r="J379" s="30">
        <f t="shared" si="13"/>
        <v>-2.2499999999999999E-2</v>
      </c>
      <c r="K379" s="10"/>
    </row>
    <row r="380" spans="1:11" x14ac:dyDescent="0.2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2001196.3294275892</v>
      </c>
      <c r="J380" s="30">
        <f t="shared" si="13"/>
        <v>0.97749999999999992</v>
      </c>
      <c r="K380" s="10"/>
    </row>
    <row r="381" spans="1:11" ht="18.75" x14ac:dyDescent="0.3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2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60035.889882827672</v>
      </c>
      <c r="J382" s="30">
        <f>IFERROR((I382/I$380),0)</f>
        <v>0.03</v>
      </c>
      <c r="K382" s="10"/>
    </row>
    <row r="383" spans="1:11" x14ac:dyDescent="0.2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169828.79759278678</v>
      </c>
      <c r="J383" s="30">
        <f t="shared" ref="J383:J395" si="14">IFERROR((I383/I$380),0)</f>
        <v>8.4863636363636363E-2</v>
      </c>
      <c r="K383" s="10"/>
    </row>
    <row r="384" spans="1:11" x14ac:dyDescent="0.2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20011.963294275891</v>
      </c>
      <c r="J384" s="30">
        <f t="shared" si="14"/>
        <v>0.01</v>
      </c>
      <c r="K384" s="10"/>
    </row>
    <row r="385" spans="1:11" x14ac:dyDescent="0.2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5.9964131572400057E-3</v>
      </c>
      <c r="K385" s="10"/>
    </row>
    <row r="386" spans="1:11" x14ac:dyDescent="0.2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247572</v>
      </c>
      <c r="J386" s="30">
        <f t="shared" si="14"/>
        <v>0.12371199984701856</v>
      </c>
      <c r="K386" s="10"/>
    </row>
    <row r="387" spans="1:11" x14ac:dyDescent="0.2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20011.963294275891</v>
      </c>
      <c r="J387" s="30">
        <f t="shared" si="14"/>
        <v>0.01</v>
      </c>
      <c r="K387" s="10"/>
    </row>
    <row r="388" spans="1:11" x14ac:dyDescent="0.2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20011.963294275891</v>
      </c>
      <c r="J388" s="30">
        <f t="shared" si="14"/>
        <v>0.01</v>
      </c>
      <c r="K388" s="10"/>
    </row>
    <row r="389" spans="1:11" x14ac:dyDescent="0.2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30017.944941413836</v>
      </c>
      <c r="J389" s="30">
        <f t="shared" si="14"/>
        <v>1.4999999999999999E-2</v>
      </c>
      <c r="K389" s="10"/>
    </row>
    <row r="390" spans="1:11" x14ac:dyDescent="0.2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20011.963294275891</v>
      </c>
      <c r="J390" s="30">
        <f t="shared" si="14"/>
        <v>0.01</v>
      </c>
      <c r="K390" s="10"/>
    </row>
    <row r="391" spans="1:11" x14ac:dyDescent="0.2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1.1992826314480011E-2</v>
      </c>
      <c r="K391" s="10"/>
    </row>
    <row r="392" spans="1:11" x14ac:dyDescent="0.2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20011.963294275891</v>
      </c>
      <c r="J392" s="30">
        <f t="shared" si="14"/>
        <v>0.01</v>
      </c>
      <c r="K392" s="10"/>
    </row>
    <row r="393" spans="1:11" x14ac:dyDescent="0.2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160095.70635420713</v>
      </c>
      <c r="J393" s="30">
        <f t="shared" si="14"/>
        <v>0.08</v>
      </c>
      <c r="K393" s="10"/>
    </row>
    <row r="394" spans="1:11" x14ac:dyDescent="0.2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803610.15524261491</v>
      </c>
      <c r="J394" s="30">
        <f t="shared" si="14"/>
        <v>0.40156487568237492</v>
      </c>
      <c r="K394" s="10"/>
    </row>
    <row r="395" spans="1:11" x14ac:dyDescent="0.2">
      <c r="A395" s="10"/>
      <c r="B395" s="119" t="s">
        <v>191</v>
      </c>
      <c r="C395" s="119"/>
      <c r="D395" s="119"/>
      <c r="E395" s="119"/>
      <c r="F395" s="119"/>
      <c r="G395" s="119"/>
      <c r="H395" s="119"/>
      <c r="I395" s="24">
        <f>I380-I394</f>
        <v>1197586.1741849743</v>
      </c>
      <c r="J395" s="30">
        <f t="shared" si="14"/>
        <v>0.59843512431762502</v>
      </c>
      <c r="K395" s="10"/>
    </row>
    <row r="396" spans="1:11" ht="18.75" x14ac:dyDescent="0.3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2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1197586.1741849743</v>
      </c>
      <c r="J400" s="30">
        <f t="shared" si="15"/>
        <v>0.59843512431762502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9" t="s">
        <v>183</v>
      </c>
      <c r="D412" s="119"/>
      <c r="E412" s="153" t="str">
        <f>CustomerName</f>
        <v>Josh Kingsley</v>
      </c>
      <c r="F412" s="154"/>
      <c r="G412" s="154"/>
      <c r="H412" s="154"/>
      <c r="I412" s="155"/>
      <c r="J412" s="10"/>
      <c r="K412" s="10"/>
    </row>
    <row r="413" spans="1:11" x14ac:dyDescent="0.2">
      <c r="A413" s="10"/>
      <c r="B413" s="10"/>
      <c r="C413" s="120" t="s">
        <v>184</v>
      </c>
      <c r="D413" s="121"/>
      <c r="E413" s="153" t="str">
        <f>CompanyName</f>
        <v>LUV Car Wash</v>
      </c>
      <c r="F413" s="154"/>
      <c r="G413" s="154"/>
      <c r="H413" s="154"/>
      <c r="I413" s="155"/>
      <c r="J413" s="10"/>
      <c r="K413" s="10"/>
    </row>
    <row r="414" spans="1:11" x14ac:dyDescent="0.2">
      <c r="A414" s="10"/>
      <c r="B414" s="10"/>
      <c r="C414" s="122" t="s">
        <v>128</v>
      </c>
      <c r="D414" s="123"/>
      <c r="E414" s="158" t="str">
        <f>AddressLine1</f>
        <v>U-Drive Express Car Wash</v>
      </c>
      <c r="F414" s="159"/>
      <c r="G414" s="159"/>
      <c r="H414" s="159"/>
      <c r="I414" s="160"/>
      <c r="J414" s="10"/>
      <c r="K414" s="10"/>
    </row>
    <row r="415" spans="1:11" x14ac:dyDescent="0.2">
      <c r="A415" s="10"/>
      <c r="B415" s="10"/>
      <c r="C415" s="124"/>
      <c r="D415" s="125"/>
      <c r="E415" s="161" t="str">
        <f>AddressLine2</f>
        <v>6451 W Charleston Blvd.</v>
      </c>
      <c r="F415" s="162"/>
      <c r="G415" s="162"/>
      <c r="H415" s="162"/>
      <c r="I415" s="163"/>
      <c r="J415" s="10"/>
      <c r="K415" s="10"/>
    </row>
    <row r="416" spans="1:11" x14ac:dyDescent="0.2">
      <c r="A416" s="10"/>
      <c r="B416" s="10"/>
      <c r="C416" s="126"/>
      <c r="D416" s="127"/>
      <c r="E416" s="164" t="str">
        <f>AddressLine3</f>
        <v>Las Vegas, NV 89146</v>
      </c>
      <c r="F416" s="165"/>
      <c r="G416" s="165"/>
      <c r="H416" s="165"/>
      <c r="I416" s="166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2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2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2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2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2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2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4lAZ48F8YjxxBTQ2IQ/sc+1qXbixVrJmrYR7hkvqJHENC37s3MgRZmzps1WN8YSseO5yVUBtGruKjuPWyIdZjw==" saltValue="18eLDchpuW/etzPYqsZ14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2022-02-07T17:10:48Z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