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Greg Guy\"/>
    </mc:Choice>
  </mc:AlternateContent>
  <xr:revisionPtr revIDLastSave="0" documentId="8_{B00CA6E7-6FC0-4109-BE8D-F5B3D8B6D72C}" xr6:coauthVersionLast="45" xr6:coauthVersionMax="45" xr10:uidLastSave="{00000000-0000-0000-0000-000000000000}"/>
  <workbookProtection workbookPassword="FB8D" lockStructure="1"/>
  <bookViews>
    <workbookView xWindow="-25320" yWindow="-1845" windowWidth="25440" windowHeight="1539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<sst xmlns="http://schemas.openxmlformats.org/spreadsheetml/2006/main" count="434" uniqueCount="202">
  <si>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</si>
  <si>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</si>
  <si>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</si>
  <si>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</si>
  <si>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</si>
  <si>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</si>
  <si>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</si>
  <si>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</si>
  <si>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</si>
  <si>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</si>
  <si>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</si>
  <si>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</si>
  <si>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</si>
  <si>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</si>
  <si>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</si>
  <si>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</si>
  <si>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</si>
  <si>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</si>
  <si>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</si>
  <si>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</si>
  <si>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</si>
  <si>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</si>
  <si>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</si>
  <si>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</si>
  <si>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</si>
  <si>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</si>
  <si>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</si>
  <si>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</si>
  <si>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</si>
  <si>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</si>
  <si>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</si>
  <si>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</si>
  <si>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</si>
  <si>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</si>
  <si>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</si>
  <si>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</si>
  <si>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</si>
  <si>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</si>
  <si>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</si>
  <si>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</si>
  <si>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</si>
  <si>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</si>
  <si>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</si>
  <si>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</si>
  <si>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</si>
  <si>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</si>
  <si>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</si>
  <si>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</si>
  <si>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</si>
  <si>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</si>
  <si>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</si>
  <si>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</si>
  <si>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</si>
  <si>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</si>
  <si>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</si>
  <si>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</si>
  <si>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</si>
  <si>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</si>
  <si>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</si>
  <si>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</si>
  <si>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</si>
  <si>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</si>
  <si>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</si>
  <si>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</si>
  <si>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</si>
  <si>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</si>
  <si>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</si>
  <si>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</si>
  <si>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</si>
  <si>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</si>
  <si>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</si>
  <si>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</si>
  <si>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</si>
  <si>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</si>
  <si>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</si>
  <si>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</si>
  <si>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</si>
  <si>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</si>
  <si>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</si>
  <si>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</si>
  <si>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</si>
  <si>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</si>
  <si>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</si>
  <si>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</si>
  <si>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</si>
  <si>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</si>
  <si>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</si>
  <si>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</si>
  <si>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</si>
  <si>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</si>
  <si>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</si>
  <si>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</si>
  <si>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</si>
  <si>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</si>
  <si>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</si>
  <si>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</si>
  <si>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</si>
  <si>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</si>
  <si>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</si>
  <si>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</si>
  <si>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</si>
  <si>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</si>
  <si>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</si>
  <si>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</si>
  <si>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</si>
  <si>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</si>
  <si>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</si>
  <si>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</si>
  <si>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</si>
  <si>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</si>
  <si>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</si>
  <si>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</si>
  <si>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</si>
  <si>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</si>
  <si>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</si>
  <si>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</si>
  <si>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</si>
  <si>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</si>
  <si>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</si>
  <si>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</si>
  <si>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</si>
  <si>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</si>
  <si>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</si>
  <si>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</si>
  <si>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</si>
  <si>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</si>
  <si>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</si>
  <si>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</si>
  <si>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</si>
  <si>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</si>
  <si>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</si>
  <si>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</si>
  <si>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</si>
  <si>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</si>
  <si>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</si>
  <si>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</si>
  <si>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</si>
  <si>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</si>
  <si>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</si>
  <si>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</si>
  <si>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</si>
  <si>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</si>
  <si>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</si>
  <si>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</si>
  <si>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</si>
  <si>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</si>
  <si>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</si>
  <si>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</si>
  <si>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</si>
  <si>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</si>
  <si>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</si>
  <si>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</si>
  <si>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</si>
  <si>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</si>
  <si>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</si>
  <si>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</si>
  <si>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</si>
  <si>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</si>
  <si>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</si>
  <si>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</si>
  <si>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</si>
  <si>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</si>
  <si>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</si>
  <si>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</si>
  <si>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</si>
  <si>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</si>
  <si>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</si>
  <si>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</si>
  <si>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</si>
  <si>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</si>
  <si>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</si>
  <si>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</si>
  <si>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</si>
  <si>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</si>
  <si>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</si>
  <si>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</si>
  <si>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</si>
  <si>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</si>
  <si>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</si>
  <si>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</si>
  <si>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</si>
  <si>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</si>
  <si>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</si>
  <si>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</si>
  <si>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</si>
  <si>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</si>
  <si>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</si>
  <si>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</si>
  <si>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</si>
  <si>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</si>
  <si>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</si>
  <si>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</si>
  <si>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</si>
  <si>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</si>
  <si>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</si>
  <si>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</si>
  <si>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</si>
  <si>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</si>
  <si>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Greg Guy</t>
  </si>
  <si>
    <t>Guy's Car Wash</t>
  </si>
  <si>
    <t>3738 Monroe Street</t>
  </si>
  <si>
    <t>Tallahassee FL 32303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</si>
</sst>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Normal="100" workbookViewId="0">
      <selection activeCell="B81" sqref="B8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 t="s">
        <v>200</v>
      </c>
      <c r="C4" s="87"/>
      <c r="D4" s="88"/>
      <c r="E4" s="34"/>
      <c r="F4" s="34"/>
    </row>
    <row r="5" spans="1:9" ht="15.75" x14ac:dyDescent="0.25">
      <c r="A5" s="35" t="s">
        <v>14</v>
      </c>
      <c r="B5" s="86" t="s">
        <v>201</v>
      </c>
      <c r="C5" s="87"/>
      <c r="D5" s="88"/>
      <c r="E5" s="34"/>
      <c r="F5" s="34"/>
    </row>
    <row r="6" spans="1:9" ht="15.75" x14ac:dyDescent="0.25">
      <c r="A6" s="35" t="s">
        <v>16</v>
      </c>
      <c r="B6" s="86"/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1.0499999999999998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2.4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0.48</v>
      </c>
      <c r="F58" s="61">
        <f>-0.3*(0.55-E58)</f>
        <v>-2.1000000000000019E-2</v>
      </c>
    </row>
    <row r="59" spans="1:8" ht="15.75" x14ac:dyDescent="0.25">
      <c r="A59" s="83" t="s">
        <v>3</v>
      </c>
      <c r="B59" s="84"/>
      <c r="C59" s="84"/>
      <c r="D59" s="85"/>
      <c r="E59" s="45">
        <v>0.64</v>
      </c>
      <c r="F59" s="61">
        <f>-0.75*(0.5-E59)</f>
        <v>0.10500000000000001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2.0999999999999998E-2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8.8286470588235279E-3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1.1652717391304345E-2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1.4105921052631575E-2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32127</v>
      </c>
      <c r="B70" s="66">
        <v>0.03</v>
      </c>
      <c r="C70" s="66">
        <v>0.03</v>
      </c>
      <c r="D70" s="66">
        <v>0.03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85091.383217647046</v>
      </c>
      <c r="C74" s="68">
        <f>F65*A70*300</f>
        <v>112310.05548913041</v>
      </c>
      <c r="D74" s="68">
        <f>($F$54*(1+$F$61))/85*($A$70*(1+B$70))*300</f>
        <v>125205.89244882348</v>
      </c>
      <c r="E74" s="68">
        <f>($F$54*(1+$F$61))/82*($A$70*(1+C$70))*300</f>
        <v>129786.59583109753</v>
      </c>
      <c r="F74" s="68">
        <f>F66*(A70*(1+D70)*300)</f>
        <v>140032.90602828944</v>
      </c>
    </row>
    <row r="75" spans="1:6" ht="15.75" x14ac:dyDescent="0.25">
      <c r="A75" s="35" t="s">
        <v>106</v>
      </c>
      <c r="B75" s="68">
        <f>B74/12</f>
        <v>7090.9486014705872</v>
      </c>
      <c r="C75" s="68">
        <f>C74/12</f>
        <v>9359.1712907608671</v>
      </c>
      <c r="D75" s="68">
        <f t="shared" ref="D75:F75" si="0">D74/12</f>
        <v>10433.82437073529</v>
      </c>
      <c r="E75" s="68">
        <f t="shared" si="0"/>
        <v>10815.54965259146</v>
      </c>
      <c r="F75" s="68">
        <f t="shared" si="0"/>
        <v>11669.408835690787</v>
      </c>
    </row>
    <row r="76" spans="1:6" ht="15.75" x14ac:dyDescent="0.25">
      <c r="A76" s="35" t="s">
        <v>107</v>
      </c>
      <c r="B76" s="68">
        <f>B75/4.5/7*3</f>
        <v>675.32843823529402</v>
      </c>
      <c r="C76" s="68">
        <f t="shared" ref="C76:F76" si="1">C75/4.5/7*3</f>
        <v>891.34964673913021</v>
      </c>
      <c r="D76" s="68">
        <f t="shared" si="1"/>
        <v>993.69755911764673</v>
      </c>
      <c r="E76" s="68">
        <f t="shared" si="1"/>
        <v>1030.0523478658533</v>
      </c>
      <c r="F76" s="68">
        <f t="shared" si="1"/>
        <v>1111.3722700657893</v>
      </c>
    </row>
    <row r="77" spans="1:6" ht="15.75" x14ac:dyDescent="0.25">
      <c r="A77" s="35" t="s">
        <v>108</v>
      </c>
      <c r="B77" s="68">
        <f>IFERROR((B76/$B9*1.3),0)</f>
        <v>73.160580808823525</v>
      </c>
      <c r="C77" s="68">
        <f t="shared" ref="C77:F77" si="2">IFERROR((C76/$B9*1.3),0)</f>
        <v>96.562878396739109</v>
      </c>
      <c r="D77" s="68">
        <f t="shared" si="2"/>
        <v>107.65056890441173</v>
      </c>
      <c r="E77" s="68">
        <f t="shared" si="2"/>
        <v>111.58900435213411</v>
      </c>
      <c r="F77" s="68">
        <f t="shared" si="2"/>
        <v>120.3986625904605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opLeftCell="B154" zoomScale="130" zoomScaleNormal="100" zoomScalePageLayoutView="130" workbookViewId="0">
      <selection activeCell="H95" sqref="H9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Greg Guy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Guy's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3738 Monroe Street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Tallahassee FL 32303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>
        <f>'Input Form'!B6</f>
        <v>0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Greg Guy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Guy's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 t="str">
        <f>AddressLine1</f>
        <v>3738 Monroe Street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Tallahassee FL 32303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>
        <f>AddressLine3</f>
        <v>0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2004.4810861703884</v>
      </c>
      <c r="J65" s="18">
        <f>'Input Form'!B75</f>
        <v>7090.9486014705872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4510.0824438833743</v>
      </c>
      <c r="J69" s="20">
        <f>J$65*F69*G69</f>
        <v>15954.634353308824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3006.7216292555827</v>
      </c>
      <c r="J70" s="20">
        <f t="shared" ref="J70:J73" si="0">J$65*F70*G70</f>
        <v>10636.422902205881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4510.0824438833743</v>
      </c>
      <c r="J71" s="20">
        <f t="shared" si="0"/>
        <v>15954.63435330882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8017.9243446815544</v>
      </c>
      <c r="J72" s="20">
        <f t="shared" si="0"/>
        <v>28363.794405882352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2505.6013577129856</v>
      </c>
      <c r="J73" s="20">
        <f t="shared" si="0"/>
        <v>8863.6857518382349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22550.412219416874</v>
      </c>
      <c r="J74" s="20">
        <f>SUM(J69:J73)</f>
        <v>79773.17176654411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-405.90741994950366</v>
      </c>
      <c r="J75" s="20">
        <f>-(J74*$F75*$G75)</f>
        <v>-1435.9170917977938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22144.50479946737</v>
      </c>
      <c r="J76" s="20">
        <f>SUM(J74:J75)</f>
        <v>78337.25467474632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11.047500000000001</v>
      </c>
      <c r="J77" s="22">
        <f>J76/(J65+0.000000001)</f>
        <v>11.047499999998443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664.3351439840211</v>
      </c>
      <c r="J80" s="20">
        <f>$G80*J76</f>
        <v>2350.1176402423894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6.2416000000000006E-2</v>
      </c>
      <c r="H81" s="131"/>
      <c r="I81" s="20">
        <f>G81*I76</f>
        <v>1382.1714115635555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4979.1222889806177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221.4450479946737</v>
      </c>
      <c r="J82" s="20">
        <f>$G82*J76</f>
        <v>783.37254674746328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4.4345087365585144E-2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0.60600222590314035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221.4450479946737</v>
      </c>
      <c r="J85" s="20">
        <f>$G85*J76</f>
        <v>783.37254674746328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221.4450479946737</v>
      </c>
      <c r="J86" s="20">
        <f>$G86*J76</f>
        <v>783.37254674746328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332.16757199201055</v>
      </c>
      <c r="J87" s="20">
        <f>$G87*J76</f>
        <v>1175.0588201211947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221.4450479946737</v>
      </c>
      <c r="J88" s="20">
        <f>$G88*J76</f>
        <v>783.37254674746328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8.8690174731170288E-2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221.4450479946737</v>
      </c>
      <c r="J90" s="20">
        <f>$G90*J76</f>
        <v>783.37254674746328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1993.0054319520632</v>
      </c>
      <c r="J91" s="20">
        <f>$G91*J76</f>
        <v>7050.3529207271686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22144.504799465027</v>
      </c>
      <c r="J92" s="20">
        <f>SUM(J80:J91)</f>
        <v>36137.114403808693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2.3428583517670631E-9</v>
      </c>
      <c r="J93" s="24">
        <f>J76-J92</f>
        <v>42200.140270937627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Greg Guy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Guy's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 t="str">
        <f>AddressLine1</f>
        <v>3738 Monroe Street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Tallahassee FL 32303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>
        <f>AddressLine3</f>
        <v>0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22144.50479946737</v>
      </c>
      <c r="H138" s="169"/>
      <c r="I138" s="169">
        <f>J76</f>
        <v>78337.25467474632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22144.504799465027</v>
      </c>
      <c r="H139" s="169"/>
      <c r="I139" s="169">
        <f>J92</f>
        <v>36137.114403808693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2.3428583517670631E-9</v>
      </c>
      <c r="H140" s="169"/>
      <c r="I140" s="169">
        <f>J93</f>
        <v>42200.140270937627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2.3428583517670631E-9</v>
      </c>
      <c r="H143" s="169"/>
      <c r="I143" s="169">
        <f>I140-I141-I142</f>
        <v>42200.140270937627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Greg Guy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Guy's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 t="str">
        <f>AddressLine1</f>
        <v>3738 Monroe Street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Tallahassee FL 32303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>
        <f>AddressLine3</f>
        <v>0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85091.383217647046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191455.61223970586</v>
      </c>
      <c r="J169" s="30">
        <f>IFERROR((I169/I$174),0)</f>
        <v>0.2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127637.07482647056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191455.61223970586</v>
      </c>
      <c r="J171" s="30">
        <f t="shared" si="2"/>
        <v>0.2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340365.53287058818</v>
      </c>
      <c r="J172" s="30">
        <f t="shared" si="2"/>
        <v>0.35555555555555557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106364.2290220588</v>
      </c>
      <c r="J173" s="30">
        <f t="shared" si="2"/>
        <v>0.11111111111111112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957278.06119852921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-17231.005101573523</v>
      </c>
      <c r="J175" s="30">
        <f t="shared" si="2"/>
        <v>-1.7999999999999995E-2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940047.05609695567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28201.411682908671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58673.977053347589</v>
      </c>
      <c r="J179" s="30">
        <f t="shared" ref="J179:J196" si="3">IFERROR((I179/I$176),0)</f>
        <v>6.2416000000000006E-2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9400.4705609695575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1.2765318419083831E-2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0.17444573538783201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9400.4705609695575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9400.4705609695575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14100.705841454335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9400.4705609695575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2.5530636838167663E-2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9400.4705609695575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84604.235048726012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432569.88243128435</v>
      </c>
      <c r="J190" s="30">
        <f t="shared" si="3"/>
        <v>0.46015769064508344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507477.17366567132</v>
      </c>
      <c r="J191" s="30">
        <f t="shared" si="3"/>
        <v>0.53984230935491651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507477.17366567132</v>
      </c>
      <c r="J196" s="30">
        <f t="shared" si="3"/>
        <v>0.53984230935491651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Greg Guy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Guy's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 t="str">
        <f>AddressLine1</f>
        <v>3738 Monroe Street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Tallahassee FL 32303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>
        <f>AddressLine3</f>
        <v>0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112310.05548913041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252697.62485054342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168465.08323369562</v>
      </c>
      <c r="J221" s="30">
        <f t="shared" ref="J221:J227" si="4">IFERROR((I221/I$225),0)</f>
        <v>0.13333333333333336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252697.62485054342</v>
      </c>
      <c r="J222" s="30">
        <f t="shared" si="4"/>
        <v>0.2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449240.22195652168</v>
      </c>
      <c r="J223" s="30">
        <f t="shared" si="4"/>
        <v>0.35555555555555562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140387.56936141301</v>
      </c>
      <c r="J224" s="30">
        <f t="shared" si="4"/>
        <v>0.11111111111111112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1263488.124252717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-22742.786236548905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1240745.3380161682</v>
      </c>
      <c r="J227" s="30">
        <f t="shared" si="4"/>
        <v>0.9820000000000001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37222.360140485041</v>
      </c>
      <c r="J229" s="30">
        <f>IFERROR((I229/I$227),0)</f>
        <v>2.9999999999999995E-2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77442.361017617164</v>
      </c>
      <c r="J230" s="30">
        <f t="shared" ref="J230:J247" si="5">IFERROR((I230/I$227),0)</f>
        <v>6.2416000000000006E-2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12407.453380161682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9.6716059551646902E-3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0.1321682983408986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12407.453380161682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12407.453380161682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18611.180070242521</v>
      </c>
      <c r="J236" s="30">
        <f t="shared" si="5"/>
        <v>1.4999999999999998E-2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12407.453380161682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1.934321191032938E-2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12407.453380161682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111667.08042145513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506967.44855060818</v>
      </c>
      <c r="J241" s="30">
        <f t="shared" si="5"/>
        <v>0.40859911620639261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733777.88946555997</v>
      </c>
      <c r="J242" s="30">
        <f t="shared" si="5"/>
        <v>0.59140088379360733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733777.88946555997</v>
      </c>
      <c r="J247" s="30">
        <f t="shared" si="5"/>
        <v>0.59140088379360733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Greg Guy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Guy's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 t="str">
        <f>AddressLine1</f>
        <v>3738 Monroe Street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Tallahassee FL 32303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>
        <f>AddressLine3</f>
        <v>0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125205.89244882348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281713.25800985284</v>
      </c>
      <c r="J271" s="30">
        <f>IFERROR((I271/I$276),0)</f>
        <v>0.2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187808.83867323521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281713.25800985284</v>
      </c>
      <c r="J273" s="30">
        <f t="shared" si="7"/>
        <v>0.2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500823.56979529397</v>
      </c>
      <c r="J274" s="30">
        <f t="shared" si="7"/>
        <v>0.35555555555555557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156507.36556102935</v>
      </c>
      <c r="J275" s="30">
        <f t="shared" si="7"/>
        <v>0.1111111111111111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1408566.2900492642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-25354.193220886755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1383212.0968283773</v>
      </c>
      <c r="J278" s="30">
        <f t="shared" si="7"/>
        <v>0.98199999999999987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41496.362904851318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86334.566235640013</v>
      </c>
      <c r="J281" s="30">
        <f t="shared" ref="J281:J298" si="8">IFERROR((I281/I$278),0)</f>
        <v>6.2416000000000013E-2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13832.120968283774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8.6754591197657129E-3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0.11855535414707033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13832.120968283774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13832.120968283774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20748.181452425659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13832.120968283774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1.7350918239531426E-2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13832.120968283774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124489.08871455396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542216.00414888992</v>
      </c>
      <c r="J292" s="30">
        <f t="shared" si="8"/>
        <v>0.39199773150636752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840996.09267948742</v>
      </c>
      <c r="J293" s="30">
        <f t="shared" si="8"/>
        <v>0.60800226849363248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840996.09267948742</v>
      </c>
      <c r="J298" s="30">
        <f t="shared" si="8"/>
        <v>0.60800226849363248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Greg Guy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Guy's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 t="str">
        <f>AddressLine1</f>
        <v>3738 Monroe Street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Tallahassee FL 32303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>
        <f>AddressLine3</f>
        <v>0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129786.59583109753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292019.84061996941</v>
      </c>
      <c r="J322" s="30">
        <f>IFERROR((I322/I$327),0)</f>
        <v>0.2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194679.89374664627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292019.84061996941</v>
      </c>
      <c r="J324" s="30">
        <f t="shared" si="9"/>
        <v>0.2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519146.3833243901</v>
      </c>
      <c r="J325" s="30">
        <f t="shared" si="9"/>
        <v>0.35555555555555557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162233.24478887193</v>
      </c>
      <c r="J326" s="30">
        <f t="shared" si="9"/>
        <v>0.11111111111111113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1460099.2030998471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-26281.785655797248</v>
      </c>
      <c r="J328" s="30">
        <f t="shared" si="9"/>
        <v>-1.8000000000000002E-2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1433817.4174440498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43014.522523321495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89493.14792718782</v>
      </c>
      <c r="J332" s="30">
        <f t="shared" ref="J332:J344" si="10">IFERROR((I332/I$329),0)</f>
        <v>6.2416000000000006E-2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14338.174174440499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8.3692664449504517E-3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0.1143710475301149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14338.174174440499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14338.174174440499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21507.261261660748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14338.174174440499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1.6738532889900903E-2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14338.174174440499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129043.56756996448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554736.57015433698</v>
      </c>
      <c r="J343" s="30">
        <f t="shared" si="10"/>
        <v>0.38689484686496622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879080.84728971287</v>
      </c>
      <c r="J344" s="30">
        <f t="shared" si="10"/>
        <v>0.61310515313503378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879080.84728971287</v>
      </c>
      <c r="J349" s="30">
        <f t="shared" si="11"/>
        <v>0.61310515313503378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Greg Guy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Guy's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 t="str">
        <f>AddressLine1</f>
        <v>3738 Monroe Street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Tallahassee FL 32303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>
        <f>AddressLine3</f>
        <v>0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140032.90602828944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315074.03856365127</v>
      </c>
      <c r="J373" s="30">
        <f>IFERROR((I373/I$378),0)</f>
        <v>0.20000000000000004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210049.35904243417</v>
      </c>
      <c r="J374" s="30">
        <f t="shared" ref="J374:J380" si="13">IFERROR((I374/I$378),0)</f>
        <v>0.13333333333333336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315074.03856365121</v>
      </c>
      <c r="J375" s="30">
        <f t="shared" si="13"/>
        <v>0.19999999999999998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560131.62411315774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175041.1325353618</v>
      </c>
      <c r="J377" s="30">
        <f t="shared" si="13"/>
        <v>0.11111111111111112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1575370.1928182561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-28356.66347072861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1547013.5293475275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46410.405880425824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96558.396447755295</v>
      </c>
      <c r="J383" s="30">
        <f t="shared" ref="J383:J395" si="14">IFERROR((I383/I$380),0)</f>
        <v>6.2416000000000013E-2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15470.135293475276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7.7568810953199301E-3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0.10600243429620404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15470.135293475276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15470.135293475276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23205.202940212912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15470.135293475276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1.551376219063986E-2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15470.135293475276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139231.21764127747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582743.09937704797</v>
      </c>
      <c r="J394" s="30">
        <f t="shared" si="14"/>
        <v>0.37668907758216391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964270.42997047957</v>
      </c>
      <c r="J395" s="30">
        <f t="shared" si="14"/>
        <v>0.62331092241783614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964270.42997047957</v>
      </c>
      <c r="J400" s="30">
        <f t="shared" si="15"/>
        <v>0.62331092241783614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Greg Guy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Guy's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 t="str">
        <f>AddressLine1</f>
        <v>3738 Monroe Street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Tallahassee FL 32303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>
        <f>AddressLine3</f>
        <v>0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JXnhC5cjhhby0fsZuagi9XxJTbODewIZwtoq0f34VjDlkVjD7BIHip/eSX2pI+fGnzylVCZ2nFsSCktEzagaXQ==" saltValue="f3HocVz238ttYxCwcpkG1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2020-02-03T19:58:28Z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