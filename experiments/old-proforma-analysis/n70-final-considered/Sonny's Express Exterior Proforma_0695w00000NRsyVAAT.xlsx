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Josh Kingsley\FL\9491 Baymeadows Rd., Jacksonville\"/>
    </mc:Choice>
  </mc:AlternateContent>
  <xr:revisionPtr revIDLastSave="0" documentId="8_{EF1269DF-9B97-4C23-809D-5E544BB22748}" xr6:coauthVersionLast="47" xr6:coauthVersionMax="47" xr10:uidLastSave="{00000000-0000-0000-0000-000000000000}"/>
  <workbookProtection workbookPassword="FB8D" lockStructure="1"/>
  <bookViews>
    <workbookView xWindow="-27075" yWindow="249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<sst xmlns="http://schemas.openxmlformats.org/spreadsheetml/2006/main" count="431" uniqueCount="198">
  <si>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</si>
  <si>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</si>
  <si>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</si>
  <si>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</si>
  <si>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</si>
  <si>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</si>
  <si>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</si>
  <si>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</si>
  <si>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</si>
  <si>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</si>
  <si>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</si>
  <si>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</si>
  <si>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</si>
  <si>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</si>
  <si>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</si>
  <si>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</si>
  <si>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</si>
  <si>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</si>
  <si>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</si>
  <si>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</si>
  <si>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</si>
  <si>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</si>
  <si>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</si>
  <si>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</si>
  <si>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</si>
  <si>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</si>
  <si>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</si>
  <si>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</si>
  <si>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</si>
  <si>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</si>
  <si>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</si>
  <si>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</si>
  <si>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</si>
  <si>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</si>
  <si>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</si>
  <si>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</si>
  <si>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</si>
  <si>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</si>
  <si>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</si>
  <si>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</si>
  <si>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</si>
  <si>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</si>
  <si>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</si>
  <si>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</si>
  <si>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</si>
  <si>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</si>
  <si>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</si>
  <si>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</si>
  <si>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</si>
  <si>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</si>
  <si>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</si>
  <si>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</si>
  <si>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</si>
  <si>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</si>
  <si>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</si>
  <si>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</si>
  <si>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</si>
  <si>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</si>
  <si>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</si>
  <si>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</si>
  <si>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</si>
  <si>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</si>
  <si>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</si>
  <si>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</si>
  <si>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</si>
  <si>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</si>
  <si>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</si>
  <si>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</si>
  <si>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</si>
  <si>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</si>
  <si>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</si>
  <si>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</si>
  <si>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</si>
  <si>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</si>
  <si>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</si>
  <si>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</si>
  <si>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</si>
  <si>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</si>
  <si>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</si>
  <si>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</si>
  <si>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</si>
  <si>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</si>
  <si>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</si>
  <si>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</si>
  <si>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</si>
  <si>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</si>
  <si>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</si>
  <si>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</si>
  <si>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</si>
  <si>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</si>
  <si>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</si>
  <si>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</si>
  <si>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</si>
  <si>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</si>
  <si>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</si>
  <si>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</si>
  <si>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</si>
  <si>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</si>
  <si>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</si>
  <si>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</si>
  <si>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</si>
  <si>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</si>
  <si>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</si>
  <si>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</si>
  <si>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</si>
  <si>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</si>
  <si>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</si>
  <si>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</si>
  <si>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</si>
  <si>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</si>
  <si>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</si>
  <si>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</si>
  <si>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</si>
  <si>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</si>
  <si>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</si>
  <si>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</si>
  <si>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</si>
  <si>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</si>
  <si>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</si>
  <si>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</si>
  <si>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</si>
  <si>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</si>
  <si>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</si>
  <si>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</si>
  <si>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</si>
  <si>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</si>
  <si>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</si>
  <si>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</si>
  <si>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</si>
  <si>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</si>
  <si>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</si>
  <si>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</si>
  <si>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</si>
  <si>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</si>
  <si>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</si>
  <si>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</si>
  <si>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</si>
  <si>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</si>
  <si>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</si>
  <si>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</si>
  <si>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</si>
  <si>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</si>
  <si>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</si>
  <si>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</si>
  <si>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</si>
  <si>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</si>
  <si>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</si>
  <si>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</si>
  <si>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</si>
  <si>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</si>
  <si>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</si>
  <si>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</si>
  <si>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</si>
  <si>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</si>
  <si>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</si>
  <si>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</si>
  <si>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</si>
  <si>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</si>
  <si>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</si>
  <si>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</si>
  <si>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</si>
  <si>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</si>
  <si>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</si>
  <si>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</si>
  <si>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</si>
  <si>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</si>
  <si>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</si>
  <si>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</si>
  <si>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</si>
  <si>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</si>
  <si>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</si>
  <si>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</si>
  <si>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</si>
  <si>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</si>
  <si>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</si>
  <si>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</si>
  <si>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</si>
  <si>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</si>
  <si>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</si>
  <si>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</si>
  <si>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</si>
  <si>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</si>
  <si>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</si>
  <si>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</si>
  <si>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</si>
  <si>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</si>
  <si>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</si>
  <si>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</si>
  <si>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</si>
  <si>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</si>
  <si>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</si>
  <si>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</si>
  <si>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Josh Kingsley</t>
  </si>
  <si>
    <t>LUV Car Wash</t>
  </si>
  <si>
    <t>Zips Car Wash</t>
  </si>
  <si>
    <t>9491 Baymeadows Rd.</t>
  </si>
  <si>
    <t>Jacksonville, FL 32256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</si>
  <si>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This proforma cannot account for the population density:number of competitors ratio.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</si>
</sst>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514350</xdr:colOff>
      <xdr:row>32</xdr:row>
      <xdr:rowOff>190500</xdr:rowOff>
    </xdr:from>
    <xdr:to>
      <xdr:col>5</xdr:col>
      <xdr:colOff>714376</xdr:colOff>
      <xdr:row>39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35AB2-5552-492D-A8A8-2F95EED8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5895975"/>
          <a:ext cx="1000126" cy="1000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9" zoomScaleNormal="100" workbookViewId="0">
      <selection activeCell="H70" sqref="H70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192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193</v>
      </c>
      <c r="C3" s="87"/>
      <c r="D3" s="88"/>
      <c r="E3" s="34"/>
      <c r="F3" s="34"/>
    </row>
    <row r="4" spans="1:9" ht="15.75" x14ac:dyDescent="0.25">
      <c r="A4" s="35" t="s">
        <v>12</v>
      </c>
      <c r="B4" s="86" t="s">
        <v>194</v>
      </c>
      <c r="C4" s="87"/>
      <c r="D4" s="88"/>
      <c r="E4" s="34"/>
      <c r="F4" s="34"/>
    </row>
    <row r="5" spans="1:9" ht="15.75" x14ac:dyDescent="0.25">
      <c r="A5" s="35" t="s">
        <v>13</v>
      </c>
      <c r="B5" s="86" t="s">
        <v>195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196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28</v>
      </c>
      <c r="B21" s="47">
        <v>16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29</v>
      </c>
      <c r="B22" s="47">
        <v>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30</v>
      </c>
      <c r="B23" s="47">
        <v>22</v>
      </c>
      <c r="C23" s="48">
        <v>2.121</v>
      </c>
      <c r="D23" s="45">
        <v>0.3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29</v>
      </c>
      <c r="B30" s="47">
        <v>0</v>
      </c>
      <c r="C30" s="47">
        <v>0</v>
      </c>
      <c r="D30" s="47">
        <v>0</v>
      </c>
      <c r="E30" s="47">
        <v>0</v>
      </c>
      <c r="F30" s="34"/>
    </row>
    <row r="31" spans="1:8" ht="15.75" x14ac:dyDescent="0.25">
      <c r="A31" s="43" t="s">
        <v>30</v>
      </c>
      <c r="B31" s="47">
        <v>22</v>
      </c>
      <c r="C31" s="47">
        <v>22</v>
      </c>
      <c r="D31" s="47">
        <v>22</v>
      </c>
      <c r="E31" s="47">
        <v>22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0.85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2.1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0.54</v>
      </c>
      <c r="F58" s="61">
        <f>-0.3*(0.55-E58)</f>
        <v>-3.0000000000000027E-3</v>
      </c>
    </row>
    <row r="59" spans="1:8" ht="15.75" x14ac:dyDescent="0.25">
      <c r="A59" s="83" t="s">
        <v>3</v>
      </c>
      <c r="B59" s="84"/>
      <c r="C59" s="84"/>
      <c r="D59" s="85"/>
      <c r="E59" s="45">
        <v>0.77400000000000002</v>
      </c>
      <c r="F59" s="61">
        <f>-0.75*(0.5-E59)</f>
        <v>0.20550000000000002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5.0625000000000003E-2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7.3543749999999989E-3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9.7068614130434768E-3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1.1750411184210526E-2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49504</v>
      </c>
      <c r="B70" s="66">
        <v>0.03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109221.29399999999</v>
      </c>
      <c r="C74" s="68">
        <f>F65*A70*300</f>
        <v>144158.54021739127</v>
      </c>
      <c r="D74" s="68">
        <f>($F$54*(1+$F$61))/85*($A$70*(1+B$70))*300</f>
        <v>160711.33259999999</v>
      </c>
      <c r="E74" s="68">
        <f>($F$54*(1+$F$61))/82*($A$70*(1+C$70))*300</f>
        <v>164973.62700000001</v>
      </c>
      <c r="F74" s="68">
        <f>F66*(A70*(1+D70)*300)</f>
        <v>177997.86071052632</v>
      </c>
    </row>
    <row r="75" spans="1:6" ht="15.75" x14ac:dyDescent="0.25">
      <c r="A75" s="35" t="s">
        <v>105</v>
      </c>
      <c r="B75" s="68">
        <f>B74/12</f>
        <v>9101.7744999999995</v>
      </c>
      <c r="C75" s="68">
        <f>C74/12</f>
        <v>12013.211684782606</v>
      </c>
      <c r="D75" s="68">
        <f t="shared" ref="D75:F75" si="0">D74/12</f>
        <v>13392.61105</v>
      </c>
      <c r="E75" s="68">
        <f t="shared" si="0"/>
        <v>13747.802250000001</v>
      </c>
      <c r="F75" s="68">
        <f t="shared" si="0"/>
        <v>14833.155059210527</v>
      </c>
    </row>
    <row r="76" spans="1:6" ht="15.75" x14ac:dyDescent="0.25">
      <c r="A76" s="35" t="s">
        <v>106</v>
      </c>
      <c r="B76" s="68">
        <f>B75/4.5/7*3</f>
        <v>866.83566666666661</v>
      </c>
      <c r="C76" s="68">
        <f t="shared" ref="C76:F76" si="1">C75/4.5/7*3</f>
        <v>1144.1153985507244</v>
      </c>
      <c r="D76" s="68">
        <f t="shared" si="1"/>
        <v>1275.4867666666667</v>
      </c>
      <c r="E76" s="68">
        <f t="shared" si="1"/>
        <v>1309.3145</v>
      </c>
      <c r="F76" s="68">
        <f t="shared" si="1"/>
        <v>1412.6814342105263</v>
      </c>
    </row>
    <row r="77" spans="1:6" ht="15.75" x14ac:dyDescent="0.25">
      <c r="A77" s="35" t="s">
        <v>107</v>
      </c>
      <c r="B77" s="68">
        <f>IFERROR((B76/$B9*1.3),0)</f>
        <v>93.907197222222209</v>
      </c>
      <c r="C77" s="68">
        <f t="shared" ref="C77:F77" si="2">IFERROR((C76/$B9*1.3),0)</f>
        <v>123.94583484299515</v>
      </c>
      <c r="D77" s="68">
        <f t="shared" si="2"/>
        <v>138.17773305555556</v>
      </c>
      <c r="E77" s="68">
        <f t="shared" si="2"/>
        <v>141.84240416666665</v>
      </c>
      <c r="F77" s="68">
        <f t="shared" si="2"/>
        <v>153.04048870614037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4" zoomScaleNormal="100" workbookViewId="0">
      <selection activeCell="L45" sqref="L45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Josh Kingsley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LUV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Zips Car Wash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9491 Baymeadows Rd.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Jacksonville, FL 32256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197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Josh Kingsley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LUV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 t="str">
        <f>AddressLine1</f>
        <v>Zips Car Wash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9491 Baymeadows Rd.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Jacksonville, FL 32256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2120.9619200905181</v>
      </c>
      <c r="J65" s="18">
        <f>'Input Form'!B75</f>
        <v>9101.7744999999995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0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0.4</v>
      </c>
      <c r="H70" s="140"/>
      <c r="I70" s="20">
        <f>IFERROR((I$65*G70*F70),0)</f>
        <v>8483.8476803620724</v>
      </c>
      <c r="J70" s="20">
        <f t="shared" ref="J70:J73" si="0">J$65*F70*G70</f>
        <v>36407.097999999998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16</v>
      </c>
      <c r="G71" s="139">
        <f>'Input Form'!D21</f>
        <v>0.3</v>
      </c>
      <c r="H71" s="140"/>
      <c r="I71" s="20">
        <f>IFERROR((I$65*G71*F71),0)</f>
        <v>10180.617216434486</v>
      </c>
      <c r="J71" s="20">
        <f t="shared" si="0"/>
        <v>43688.517599999999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0</v>
      </c>
      <c r="G72" s="139">
        <f>'Input Form'!D22</f>
        <v>0</v>
      </c>
      <c r="H72" s="140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22</v>
      </c>
      <c r="G73" s="139">
        <f>'Input Form'!D23</f>
        <v>0.3</v>
      </c>
      <c r="H73" s="140"/>
      <c r="I73" s="20">
        <f t="shared" si="1"/>
        <v>13998.348672597418</v>
      </c>
      <c r="J73" s="20">
        <f t="shared" si="0"/>
        <v>60071.711699999993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32662.813569393977</v>
      </c>
      <c r="J74" s="20">
        <f>SUM(J69:J73)</f>
        <v>140167.32729999998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-734.91330531136441</v>
      </c>
      <c r="J75" s="20">
        <f>-(J74*$F75*$G75)</f>
        <v>-3153.7648642499994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31927.900264082611</v>
      </c>
      <c r="J76" s="20">
        <f>SUM(J74:J75)</f>
        <v>137013.56243574998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15.053499999999998</v>
      </c>
      <c r="J77" s="22">
        <f>J76/(J65+0.000000001)</f>
        <v>15.053499999998344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957.83700792247828</v>
      </c>
      <c r="J80" s="20">
        <f>$G80*J76</f>
        <v>4110.4068730724994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8.4863636363636377E-2</v>
      </c>
      <c r="H81" s="131"/>
      <c r="I81" s="20">
        <f>G81*I76</f>
        <v>2709.5177178655567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11895.10909405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319.27900264082609</v>
      </c>
      <c r="J82" s="20">
        <f>$G82*J76</f>
        <v>1370.1356243574999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3.0615856098111204E-2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0.63163572716013228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319.27900264082609</v>
      </c>
      <c r="J85" s="20">
        <f>$G85*J76</f>
        <v>1370.1356243574999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319.27900264082609</v>
      </c>
      <c r="J86" s="20">
        <f>$G86*J76</f>
        <v>1370.1356243574999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478.91850396123914</v>
      </c>
      <c r="J87" s="20">
        <f>$G87*J76</f>
        <v>2055.2034365362497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319.27900264082609</v>
      </c>
      <c r="J88" s="20">
        <f>$G88*J76</f>
        <v>1370.1356243574999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6.1231712196222407E-2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319.27900264082609</v>
      </c>
      <c r="J90" s="20">
        <f>$G90*J76</f>
        <v>1370.1356243574999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2554.2320211266087</v>
      </c>
      <c r="J91" s="20">
        <f>$G91*J76</f>
        <v>10961.084994859999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31927.90026408001</v>
      </c>
      <c r="J92" s="20">
        <f>SUM(J80:J91)</f>
        <v>59503.482520306243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2.6011548470705748E-9</v>
      </c>
      <c r="J93" s="24">
        <f>J76-J92</f>
        <v>77510.079915443726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Josh Kingsley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LUV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 t="str">
        <f>AddressLine1</f>
        <v>Zips Car Wash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9491 Baymeadows Rd.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Jacksonville, FL 32256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31927.900264082611</v>
      </c>
      <c r="H138" s="167"/>
      <c r="I138" s="167">
        <f>J76</f>
        <v>137013.56243574998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31927.90026408001</v>
      </c>
      <c r="H139" s="167"/>
      <c r="I139" s="167">
        <f>J92</f>
        <v>59503.482520306243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2.6011548470705748E-9</v>
      </c>
      <c r="H140" s="167"/>
      <c r="I140" s="167">
        <f>J93</f>
        <v>77510.079915443726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2.6011548470705748E-9</v>
      </c>
      <c r="H143" s="167"/>
      <c r="I143" s="167">
        <f>I140-I141-I142</f>
        <v>77510.079915443726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Josh Kingsley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LUV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 t="str">
        <f>AddressLine1</f>
        <v>Zips Car Wash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9491 Baymeadows Rd.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Jacksonville, FL 32256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109221.29399999999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0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0.4</v>
      </c>
      <c r="H170" s="140"/>
      <c r="I170" s="20">
        <f>I$166*F170*G170</f>
        <v>436885.17599999998</v>
      </c>
      <c r="J170" s="30">
        <f t="shared" ref="J170:J176" si="2">IFERROR((I170/I$174),0)</f>
        <v>0.25974025974025972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16</v>
      </c>
      <c r="G171" s="139">
        <f>'Input Form'!$D$21</f>
        <v>0.3</v>
      </c>
      <c r="H171" s="140"/>
      <c r="I171" s="20">
        <f>I$166*F171*G171</f>
        <v>524262.21119999996</v>
      </c>
      <c r="J171" s="30">
        <f t="shared" si="2"/>
        <v>0.31168831168831168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0</v>
      </c>
      <c r="G172" s="139">
        <f>'Input Form'!$D$22</f>
        <v>0</v>
      </c>
      <c r="H172" s="140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22</v>
      </c>
      <c r="G173" s="139">
        <f>'Input Form'!$D$23</f>
        <v>0.3</v>
      </c>
      <c r="H173" s="140"/>
      <c r="I173" s="20">
        <f>I$166*F173*G173</f>
        <v>720860.54039999994</v>
      </c>
      <c r="J173" s="30">
        <f t="shared" si="2"/>
        <v>0.42857142857142855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1682007.9276000001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-37845.178371000002</v>
      </c>
      <c r="J175" s="30">
        <f t="shared" si="2"/>
        <v>-2.2499999999999999E-2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1644162.7492289999</v>
      </c>
      <c r="J176" s="30">
        <f t="shared" si="2"/>
        <v>0.97749999999999992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49324.88247687</v>
      </c>
      <c r="J178" s="30">
        <f>IFERROR((I178/I$176),0)</f>
        <v>3.0000000000000002E-2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139529.62967320651</v>
      </c>
      <c r="J179" s="30">
        <f t="shared" ref="J179:J196" si="3">IFERROR((I179/I$176),0)</f>
        <v>8.4863636363636377E-2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16441.627492290001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7.2985475468454568E-3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0.15057633443896862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16441.627492290001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16441.627492290001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24662.441238435</v>
      </c>
      <c r="J185" s="30">
        <f t="shared" si="3"/>
        <v>1.5000000000000001E-2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16441.627492290001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1.4597095093690914E-2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16441.627492290001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131533.01993832001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710830.11078828154</v>
      </c>
      <c r="J190" s="30">
        <f t="shared" si="3"/>
        <v>0.43233561344314142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933332.63844071841</v>
      </c>
      <c r="J191" s="30">
        <f t="shared" si="3"/>
        <v>0.56766438655685858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933332.63844071841</v>
      </c>
      <c r="J196" s="30">
        <f t="shared" si="3"/>
        <v>0.56766438655685858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Josh Kingsley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LUV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 t="str">
        <f>AddressLine1</f>
        <v>Zips Car Wash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9491 Baymeadows Rd.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Jacksonville, FL 32256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144158.54021739127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0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0.4</v>
      </c>
      <c r="H221" s="140"/>
      <c r="I221" s="20">
        <f>I$217*F221*G221</f>
        <v>576634.16086956509</v>
      </c>
      <c r="J221" s="30">
        <f t="shared" ref="J221:J227" si="4">IFERROR((I221/I$225),0)</f>
        <v>0.25974025974025977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16</v>
      </c>
      <c r="G222" s="139">
        <f>'Input Form'!$D$21</f>
        <v>0.3</v>
      </c>
      <c r="H222" s="140"/>
      <c r="I222" s="20">
        <f>I$217*F222*G222</f>
        <v>691960.99304347811</v>
      </c>
      <c r="J222" s="30">
        <f t="shared" si="4"/>
        <v>0.31168831168831168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0</v>
      </c>
      <c r="G223" s="139">
        <f>'Input Form'!$D$22</f>
        <v>0</v>
      </c>
      <c r="H223" s="140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22</v>
      </c>
      <c r="G224" s="139">
        <f>'Input Form'!$D$23</f>
        <v>0.3</v>
      </c>
      <c r="H224" s="140"/>
      <c r="I224" s="20">
        <f>I$217*F224*G224</f>
        <v>951446.36543478235</v>
      </c>
      <c r="J224" s="30">
        <f t="shared" si="4"/>
        <v>0.42857142857142855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2220041.5193478256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-49950.934185326078</v>
      </c>
      <c r="J226" s="30">
        <f t="shared" si="4"/>
        <v>-2.2500000000000003E-2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2170090.5851624995</v>
      </c>
      <c r="J227" s="30">
        <f t="shared" si="4"/>
        <v>0.97750000000000004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65102.71755487498</v>
      </c>
      <c r="J229" s="30">
        <f>IFERROR((I229/I$227),0)</f>
        <v>0.03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184161.77829538123</v>
      </c>
      <c r="J230" s="30">
        <f t="shared" ref="J230:J247" si="5">IFERROR((I230/I$227),0)</f>
        <v>8.4863636363636377E-2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21700.905851624993</v>
      </c>
      <c r="J231" s="30">
        <f t="shared" si="5"/>
        <v>0.01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5.5297230825511476E-3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0.11408371691611273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21700.905851624993</v>
      </c>
      <c r="J234" s="30">
        <f t="shared" si="5"/>
        <v>0.01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21700.905851624993</v>
      </c>
      <c r="J235" s="30">
        <f t="shared" si="5"/>
        <v>0.01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32551.35877743749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21700.905851624993</v>
      </c>
      <c r="J237" s="30">
        <f t="shared" si="5"/>
        <v>0.01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1.1059446165102295E-2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21700.905851624993</v>
      </c>
      <c r="J239" s="30">
        <f t="shared" si="5"/>
        <v>0.01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173607.24681299995</v>
      </c>
      <c r="J240" s="30">
        <f t="shared" si="5"/>
        <v>0.08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847499.63069881871</v>
      </c>
      <c r="J241" s="30">
        <f t="shared" si="5"/>
        <v>0.39053652252740256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1322590.9544636807</v>
      </c>
      <c r="J242" s="30">
        <f t="shared" si="5"/>
        <v>0.60946347747259744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1322590.9544636807</v>
      </c>
      <c r="J247" s="30">
        <f t="shared" si="5"/>
        <v>0.60946347747259744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Josh Kingsley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LUV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 t="str">
        <f>AddressLine1</f>
        <v>Zips Car Wash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9491 Baymeadows Rd.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Jacksonville, FL 32256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160711.33259999999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0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0.4</v>
      </c>
      <c r="H272" s="140"/>
      <c r="I272" s="20">
        <f t="shared" ref="I272:I275" si="6">I$268*F272*G272</f>
        <v>642845.33039999998</v>
      </c>
      <c r="J272" s="30">
        <f t="shared" ref="J272:J278" si="7">IFERROR((I272/I$276),0)</f>
        <v>0.25974025974025972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16</v>
      </c>
      <c r="G273" s="139">
        <f>'Input Form'!$D$21</f>
        <v>0.3</v>
      </c>
      <c r="H273" s="140"/>
      <c r="I273" s="20">
        <f t="shared" si="6"/>
        <v>771414.39648</v>
      </c>
      <c r="J273" s="30">
        <f t="shared" si="7"/>
        <v>0.31168831168831168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0</v>
      </c>
      <c r="G274" s="139">
        <f>'Input Form'!$D$22</f>
        <v>0</v>
      </c>
      <c r="H274" s="140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22</v>
      </c>
      <c r="G275" s="139">
        <f>'Input Form'!$D$23</f>
        <v>0.3</v>
      </c>
      <c r="H275" s="140"/>
      <c r="I275" s="20">
        <f t="shared" si="6"/>
        <v>1060694.79516</v>
      </c>
      <c r="J275" s="30">
        <f t="shared" si="7"/>
        <v>0.42857142857142855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2474954.5220400002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-55686.476745900007</v>
      </c>
      <c r="J277" s="30">
        <f t="shared" si="7"/>
        <v>-2.2500000000000003E-2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2419268.0452941</v>
      </c>
      <c r="J278" s="30">
        <f t="shared" si="7"/>
        <v>0.97749999999999992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72578.041358823</v>
      </c>
      <c r="J280" s="30">
        <f>IFERROR((I280/I$278),0)</f>
        <v>3.0000000000000002E-2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205307.88366200388</v>
      </c>
      <c r="J281" s="30">
        <f t="shared" ref="J281:J298" si="8">IFERROR((I281/I$278),0)</f>
        <v>8.4863636363636377E-2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24192.680452941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4.9601779444580774E-3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0.1023334311721146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24192.680452941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24192.680452941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36289.0206794115</v>
      </c>
      <c r="J287" s="30">
        <f t="shared" si="8"/>
        <v>1.5000000000000001E-2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24192.680452941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9.9203558889161547E-3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24192.680452941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193541.443623528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912251.79158847127</v>
      </c>
      <c r="J292" s="30">
        <f t="shared" si="8"/>
        <v>0.37707760136912516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1507016.2537056287</v>
      </c>
      <c r="J293" s="30">
        <f t="shared" si="8"/>
        <v>0.62292239863087484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1507016.2537056287</v>
      </c>
      <c r="J298" s="30">
        <f t="shared" si="8"/>
        <v>0.62292239863087484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Josh Kingsley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LUV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 t="str">
        <f>AddressLine1</f>
        <v>Zips Car Wash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9491 Baymeadows Rd.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Jacksonville, FL 32256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164973.62700000001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0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0.4</v>
      </c>
      <c r="H323" s="140"/>
      <c r="I323" s="20">
        <f>I$319*F323*G323</f>
        <v>659894.50800000003</v>
      </c>
      <c r="J323" s="30">
        <f t="shared" ref="J323:J329" si="9">IFERROR((I323/I$327),0)</f>
        <v>0.25974025974025977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16</v>
      </c>
      <c r="G324" s="139">
        <f>'Input Form'!$D$21</f>
        <v>0.3</v>
      </c>
      <c r="H324" s="140"/>
      <c r="I324" s="20">
        <f>I$319*F324*G324</f>
        <v>791873.40960000001</v>
      </c>
      <c r="J324" s="30">
        <f t="shared" si="9"/>
        <v>0.31168831168831168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0</v>
      </c>
      <c r="G325" s="139">
        <f>'Input Form'!$D$22</f>
        <v>0</v>
      </c>
      <c r="H325" s="140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22</v>
      </c>
      <c r="G326" s="139">
        <f>'Input Form'!$D$23</f>
        <v>0.3</v>
      </c>
      <c r="H326" s="140"/>
      <c r="I326" s="20">
        <f>I$319*F326*G326</f>
        <v>1088825.9382</v>
      </c>
      <c r="J326" s="30">
        <f t="shared" si="9"/>
        <v>0.42857142857142855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2540593.8558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-57163.361755499995</v>
      </c>
      <c r="J328" s="30">
        <f t="shared" si="9"/>
        <v>-2.2499999999999999E-2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2483430.4940444999</v>
      </c>
      <c r="J329" s="30">
        <f t="shared" si="9"/>
        <v>0.97749999999999992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74502.914821334998</v>
      </c>
      <c r="J331" s="30">
        <f>IFERROR((I331/I$329),0)</f>
        <v>0.03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210752.94238095827</v>
      </c>
      <c r="J332" s="30">
        <f t="shared" ref="J332:J344" si="10">IFERROR((I332/I$329),0)</f>
        <v>8.4863636363636377E-2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24834.304940444999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4.8320257115216751E-3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9.9689522454403684E-2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24834.304940444999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24834.304940444999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37251.457410667499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24834.304940444999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9.6640514230433502E-3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24834.304940444999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198674.43952355999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928925.27883874578</v>
      </c>
      <c r="J343" s="30">
        <f t="shared" si="10"/>
        <v>0.37404923595260509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1554505.2152057542</v>
      </c>
      <c r="J344" s="30">
        <f t="shared" si="10"/>
        <v>0.62595076404739491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1554505.2152057542</v>
      </c>
      <c r="J349" s="30">
        <f t="shared" si="11"/>
        <v>0.62595076404739491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Josh Kingsley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LUV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 t="str">
        <f>AddressLine1</f>
        <v>Zips Car Wash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9491 Baymeadows Rd.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Jacksonville, FL 32256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177997.86071052632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0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0.4</v>
      </c>
      <c r="H374" s="140"/>
      <c r="I374" s="20">
        <f t="shared" ref="I374:I377" si="12">I$370*F374*G374</f>
        <v>711991.4428421054</v>
      </c>
      <c r="J374" s="30">
        <f t="shared" ref="J374:J380" si="13">IFERROR((I374/I$378),0)</f>
        <v>0.25974025974025977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16</v>
      </c>
      <c r="G375" s="139">
        <f>'Input Form'!$D$21</f>
        <v>0.3</v>
      </c>
      <c r="H375" s="140"/>
      <c r="I375" s="20">
        <f t="shared" si="12"/>
        <v>854389.73141052632</v>
      </c>
      <c r="J375" s="30">
        <f t="shared" si="13"/>
        <v>0.31168831168831168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0</v>
      </c>
      <c r="G376" s="139">
        <f>'Input Form'!$D$22</f>
        <v>0</v>
      </c>
      <c r="H376" s="140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22</v>
      </c>
      <c r="G377" s="139">
        <f>'Input Form'!$D$23</f>
        <v>0.3</v>
      </c>
      <c r="H377" s="140"/>
      <c r="I377" s="20">
        <f t="shared" si="12"/>
        <v>1174785.8806894738</v>
      </c>
      <c r="J377" s="30">
        <f t="shared" si="13"/>
        <v>0.4285714285714286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2741167.0549421054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-61676.258736197371</v>
      </c>
      <c r="J379" s="30">
        <f t="shared" si="13"/>
        <v>-2.2499999999999999E-2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2679490.7962059081</v>
      </c>
      <c r="J380" s="30">
        <f t="shared" si="13"/>
        <v>0.97750000000000004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80384.723886177235</v>
      </c>
      <c r="J382" s="30">
        <f>IFERROR((I382/I$380),0)</f>
        <v>0.03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227391.33256892869</v>
      </c>
      <c r="J383" s="30">
        <f t="shared" ref="J383:J395" si="14">IFERROR((I383/I$380),0)</f>
        <v>8.4863636363636377E-2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26794.907962059082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4.4784628545810647E-3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9.2395167152861946E-2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26794.907962059082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26794.907962059082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40192.361943088617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26794.907962059082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8.9569257091621293E-3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26794.907962059082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214359.26369647266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979874.22190496267</v>
      </c>
      <c r="J394" s="30">
        <f t="shared" si="14"/>
        <v>0.36569419208024151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1699616.5743009453</v>
      </c>
      <c r="J395" s="30">
        <f t="shared" si="14"/>
        <v>0.63430580791975844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1699616.5743009453</v>
      </c>
      <c r="J400" s="30">
        <f t="shared" si="15"/>
        <v>0.63430580791975844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Josh Kingsley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LUV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 t="str">
        <f>AddressLine1</f>
        <v>Zips Car Wash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9491 Baymeadows Rd.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Jacksonville, FL 32256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JIsjuL4r3EE+7LL8TnhtZeCbA/fIL2hSyeaD448J6fIyvbv5RXo55WBuKZrVnJglb3njwH6pPGCjWeWqcPDvTA==" saltValue="khXcvUb3wQoy6m6eE4ehj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2022-01-17T17:41:10Z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