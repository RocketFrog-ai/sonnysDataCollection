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orth Carolina\Jim Watters\4011 N Croatan Hwy., Kitty Hawk\"/>
    </mc:Choice>
  </mc:AlternateContent>
  <xr:revisionPtr revIDLastSave="0" documentId="8_{3119A7B9-8753-4225-9C72-64559327F6B0}" xr6:coauthVersionLast="45" xr6:coauthVersionMax="45" xr10:uidLastSave="{00000000-0000-0000-0000-000000000000}"/>
  <workbookProtection workbookPassword="FB8D" lockStructure="1"/>
  <bookViews>
    <workbookView xWindow="59970" yWindow="196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<sst xmlns="http://schemas.openxmlformats.org/spreadsheetml/2006/main" count="435" uniqueCount="203">
  <si>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</si>
  <si>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</si>
  <si>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</si>
  <si>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</si>
  <si>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</si>
  <si>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</si>
  <si>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</si>
  <si>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</si>
  <si>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</si>
  <si>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</si>
  <si>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</si>
  <si>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</si>
  <si>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</si>
  <si>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</si>
  <si>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</si>
  <si>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</si>
  <si>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</si>
  <si>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</si>
  <si>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</si>
  <si>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</si>
  <si>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</si>
  <si>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</si>
  <si>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</si>
  <si>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</si>
  <si>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</si>
  <si>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</si>
  <si>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</si>
  <si>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</si>
  <si>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</si>
  <si>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</si>
  <si>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</si>
  <si>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</si>
  <si>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</si>
  <si>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</si>
  <si>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</si>
  <si>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</si>
  <si>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</si>
  <si>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</si>
  <si>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</si>
  <si>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</si>
  <si>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</si>
  <si>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</si>
  <si>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</si>
  <si>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</si>
  <si>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</si>
  <si>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</si>
  <si>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</si>
  <si>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</si>
  <si>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</si>
  <si>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</si>
  <si>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</si>
  <si>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</si>
  <si>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</si>
  <si>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</si>
  <si>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</si>
  <si>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</si>
  <si>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</si>
  <si>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</si>
  <si>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</si>
  <si>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</si>
  <si>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</si>
  <si>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</si>
  <si>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</si>
  <si>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</si>
  <si>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</si>
  <si>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</si>
  <si>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</si>
  <si>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</si>
  <si>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</si>
  <si>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</si>
  <si>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</si>
  <si>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</si>
  <si>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</si>
  <si>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</si>
  <si>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</si>
  <si>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</si>
  <si>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</si>
  <si>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</si>
  <si>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</si>
  <si>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</si>
  <si>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</si>
  <si>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</si>
  <si>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</si>
  <si>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</si>
  <si>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</si>
  <si>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</si>
  <si>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</si>
  <si>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</si>
  <si>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</si>
  <si>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</si>
  <si>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</si>
  <si>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</si>
  <si>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</si>
  <si>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</si>
  <si>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</si>
  <si>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</si>
  <si>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</si>
  <si>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</si>
  <si>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</si>
  <si>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</si>
  <si>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</si>
  <si>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</si>
  <si>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</si>
  <si>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</si>
  <si>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</si>
  <si>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</si>
  <si>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</si>
  <si>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</si>
  <si>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</si>
  <si>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</si>
  <si>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</si>
  <si>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</si>
  <si>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</si>
  <si>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</si>
  <si>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</si>
  <si>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</si>
  <si>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</si>
  <si>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</si>
  <si>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</si>
  <si>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</si>
  <si>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</si>
  <si>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</si>
  <si>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</si>
  <si>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</si>
  <si>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</si>
  <si>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</si>
  <si>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</si>
  <si>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</si>
  <si>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</si>
  <si>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</si>
  <si>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</si>
  <si>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</si>
  <si>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</si>
  <si>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</si>
  <si>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</si>
  <si>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</si>
  <si>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</si>
  <si>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</si>
  <si>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</si>
  <si>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</si>
  <si>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</si>
  <si>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</si>
  <si>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</si>
  <si>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</si>
  <si>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</si>
  <si>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</si>
  <si>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</si>
  <si>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</si>
  <si>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</si>
  <si>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</si>
  <si>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</si>
  <si>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</si>
  <si>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</si>
  <si>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</si>
  <si>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</si>
  <si>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</si>
  <si>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</si>
  <si>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</si>
  <si>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</si>
  <si>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</si>
  <si>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</si>
  <si>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</si>
  <si>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</si>
  <si>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</si>
  <si>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</si>
  <si>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</si>
  <si>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</si>
  <si>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</si>
  <si>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</si>
  <si>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</si>
  <si>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</si>
  <si>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</si>
  <si>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</si>
  <si>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</si>
  <si>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</si>
  <si>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</si>
  <si>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</si>
  <si>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</si>
  <si>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</si>
  <si>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</si>
  <si>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</si>
  <si>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</si>
  <si>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</si>
  <si>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</si>
  <si>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</si>
  <si>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</si>
  <si>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</si>
  <si>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</si>
  <si>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</si>
  <si>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</si>
  <si>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</si>
  <si>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</si>
  <si>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</si>
  <si>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</si>
  <si>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</si>
  <si>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</si>
  <si>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</si>
  <si>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Jim Watters</t>
  </si>
  <si>
    <t>Watters Express Wash</t>
  </si>
  <si>
    <t>OBXpress Car Wash</t>
  </si>
  <si>
    <t>4011 N Croatan Hwy.</t>
  </si>
  <si>
    <t>Kitty Hawk, NC 27949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</si>
  <si>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 </t>
    </r>
    <r>
      <rPr>
        <b/>
        <sz val="10"/>
        <rFont val="Calibri"/>
        <family val="2"/>
        <scheme val="minor"/>
      </rPr>
      <t>The 5 mile vehicle market was used in place of the traffic count to account for non-local traffic.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</si>
</sst>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6" zoomScaleNormal="100" workbookViewId="0">
      <selection activeCell="B70" sqref="B7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197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198</v>
      </c>
      <c r="C3" s="87"/>
      <c r="D3" s="88"/>
      <c r="E3" s="34"/>
      <c r="F3" s="34"/>
    </row>
    <row r="4" spans="1:9" ht="15.75" x14ac:dyDescent="0.25">
      <c r="A4" s="35" t="s">
        <v>13</v>
      </c>
      <c r="B4" s="86" t="s">
        <v>199</v>
      </c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201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/>
      <c r="D45" s="50"/>
      <c r="E45" s="50">
        <v>1</v>
      </c>
      <c r="F45" s="51">
        <f>IF(B45=1,0.15,IF(C45=1,0.125,IF(D45=1,0.075,IF(E45=1,0.05,0))))</f>
        <v>0.05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/>
      <c r="D49" s="54">
        <v>1</v>
      </c>
      <c r="E49" s="54"/>
      <c r="F49" s="51">
        <f>IF(B49=1,0.15,IF(C49=1,0.1,IF(D49=1,0.05,IF(E49=1,0,0))))</f>
        <v>0.05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>
        <v>1</v>
      </c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/>
      <c r="E53" s="50">
        <v>1</v>
      </c>
      <c r="F53" s="51">
        <f>IF(B53=1,0.15,IF(C53=1,0.1,IF(D53=1,0.05,IF(E53=1,0,0))))</f>
        <v>0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0.90000000000000013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2.4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0.52600000000000002</v>
      </c>
      <c r="F58" s="61">
        <f>-0.3*(0.55-E58)</f>
        <v>-7.2000000000000059E-3</v>
      </c>
    </row>
    <row r="59" spans="1:8" ht="15.75" x14ac:dyDescent="0.25">
      <c r="A59" s="83" t="s">
        <v>3</v>
      </c>
      <c r="B59" s="84"/>
      <c r="C59" s="84"/>
      <c r="D59" s="85"/>
      <c r="E59" s="45">
        <v>0.78600000000000003</v>
      </c>
      <c r="F59" s="61">
        <f>-0.75*(0.5-E59)</f>
        <v>0.21450000000000002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5.1825000000000003E-2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7.795879411764706E-3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1.028959239130435E-2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1.2455822368421054E-2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13981</v>
      </c>
      <c r="B70" s="66"/>
      <c r="C70" s="66"/>
      <c r="D70" s="66"/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32698.257016764706</v>
      </c>
      <c r="C74" s="68">
        <f>F65*A70*300</f>
        <v>43157.637366847834</v>
      </c>
      <c r="D74" s="68">
        <f>($F$54*(1+$F$61))/85*($A$70*(1+B$70))*300</f>
        <v>46711.795738235305</v>
      </c>
      <c r="E74" s="68">
        <f>($F$54*(1+$F$61))/82*($A$70*(1+C$70))*300</f>
        <v>48420.763875000011</v>
      </c>
      <c r="F74" s="68">
        <f>F66*(A70*(1+D70)*300)</f>
        <v>52243.455759868426</v>
      </c>
    </row>
    <row r="75" spans="1:6" ht="15.75" x14ac:dyDescent="0.25">
      <c r="A75" s="35" t="s">
        <v>106</v>
      </c>
      <c r="B75" s="68">
        <f>B74/12</f>
        <v>2724.8547513970589</v>
      </c>
      <c r="C75" s="68">
        <f>C74/12</f>
        <v>3596.4697805706528</v>
      </c>
      <c r="D75" s="68">
        <f t="shared" ref="D75:F75" si="0">D74/12</f>
        <v>3892.6496448529419</v>
      </c>
      <c r="E75" s="68">
        <f t="shared" si="0"/>
        <v>4035.0636562500008</v>
      </c>
      <c r="F75" s="68">
        <f t="shared" si="0"/>
        <v>4353.6213133223691</v>
      </c>
    </row>
    <row r="76" spans="1:6" ht="15.75" x14ac:dyDescent="0.25">
      <c r="A76" s="35" t="s">
        <v>107</v>
      </c>
      <c r="B76" s="68">
        <f>B75/4.5/7*3</f>
        <v>259.50997632352943</v>
      </c>
      <c r="C76" s="68">
        <f t="shared" ref="C76:F76" si="1">C75/4.5/7*3</f>
        <v>342.52093148291931</v>
      </c>
      <c r="D76" s="68">
        <f t="shared" si="1"/>
        <v>370.72853760504211</v>
      </c>
      <c r="E76" s="68">
        <f t="shared" si="1"/>
        <v>384.29177678571432</v>
      </c>
      <c r="F76" s="68">
        <f t="shared" si="1"/>
        <v>414.63060126879708</v>
      </c>
    </row>
    <row r="77" spans="1:6" ht="15.75" x14ac:dyDescent="0.25">
      <c r="A77" s="35" t="s">
        <v>108</v>
      </c>
      <c r="B77" s="68">
        <f>IFERROR((B76/$B9*1.3),0)</f>
        <v>28.113580768382356</v>
      </c>
      <c r="C77" s="68">
        <f t="shared" ref="C77:F77" si="2">IFERROR((C76/$B9*1.3),0)</f>
        <v>37.106434243982925</v>
      </c>
      <c r="D77" s="68">
        <f t="shared" si="2"/>
        <v>40.16225824054623</v>
      </c>
      <c r="E77" s="68">
        <f t="shared" si="2"/>
        <v>41.631609151785725</v>
      </c>
      <c r="F77" s="68">
        <f t="shared" si="2"/>
        <v>44.918315137453021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34" zoomScale="130" zoomScaleNormal="100" zoomScalePageLayoutView="130" workbookViewId="0">
      <selection activeCell="O35" sqref="O3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Jim Watters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Watters Express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OBXpress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4011 N Croatan Hwy.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Kitty Hawk, NC 27949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202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Jim Watters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Watters Express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 t="str">
        <f>AddressLine1</f>
        <v>OBXpress Car Wash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4011 N Croatan Hwy.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Kitty Hawk, NC 27949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2004.4810861708413</v>
      </c>
      <c r="J65" s="18">
        <f>'Input Form'!B75</f>
        <v>2724.8547513970589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4510.0824438843929</v>
      </c>
      <c r="J69" s="20">
        <f>J$65*F69*G69</f>
        <v>6130.9231906433824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3006.7216292562621</v>
      </c>
      <c r="J70" s="20">
        <f t="shared" ref="J70:J73" si="0">J$65*F70*G70</f>
        <v>4087.2821270955883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4510.0824438843929</v>
      </c>
      <c r="J71" s="20">
        <f t="shared" si="0"/>
        <v>6130.9231906433824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8017.9243446833652</v>
      </c>
      <c r="J72" s="20">
        <f t="shared" si="0"/>
        <v>10899.419005588235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2505.6013577135518</v>
      </c>
      <c r="J73" s="20">
        <f t="shared" si="0"/>
        <v>3406.0684392463236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22550.412219421964</v>
      </c>
      <c r="J74" s="20">
        <f>SUM(J69:J73)</f>
        <v>30654.615953216911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-405.90741994959529</v>
      </c>
      <c r="J75" s="20">
        <f>-(J74*$F75*$G75)</f>
        <v>-551.78308715790433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22144.504799472368</v>
      </c>
      <c r="J76" s="20">
        <f>SUM(J74:J75)</f>
        <v>30102.832866059009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11.047499999999999</v>
      </c>
      <c r="J77" s="22">
        <f>J76/(J65+0.000000001)</f>
        <v>11.047499999995946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664.33514398417105</v>
      </c>
      <c r="J80" s="20">
        <f>$G80*J76</f>
        <v>903.08498598177027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6.2416000000000006E-2</v>
      </c>
      <c r="H81" s="131"/>
      <c r="I81" s="20">
        <f>G81*I76</f>
        <v>1382.1714115638674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1913.3385093359868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221.44504799472369</v>
      </c>
      <c r="J82" s="20">
        <f>$G82*J76</f>
        <v>301.02832866059009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4.4345087365575131E-2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0.60600222590300357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221.44504799472369</v>
      </c>
      <c r="J85" s="20">
        <f>$G85*J76</f>
        <v>301.02832866059009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221.44504799472369</v>
      </c>
      <c r="J86" s="20">
        <f>$G86*J76</f>
        <v>301.02832866059009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332.16757199208553</v>
      </c>
      <c r="J87" s="20">
        <f>$G87*J76</f>
        <v>451.54249299088514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221.44504799472369</v>
      </c>
      <c r="J88" s="20">
        <f>$G88*J76</f>
        <v>301.02832866059009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8.8690174731150262E-2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221.44504799472369</v>
      </c>
      <c r="J90" s="20">
        <f>$G90*J76</f>
        <v>301.02832866059009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1993.0054319525132</v>
      </c>
      <c r="J91" s="20">
        <f>$G91*J76</f>
        <v>2709.2549579453107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22144.504799466253</v>
      </c>
      <c r="J92" s="20">
        <f>SUM(J80:J91)</f>
        <v>24147.962589556912</v>
      </c>
      <c r="K92" s="10"/>
    </row>
    <row r="93" spans="1:12" x14ac:dyDescent="0.2">
      <c r="A93" s="10"/>
      <c r="B93" s="119" t="s">
        <v>196</v>
      </c>
      <c r="C93" s="119"/>
      <c r="D93" s="119"/>
      <c r="E93" s="119"/>
      <c r="F93" s="119"/>
      <c r="G93" s="119"/>
      <c r="H93" s="119"/>
      <c r="I93" s="24">
        <f>I76-I92</f>
        <v>6.1154423747211695E-9</v>
      </c>
      <c r="J93" s="24">
        <f>J76-J92</f>
        <v>5954.8702765020971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Jim Watters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Watters Express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 t="str">
        <f>AddressLine1</f>
        <v>OBXpress Car Wash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4011 N Croatan Hwy.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Kitty Hawk, NC 27949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22144.504799472368</v>
      </c>
      <c r="H138" s="169"/>
      <c r="I138" s="169">
        <f>J76</f>
        <v>30102.832866059009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22144.504799466253</v>
      </c>
      <c r="H139" s="169"/>
      <c r="I139" s="169">
        <f>J92</f>
        <v>24147.962589556912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6.1154423747211695E-9</v>
      </c>
      <c r="H140" s="169"/>
      <c r="I140" s="169">
        <f>J93</f>
        <v>5954.8702765020971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6.1154423747211695E-9</v>
      </c>
      <c r="H143" s="169"/>
      <c r="I143" s="169">
        <f>I140-I141-I142</f>
        <v>5954.8702765020971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Jim Watters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Watters Express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 t="str">
        <f>AddressLine1</f>
        <v>OBXpress Car Wash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4011 N Croatan Hwy.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Kitty Hawk, NC 27949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32698.257016764706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73571.078287720593</v>
      </c>
      <c r="J169" s="30">
        <f>IFERROR((I169/I$174),0)</f>
        <v>0.2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49047.38552514706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73571.078287720578</v>
      </c>
      <c r="J171" s="30">
        <f t="shared" si="2"/>
        <v>0.19999999999999998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130793.02806705884</v>
      </c>
      <c r="J172" s="30">
        <f t="shared" si="2"/>
        <v>0.35555555555555562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40872.821270955887</v>
      </c>
      <c r="J173" s="30">
        <f t="shared" si="2"/>
        <v>0.11111111111111112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367855.39143860294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-6621.3970458948525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361233.99439270806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10837.019831781241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22546.780994015269</v>
      </c>
      <c r="J179" s="30">
        <f t="shared" ref="J179:J196" si="3">IFERROR((I179/I$176),0)</f>
        <v>6.2416000000000006E-2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3612.3399439270806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3.3219464907155022E-2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0.45396391963521771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3612.3399439270806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3612.3399439270806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5418.5099158906205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3612.3399439270806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6.6438929814310044E-2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3612.3399439270806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32511.059495343725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289362.26995666622</v>
      </c>
      <c r="J190" s="30">
        <f t="shared" si="3"/>
        <v>0.80103831435668271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71871.724436041841</v>
      </c>
      <c r="J191" s="30">
        <f t="shared" si="3"/>
        <v>0.19896168564331734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71871.724436041841</v>
      </c>
      <c r="J196" s="30">
        <f t="shared" si="3"/>
        <v>0.19896168564331734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Jim Watters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Watters Express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 t="str">
        <f>AddressLine1</f>
        <v>OBXpress Car Wash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4011 N Croatan Hwy.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Kitty Hawk, NC 27949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43157.637366847834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97104.684075407626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64736.45605027175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97104.684075407626</v>
      </c>
      <c r="J222" s="30">
        <f t="shared" si="4"/>
        <v>0.2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172630.54946739133</v>
      </c>
      <c r="J223" s="30">
        <f t="shared" si="4"/>
        <v>0.35555555555555557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53947.046708559792</v>
      </c>
      <c r="J224" s="30">
        <f t="shared" si="4"/>
        <v>0.1111111111111111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485523.42037703813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-8739.4215667866865</v>
      </c>
      <c r="J226" s="30">
        <f t="shared" si="4"/>
        <v>-1.8000000000000002E-2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476783.99881025142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14303.519964307541</v>
      </c>
      <c r="J229" s="30">
        <f>IFERROR((I229/I$227),0)</f>
        <v>2.9999999999999995E-2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29758.950069740655</v>
      </c>
      <c r="J230" s="30">
        <f t="shared" ref="J230:J247" si="5">IFERROR((I230/I$227),0)</f>
        <v>6.2416000000000006E-2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4767.8399881025143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2.5168629882597448E-2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0.34394442852362372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4767.8399881025143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4767.8399881025143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7151.7599821537706</v>
      </c>
      <c r="J236" s="30">
        <f t="shared" si="5"/>
        <v>1.4999999999999998E-2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4767.8399881025143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5.0337259765194896E-2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4767.8399881025143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42910.559892922625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317951.18984963716</v>
      </c>
      <c r="J241" s="30">
        <f t="shared" si="5"/>
        <v>0.66686631817141606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158832.80896061426</v>
      </c>
      <c r="J242" s="30">
        <f t="shared" si="5"/>
        <v>0.33313368182858399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158832.80896061426</v>
      </c>
      <c r="J247" s="30">
        <f t="shared" si="5"/>
        <v>0.33313368182858399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Jim Watters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Watters Express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 t="str">
        <f>AddressLine1</f>
        <v>OBXpress Car Wash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4011 N Croatan Hwy.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Kitty Hawk, NC 27949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46711.795738235305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105101.54041102943</v>
      </c>
      <c r="J271" s="30">
        <f>IFERROR((I271/I$276),0)</f>
        <v>0.2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70067.69360735295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105101.54041102943</v>
      </c>
      <c r="J273" s="30">
        <f t="shared" si="7"/>
        <v>0.2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186847.18295294122</v>
      </c>
      <c r="J274" s="30">
        <f t="shared" si="7"/>
        <v>0.35555555555555557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58389.744672794128</v>
      </c>
      <c r="J275" s="30">
        <f t="shared" si="7"/>
        <v>0.1111111111111111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525507.70205514715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-9459.1386369926477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516048.56341815449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15481.456902544634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32209.687134307533</v>
      </c>
      <c r="J281" s="30">
        <f t="shared" ref="J281:J298" si="8">IFERROR((I281/I$278),0)</f>
        <v>6.2416000000000006E-2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5160.4856341815448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2.3253625435008512E-2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0.31777474374465231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5160.4856341815448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5160.4856341815448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7740.7284512723172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5160.4856341815448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4.6507250870017024E-2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5160.4856341815448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46444.370707633905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327665.87136666605</v>
      </c>
      <c r="J292" s="30">
        <f t="shared" si="8"/>
        <v>0.63495162004967776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188382.69205148844</v>
      </c>
      <c r="J293" s="30">
        <f t="shared" si="8"/>
        <v>0.3650483799503223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188382.69205148844</v>
      </c>
      <c r="J298" s="30">
        <f t="shared" si="8"/>
        <v>0.3650483799503223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Jim Watters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Watters Express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 t="str">
        <f>AddressLine1</f>
        <v>OBXpress Car Wash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4011 N Croatan Hwy.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Kitty Hawk, NC 27949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48420.763875000011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108946.71871875002</v>
      </c>
      <c r="J322" s="30">
        <f>IFERROR((I322/I$327),0)</f>
        <v>0.20000000000000004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72631.145812500006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108946.71871875001</v>
      </c>
      <c r="J324" s="30">
        <f t="shared" si="9"/>
        <v>0.2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193683.05550000005</v>
      </c>
      <c r="J325" s="30">
        <f t="shared" si="9"/>
        <v>0.35555555555555562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60525.95484375002</v>
      </c>
      <c r="J326" s="30">
        <f t="shared" si="9"/>
        <v>0.11111111111111115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544733.59359375003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-9805.2046846875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534928.38890906249</v>
      </c>
      <c r="J329" s="30">
        <f t="shared" si="9"/>
        <v>0.98199999999999987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16047.851667271874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33388.090322148048</v>
      </c>
      <c r="J332" s="30">
        <f t="shared" ref="J332:J344" si="10">IFERROR((I332/I$329),0)</f>
        <v>6.2416000000000006E-2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5349.2838890906251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2.2432909243184685E-2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0.30655916455366466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5349.2838890906251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5349.2838890906251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8023.9258336359371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5349.2838890906251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4.486581848636937E-2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5349.2838890906251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48143.555001815621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332337.0422703246</v>
      </c>
      <c r="J343" s="30">
        <f t="shared" si="10"/>
        <v>0.62127389228321872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202591.34663873789</v>
      </c>
      <c r="J344" s="30">
        <f t="shared" si="10"/>
        <v>0.37872610771678134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202591.34663873789</v>
      </c>
      <c r="J349" s="30">
        <f t="shared" si="11"/>
        <v>0.37872610771678134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Jim Watters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Watters Express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 t="str">
        <f>AddressLine1</f>
        <v>OBXpress Car Wash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4011 N Croatan Hwy.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Kitty Hawk, NC 27949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52243.455759868426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117547.77545970396</v>
      </c>
      <c r="J373" s="30">
        <f>IFERROR((I373/I$378),0)</f>
        <v>0.19999999999999998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78365.183639802635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117547.77545970396</v>
      </c>
      <c r="J375" s="30">
        <f t="shared" si="13"/>
        <v>0.19999999999999998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208973.82303947373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65304.319699835534</v>
      </c>
      <c r="J377" s="30">
        <f t="shared" si="13"/>
        <v>0.1111111111111111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587738.87729851983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-10579.299791373356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577159.57750714652</v>
      </c>
      <c r="J380" s="30">
        <f t="shared" si="13"/>
        <v>0.9820000000000001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17314.787325214395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36023.992189686061</v>
      </c>
      <c r="J383" s="30">
        <f t="shared" ref="J383:J395" si="14">IFERROR((I383/I$380),0)</f>
        <v>6.2416000000000006E-2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5771.5957750714651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2.0791476859537021E-2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0.2841280061716891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5771.5957750714651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5771.5957750714651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8657.3936626071973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5771.5957750714651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4.1582953719074042E-2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5771.5957750714651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51944.361975643187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342785.71402850823</v>
      </c>
      <c r="J394" s="30">
        <f t="shared" si="14"/>
        <v>0.59391843675030032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234373.86347863829</v>
      </c>
      <c r="J395" s="30">
        <f t="shared" si="14"/>
        <v>0.40608156324969974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234373.86347863829</v>
      </c>
      <c r="J400" s="30">
        <f t="shared" si="15"/>
        <v>0.40608156324969974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Jim Watters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Watters Express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 t="str">
        <f>AddressLine1</f>
        <v>OBXpress Car Wash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4011 N Croatan Hwy.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Kitty Hawk, NC 27949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adY1X/bQm4E9di5NavLirADAFuM+mIDWKvB0OpndO9q2ZgUn2Rk6rUkDbxB4QDZ3KAE2vbrPeYnOgqazfEm5mg==" saltValue="iJQ5ajep7DFzM3BSAqHJT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2020-03-06T15:27:05Z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