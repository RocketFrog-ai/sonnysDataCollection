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Texas\Matt Linker\24624 Kuykendahl Rd Tomball, TX 77375\"/>
    </mc:Choice>
  </mc:AlternateContent>
  <xr:revisionPtr revIDLastSave="0" documentId="8_{8EC2070D-79E1-4520-9D1C-420EE8FE652C}" xr6:coauthVersionLast="45" xr6:coauthVersionMax="45" xr10:uidLastSave="{00000000-0000-0000-0000-000000000000}"/>
  <workbookProtection workbookPassword="FB8D" lockStructure="1"/>
  <bookViews>
    <workbookView xWindow="61575" yWindow="244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<sst xmlns="http://schemas.openxmlformats.org/spreadsheetml/2006/main" count="435" uniqueCount="203">
  <si>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</si>
  <si>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</si>
  <si>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</si>
  <si>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</si>
  <si>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</si>
  <si>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</si>
  <si>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</si>
  <si>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</si>
  <si>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</si>
  <si>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</si>
  <si>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</si>
  <si>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</si>
  <si>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</si>
  <si>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</si>
  <si>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</si>
  <si>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</si>
  <si>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</si>
  <si>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</si>
  <si>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</si>
  <si>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</si>
  <si>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</si>
  <si>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</si>
  <si>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</si>
  <si>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</si>
  <si>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</si>
  <si>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</si>
  <si>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</si>
  <si>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</si>
  <si>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</si>
  <si>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</si>
  <si>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</si>
  <si>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</si>
  <si>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</si>
  <si>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</si>
  <si>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</si>
  <si>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</si>
  <si>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</si>
  <si>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</si>
  <si>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</si>
  <si>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</si>
  <si>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</si>
  <si>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</si>
  <si>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</si>
  <si>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</si>
  <si>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</si>
  <si>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</si>
  <si>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</si>
  <si>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</si>
  <si>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</si>
  <si>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</si>
  <si>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</si>
  <si>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</si>
  <si>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</si>
  <si>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</si>
  <si>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</si>
  <si>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</si>
  <si>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</si>
  <si>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</si>
  <si>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</si>
  <si>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</si>
  <si>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</si>
  <si>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</si>
  <si>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</si>
  <si>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</si>
  <si>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</si>
  <si>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</si>
  <si>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</si>
  <si>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</si>
  <si>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</si>
  <si>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</si>
  <si>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</si>
  <si>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</si>
  <si>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</si>
  <si>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</si>
  <si>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</si>
  <si>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</si>
  <si>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</si>
  <si>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</si>
  <si>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</si>
  <si>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</si>
  <si>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</si>
  <si>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</si>
  <si>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</si>
  <si>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</si>
  <si>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</si>
  <si>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</si>
  <si>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</si>
  <si>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</si>
  <si>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</si>
  <si>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</si>
  <si>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</si>
  <si>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</si>
  <si>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</si>
  <si>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</si>
  <si>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</si>
  <si>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</si>
  <si>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</si>
  <si>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</si>
  <si>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</si>
  <si>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</si>
  <si>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</si>
  <si>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</si>
  <si>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</si>
  <si>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</si>
  <si>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</si>
  <si>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</si>
  <si>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</si>
  <si>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</si>
  <si>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</si>
  <si>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</si>
  <si>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</si>
  <si>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</si>
  <si>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</si>
  <si>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</si>
  <si>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</si>
  <si>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</si>
  <si>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</si>
  <si>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</si>
  <si>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</si>
  <si>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</si>
  <si>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</si>
  <si>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</si>
  <si>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</si>
  <si>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</si>
  <si>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</si>
  <si>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</si>
  <si>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</si>
  <si>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</si>
  <si>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</si>
  <si>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</si>
  <si>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</si>
  <si>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</si>
  <si>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</si>
  <si>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</si>
  <si>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</si>
  <si>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</si>
  <si>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</si>
  <si>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</si>
  <si>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</si>
  <si>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</si>
  <si>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</si>
  <si>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</si>
  <si>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</si>
  <si>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</si>
  <si>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</si>
  <si>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</si>
  <si>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</si>
  <si>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</si>
  <si>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</si>
  <si>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</si>
  <si>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</si>
  <si>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</si>
  <si>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</si>
  <si>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</si>
  <si>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</si>
  <si>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</si>
  <si>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</si>
  <si>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</si>
  <si>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</si>
  <si>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</si>
  <si>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</si>
  <si>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</si>
  <si>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</si>
  <si>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</si>
  <si>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</si>
  <si>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</si>
  <si>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</si>
  <si>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</si>
  <si>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</si>
  <si>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</si>
  <si>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</si>
  <si>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</si>
  <si>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</si>
  <si>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</si>
  <si>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</si>
  <si>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</si>
  <si>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</si>
  <si>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</si>
  <si>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</si>
  <si>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</si>
  <si>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</si>
  <si>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</si>
  <si>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</si>
  <si>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</si>
  <si>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</si>
  <si>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</si>
  <si>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</si>
  <si>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</si>
  <si>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</si>
  <si>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</si>
  <si>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</si>
  <si>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</si>
  <si>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</si>
  <si>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</si>
  <si>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</si>
  <si>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</si>
  <si>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</si>
  <si>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</si>
  <si>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Matt Linker</t>
  </si>
  <si>
    <t>Express Car Wash</t>
  </si>
  <si>
    <t>Cadillac Express Car Wash</t>
  </si>
  <si>
    <t>24624 Kuykendahl Rd.</t>
  </si>
  <si>
    <t>Tomball, TX 77375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</si>
</sst>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58" zoomScaleNormal="100" workbookViewId="0">
      <selection activeCell="H37" sqref="H37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198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199</v>
      </c>
      <c r="C3" s="101"/>
      <c r="D3" s="102"/>
      <c r="E3" s="34"/>
      <c r="F3" s="34"/>
    </row>
    <row r="4" spans="1:9" ht="15.75" x14ac:dyDescent="0.25">
      <c r="A4" s="35" t="s">
        <v>13</v>
      </c>
      <c r="B4" s="100" t="s">
        <v>200</v>
      </c>
      <c r="C4" s="101"/>
      <c r="D4" s="102"/>
      <c r="E4" s="34"/>
      <c r="F4" s="34"/>
    </row>
    <row r="5" spans="1:9" ht="15.75" x14ac:dyDescent="0.25">
      <c r="A5" s="35" t="s">
        <v>14</v>
      </c>
      <c r="B5" s="100" t="s">
        <v>201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202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0.1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>
        <v>1</v>
      </c>
      <c r="C49" s="54"/>
      <c r="D49" s="54"/>
      <c r="E49" s="54"/>
      <c r="F49" s="51">
        <f>IF(B49=1,0.15,IF(C49=1,0.1,IF(D49=1,0.05,IF(E49=1,0,0))))</f>
        <v>0.15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1.1499999999999999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3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0.503</v>
      </c>
      <c r="F58" s="61">
        <f>-0.3*(0.55-E58)</f>
        <v>-1.4100000000000012E-2</v>
      </c>
    </row>
    <row r="59" spans="1:8" ht="15.75" x14ac:dyDescent="0.25">
      <c r="A59" s="96" t="s">
        <v>3</v>
      </c>
      <c r="B59" s="97"/>
      <c r="C59" s="97"/>
      <c r="D59" s="98"/>
      <c r="E59" s="45">
        <v>0.89800000000000002</v>
      </c>
      <c r="F59" s="61">
        <f>-0.75*(0.5-E59)</f>
        <v>0.29849999999999999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7.1099999999999997E-2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1.0143947058823528E-2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1.3388749999999998E-2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1.6207434210526311E-2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26100</v>
      </c>
      <c r="B70" s="66">
        <v>0.11</v>
      </c>
      <c r="C70" s="66">
        <v>0.11</v>
      </c>
      <c r="D70" s="66">
        <v>0.11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79427.105470588227</v>
      </c>
      <c r="C74" s="68">
        <f>F65*A70*300</f>
        <v>104833.91249999998</v>
      </c>
      <c r="D74" s="68">
        <f>($F$54*(1+$F$61))/85*($A$70*(1+B$70))*300</f>
        <v>125948.69581764705</v>
      </c>
      <c r="E74" s="68">
        <f>($F$54*(1+$F$61))/82*($A$70*(1+C$70))*300</f>
        <v>130556.57493292681</v>
      </c>
      <c r="F74" s="68">
        <f>F66*(A70*(1+D70)*300)</f>
        <v>140863.67295394736</v>
      </c>
    </row>
    <row r="75" spans="1:6" ht="15.75" x14ac:dyDescent="0.25">
      <c r="A75" s="35" t="s">
        <v>106</v>
      </c>
      <c r="B75" s="68">
        <f>B74/12</f>
        <v>6618.9254558823523</v>
      </c>
      <c r="C75" s="68">
        <f>C74/12</f>
        <v>8736.1593749999975</v>
      </c>
      <c r="D75" s="68">
        <f t="shared" ref="D75:F75" si="0">D74/12</f>
        <v>10495.724651470588</v>
      </c>
      <c r="E75" s="68">
        <f t="shared" si="0"/>
        <v>10879.714577743902</v>
      </c>
      <c r="F75" s="68">
        <f t="shared" si="0"/>
        <v>11738.639412828947</v>
      </c>
    </row>
    <row r="76" spans="1:6" ht="15.75" x14ac:dyDescent="0.25">
      <c r="A76" s="35" t="s">
        <v>107</v>
      </c>
      <c r="B76" s="68">
        <f>B75/4.5/7*3</f>
        <v>630.37385294117644</v>
      </c>
      <c r="C76" s="68">
        <f t="shared" ref="C76:F76" si="1">C75/4.5/7*3</f>
        <v>832.01517857142835</v>
      </c>
      <c r="D76" s="68">
        <f t="shared" si="1"/>
        <v>999.59282394957984</v>
      </c>
      <c r="E76" s="68">
        <f t="shared" si="1"/>
        <v>1036.1632931184668</v>
      </c>
      <c r="F76" s="68">
        <f t="shared" si="1"/>
        <v>1117.9656583646615</v>
      </c>
    </row>
    <row r="77" spans="1:6" ht="15.75" x14ac:dyDescent="0.25">
      <c r="A77" s="35" t="s">
        <v>108</v>
      </c>
      <c r="B77" s="68">
        <f>IFERROR((B76/$B9*1.3),0)</f>
        <v>68.290500735294117</v>
      </c>
      <c r="C77" s="68">
        <f t="shared" ref="C77:F77" si="2">IFERROR((C76/$B9*1.3),0)</f>
        <v>90.134977678571403</v>
      </c>
      <c r="D77" s="68">
        <f t="shared" si="2"/>
        <v>108.28922259453782</v>
      </c>
      <c r="E77" s="68">
        <f t="shared" si="2"/>
        <v>112.25102342116723</v>
      </c>
      <c r="F77" s="68">
        <f t="shared" si="2"/>
        <v>121.11294632283834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A13" zoomScaleNormal="100" zoomScalePageLayoutView="130" workbookViewId="0">
      <selection activeCell="D7" sqref="D7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Matt Linker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Express Car Wash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 t="str">
        <f>'Input Form'!B4</f>
        <v>Cadillac Express Car Wash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24624 Kuykendahl Rd.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Tomball, TX 77375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196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Matt Linker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Express Car Wash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 t="str">
        <f>AddressLine1</f>
        <v>Cadillac Express Car Wash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24624 Kuykendahl Rd.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Tomball, TX 77375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1843.1459239674969</v>
      </c>
      <c r="J65" s="18">
        <f>'Input Form'!B75</f>
        <v>6618.9254558823523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41">
        <f>'Input Form'!D19</f>
        <v>0.4</v>
      </c>
      <c r="H69" s="142"/>
      <c r="I69" s="20">
        <f>IFERROR((I$65*G69*F69),0)</f>
        <v>3686.2918479349942</v>
      </c>
      <c r="J69" s="20">
        <f>J$65*F69*G69</f>
        <v>13237.850911764705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41">
        <f>'Input Form'!D20</f>
        <v>0.15</v>
      </c>
      <c r="H70" s="142"/>
      <c r="I70" s="20">
        <f>IFERROR((I$65*G70*F70),0)</f>
        <v>2764.7188859512453</v>
      </c>
      <c r="J70" s="20">
        <f t="shared" ref="J70:J73" si="0">J$65*F70*G70</f>
        <v>9928.3881838235284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41">
        <f>'Input Form'!D21</f>
        <v>0.15</v>
      </c>
      <c r="H71" s="142"/>
      <c r="I71" s="20">
        <f>IFERROR((I$65*G71*F71),0)</f>
        <v>4147.0783289268684</v>
      </c>
      <c r="J71" s="20">
        <f t="shared" si="0"/>
        <v>14892.582275735291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41">
        <f>'Input Form'!D22</f>
        <v>0.2</v>
      </c>
      <c r="H72" s="142"/>
      <c r="I72" s="20">
        <f t="shared" ref="I72:I73" si="1">I$65*G72*F72</f>
        <v>7372.5836958699883</v>
      </c>
      <c r="J72" s="20">
        <f t="shared" si="0"/>
        <v>26475.701823529409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41">
        <f>'Input Form'!D23</f>
        <v>0.1</v>
      </c>
      <c r="H73" s="142"/>
      <c r="I73" s="20">
        <f t="shared" si="1"/>
        <v>4607.8648099187421</v>
      </c>
      <c r="J73" s="20">
        <f t="shared" si="0"/>
        <v>16547.313639705881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22578.537568601838</v>
      </c>
      <c r="J74" s="20">
        <f>SUM(J69:J73)</f>
        <v>81081.83683455881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-406.41367623483308</v>
      </c>
      <c r="J75" s="20">
        <f>-(J74*$F75*$G75)</f>
        <v>-1459.4730630220583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22172.123892367006</v>
      </c>
      <c r="J76" s="20">
        <f>SUM(J74:J75)</f>
        <v>79622.363771536751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12.029500000000002</v>
      </c>
      <c r="J77" s="22">
        <f>J76/(J65+0.000000001)</f>
        <v>12.029499999998182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665.16371677101017</v>
      </c>
      <c r="J80" s="20">
        <f>$G80*J76</f>
        <v>2388.6709131461025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6.3353469387755115E-2</v>
      </c>
      <c r="H81" s="164"/>
      <c r="I81" s="20">
        <f>G81*I76</f>
        <v>1404.680972276587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5136.8156678011765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221.72123892367006</v>
      </c>
      <c r="J82" s="20">
        <f>$G82*J76</f>
        <v>796.22363771536754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4.4289848133947339E-2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0.60524734865927077</v>
      </c>
      <c r="H84" s="164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221.72123892367006</v>
      </c>
      <c r="J85" s="20">
        <f>$G85*J76</f>
        <v>796.22363771536754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221.72123892367006</v>
      </c>
      <c r="J86" s="20">
        <f>$G86*J76</f>
        <v>796.22363771536754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332.58185838550509</v>
      </c>
      <c r="J87" s="20">
        <f>$G87*J76</f>
        <v>1194.3354565730513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221.72123892367006</v>
      </c>
      <c r="J88" s="20">
        <f>$G88*J76</f>
        <v>796.22363771536754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8.8579696267894678E-2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221.72123892367006</v>
      </c>
      <c r="J90" s="20">
        <f>$G90*J76</f>
        <v>796.22363771536754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1995.4911503130304</v>
      </c>
      <c r="J91" s="20">
        <f>$G91*J76</f>
        <v>7166.0127394383071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22172.123892364485</v>
      </c>
      <c r="J92" s="20">
        <f>SUM(J80:J91)</f>
        <v>36532.552965535477</v>
      </c>
      <c r="K92" s="10"/>
    </row>
    <row r="93" spans="1:12" x14ac:dyDescent="0.2">
      <c r="A93" s="10"/>
      <c r="B93" s="116" t="s">
        <v>197</v>
      </c>
      <c r="C93" s="116"/>
      <c r="D93" s="116"/>
      <c r="E93" s="116"/>
      <c r="F93" s="116"/>
      <c r="G93" s="116"/>
      <c r="H93" s="116"/>
      <c r="I93" s="24">
        <f>I76-I92</f>
        <v>2.5211193133145571E-9</v>
      </c>
      <c r="J93" s="24">
        <f>J76-J92</f>
        <v>43089.810806001275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Matt Linker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Express Car Wash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 t="str">
        <f>AddressLine1</f>
        <v>Cadillac Express Car Wash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24624 Kuykendahl Rd.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Tomball, TX 77375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7.4999999999999997E-2</v>
      </c>
      <c r="F125" s="154"/>
      <c r="G125" s="142">
        <f>'Input Form'!D89</f>
        <v>300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0</v>
      </c>
      <c r="D126" s="142"/>
      <c r="E126" s="153">
        <f>'Input Form'!C90</f>
        <v>7.4999999999999997E-2</v>
      </c>
      <c r="F126" s="154"/>
      <c r="G126" s="142">
        <f>'Input Form'!D90</f>
        <v>300</v>
      </c>
      <c r="H126" s="142"/>
      <c r="I126" s="147">
        <f>'Input Form'!F90</f>
        <v>0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7.4999999999999997E-2</v>
      </c>
      <c r="F127" s="154"/>
      <c r="G127" s="142">
        <f>'Input Form'!D91</f>
        <v>300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7.4999999999999997E-2</v>
      </c>
      <c r="F128" s="154"/>
      <c r="G128" s="142">
        <f>'Input Form'!D92</f>
        <v>300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7.4999999999999997E-2</v>
      </c>
      <c r="F129" s="154"/>
      <c r="G129" s="142">
        <f>'Input Form'!D93</f>
        <v>300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22172.123892367006</v>
      </c>
      <c r="H138" s="147"/>
      <c r="I138" s="147">
        <f>J76</f>
        <v>79622.363771536751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22172.123892364485</v>
      </c>
      <c r="H139" s="147"/>
      <c r="I139" s="147">
        <f>J92</f>
        <v>36532.552965535477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2.5211193133145571E-9</v>
      </c>
      <c r="H140" s="147"/>
      <c r="I140" s="147">
        <f>J93</f>
        <v>43089.810806001275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2.5211193133145571E-9</v>
      </c>
      <c r="H143" s="147"/>
      <c r="I143" s="147">
        <f>I140-I141-I142</f>
        <v>43089.810806001275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Matt Linker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Express Car Wash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 t="str">
        <f>AddressLine1</f>
        <v>Cadillac Express Car Wash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24624 Kuykendahl Rd.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Tomball, TX 77375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79427.105470588227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41">
        <f>'Input Form'!$D$19</f>
        <v>0.4</v>
      </c>
      <c r="H169" s="142"/>
      <c r="I169" s="20">
        <f>I$166*F169*G169</f>
        <v>158854.21094117645</v>
      </c>
      <c r="J169" s="30">
        <f>IFERROR((I169/I$174),0)</f>
        <v>0.16326530612244897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41">
        <f>'Input Form'!$D$20</f>
        <v>0.15</v>
      </c>
      <c r="H170" s="142"/>
      <c r="I170" s="20">
        <f>I$166*F170*G170</f>
        <v>119140.65820588233</v>
      </c>
      <c r="J170" s="30">
        <f t="shared" ref="J170:J176" si="2">IFERROR((I170/I$174),0)</f>
        <v>0.12244897959183672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41">
        <f>'Input Form'!$D$21</f>
        <v>0.15</v>
      </c>
      <c r="H171" s="142"/>
      <c r="I171" s="20">
        <f>I$166*F171*G171</f>
        <v>178710.9873088235</v>
      </c>
      <c r="J171" s="30">
        <f t="shared" si="2"/>
        <v>0.18367346938775508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41">
        <f>'Input Form'!$D$22</f>
        <v>0.2</v>
      </c>
      <c r="H172" s="142"/>
      <c r="I172" s="20">
        <f>I$166*F172*G172</f>
        <v>317708.42188235291</v>
      </c>
      <c r="J172" s="30">
        <f t="shared" si="2"/>
        <v>0.32653061224489793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41">
        <f>'Input Form'!$D$23</f>
        <v>0.1</v>
      </c>
      <c r="H173" s="142"/>
      <c r="I173" s="20">
        <f>I$166*F173*G173</f>
        <v>198567.76367647058</v>
      </c>
      <c r="J173" s="30">
        <f t="shared" si="2"/>
        <v>0.20408163265306123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972982.04201470583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-17513.676756264704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955468.36525844107</v>
      </c>
      <c r="J176" s="30">
        <f t="shared" si="2"/>
        <v>0.98199999999999998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28664.050957753232</v>
      </c>
      <c r="J178" s="30">
        <f>IFERROR((I178/I$176),0)</f>
        <v>0.03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60532.23582936907</v>
      </c>
      <c r="J179" s="30">
        <f t="shared" ref="J179:J196" si="3">IFERROR((I179/I$176),0)</f>
        <v>6.3353469387755115E-2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9554.6836525844101</v>
      </c>
      <c r="J180" s="30">
        <f t="shared" si="3"/>
        <v>9.9999999999999985E-3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1.2559285515176806E-2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163987.20000000001</v>
      </c>
      <c r="J182" s="30">
        <f t="shared" si="3"/>
        <v>0.17163017213620016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9554.6836525844101</v>
      </c>
      <c r="J183" s="30">
        <f t="shared" si="3"/>
        <v>9.9999999999999985E-3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9554.6836525844101</v>
      </c>
      <c r="J184" s="30">
        <f t="shared" si="3"/>
        <v>9.9999999999999985E-3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14332.025478876616</v>
      </c>
      <c r="J185" s="30">
        <f t="shared" si="3"/>
        <v>1.4999999999999999E-2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9554.6836525844101</v>
      </c>
      <c r="J186" s="30">
        <f t="shared" si="3"/>
        <v>9.9999999999999985E-3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2.5118571030353611E-2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9554.6836525844101</v>
      </c>
      <c r="J188" s="30">
        <f t="shared" si="3"/>
        <v>9.9999999999999985E-3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85992.152873259693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437281.08340218052</v>
      </c>
      <c r="J190" s="30">
        <f t="shared" si="3"/>
        <v>0.45766149806948553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518187.28185626055</v>
      </c>
      <c r="J191" s="30">
        <f t="shared" si="3"/>
        <v>0.54233850193051447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518187.28185626055</v>
      </c>
      <c r="J196" s="30">
        <f t="shared" si="3"/>
        <v>0.54233850193051447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Matt Linker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Express Car Wash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 t="str">
        <f>AddressLine1</f>
        <v>Cadillac Express Car Wash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24624 Kuykendahl Rd.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Tomball, TX 77375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104833.91249999998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41">
        <f>'Input Form'!$D$19</f>
        <v>0.4</v>
      </c>
      <c r="H220" s="142"/>
      <c r="I220" s="20">
        <f>I$217*F220*G220</f>
        <v>209667.82499999995</v>
      </c>
      <c r="J220" s="30">
        <f>IFERROR((I220/I$225),0)</f>
        <v>0.16326530612244899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41">
        <f>'Input Form'!$D$20</f>
        <v>0.15</v>
      </c>
      <c r="H221" s="142"/>
      <c r="I221" s="20">
        <f>I$217*F221*G221</f>
        <v>157250.86874999997</v>
      </c>
      <c r="J221" s="30">
        <f t="shared" ref="J221:J227" si="4">IFERROR((I221/I$225),0)</f>
        <v>0.12244897959183675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41">
        <f>'Input Form'!$D$21</f>
        <v>0.15</v>
      </c>
      <c r="H222" s="142"/>
      <c r="I222" s="20">
        <f>I$217*F222*G222</f>
        <v>235876.30312499992</v>
      </c>
      <c r="J222" s="30">
        <f t="shared" si="4"/>
        <v>0.18367346938775508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41">
        <f>'Input Form'!$D$22</f>
        <v>0.2</v>
      </c>
      <c r="H223" s="142"/>
      <c r="I223" s="20">
        <f>I$217*F223*G223</f>
        <v>419335.64999999991</v>
      </c>
      <c r="J223" s="30">
        <f t="shared" si="4"/>
        <v>0.32653061224489799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41">
        <f>'Input Form'!$D$23</f>
        <v>0.1</v>
      </c>
      <c r="H224" s="142"/>
      <c r="I224" s="20">
        <f>I$217*F224*G224</f>
        <v>262084.78124999997</v>
      </c>
      <c r="J224" s="30">
        <f t="shared" si="4"/>
        <v>0.20408163265306126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1284215.4281249996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-23115.87770624999</v>
      </c>
      <c r="J226" s="30">
        <f t="shared" si="4"/>
        <v>-1.7999999999999999E-2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1261099.5504187497</v>
      </c>
      <c r="J227" s="30">
        <f t="shared" si="4"/>
        <v>0.98199999999999998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37832.986512562486</v>
      </c>
      <c r="J229" s="30">
        <f>IFERROR((I229/I$227),0)</f>
        <v>2.9999999999999995E-2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79895.031762365994</v>
      </c>
      <c r="J230" s="30">
        <f t="shared" ref="J230:J247" si="5">IFERROR((I230/I$227),0)</f>
        <v>6.3353469387755115E-2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12610.995504187496</v>
      </c>
      <c r="J231" s="30">
        <f t="shared" si="5"/>
        <v>0.01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9.5155057314986625E-3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163987.20000000001</v>
      </c>
      <c r="J233" s="30">
        <f t="shared" si="5"/>
        <v>0.13003509512436814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12610.995504187496</v>
      </c>
      <c r="J234" s="30">
        <f t="shared" si="5"/>
        <v>0.01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12610.995504187496</v>
      </c>
      <c r="J235" s="30">
        <f t="shared" si="5"/>
        <v>0.01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18916.493256281243</v>
      </c>
      <c r="J236" s="30">
        <f t="shared" si="5"/>
        <v>1.4999999999999998E-2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12610.995504187496</v>
      </c>
      <c r="J237" s="30">
        <f t="shared" si="5"/>
        <v>0.01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1.9031011462997325E-2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12610.995504187496</v>
      </c>
      <c r="J239" s="30">
        <f t="shared" si="5"/>
        <v>0.01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113498.95953768746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513185.64858983463</v>
      </c>
      <c r="J241" s="30">
        <f t="shared" si="5"/>
        <v>0.40693508170661918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747913.90182891511</v>
      </c>
      <c r="J242" s="30">
        <f t="shared" si="5"/>
        <v>0.59306491829338082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747913.90182891511</v>
      </c>
      <c r="J247" s="30">
        <f t="shared" si="5"/>
        <v>0.59306491829338082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Matt Linker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Express Car Wash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 t="str">
        <f>AddressLine1</f>
        <v>Cadillac Express Car Wash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24624 Kuykendahl Rd.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Tomball, TX 77375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125948.69581764705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41">
        <f>'Input Form'!$D$19</f>
        <v>0.4</v>
      </c>
      <c r="H271" s="142"/>
      <c r="I271" s="20">
        <f>I$268*F271*G271</f>
        <v>251897.39163529413</v>
      </c>
      <c r="J271" s="30">
        <f>IFERROR((I271/I$276),0)</f>
        <v>0.16326530612244897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41">
        <f>'Input Form'!$D$20</f>
        <v>0.15</v>
      </c>
      <c r="H272" s="142"/>
      <c r="I272" s="20">
        <f t="shared" ref="I272:I275" si="6">I$268*F272*G272</f>
        <v>188923.04372647058</v>
      </c>
      <c r="J272" s="30">
        <f t="shared" ref="J272:J278" si="7">IFERROR((I272/I$276),0)</f>
        <v>0.12244897959183673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41">
        <f>'Input Form'!$D$21</f>
        <v>0.15</v>
      </c>
      <c r="H273" s="142"/>
      <c r="I273" s="20">
        <f t="shared" si="6"/>
        <v>283384.56558970583</v>
      </c>
      <c r="J273" s="30">
        <f t="shared" si="7"/>
        <v>0.18367346938775506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41">
        <f>'Input Form'!$D$22</f>
        <v>0.2</v>
      </c>
      <c r="H274" s="142"/>
      <c r="I274" s="20">
        <f t="shared" si="6"/>
        <v>503794.78327058826</v>
      </c>
      <c r="J274" s="30">
        <f t="shared" si="7"/>
        <v>0.32653061224489793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41">
        <f>'Input Form'!$D$23</f>
        <v>0.1</v>
      </c>
      <c r="H275" s="142"/>
      <c r="I275" s="20">
        <f t="shared" si="6"/>
        <v>314871.73954411765</v>
      </c>
      <c r="J275" s="30">
        <f t="shared" si="7"/>
        <v>0.20408163265306123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1542871.5237661765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-27771.687427791174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1515099.8363383855</v>
      </c>
      <c r="J278" s="30">
        <f t="shared" si="7"/>
        <v>0.9820000000000001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45452.995090151562</v>
      </c>
      <c r="J280" s="30">
        <f>IFERROR((I280/I$278),0)</f>
        <v>0.03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95986.831100856696</v>
      </c>
      <c r="J281" s="30">
        <f t="shared" ref="J281:J298" si="8">IFERROR((I281/I$278),0)</f>
        <v>6.3353469387755115E-2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15150.998363383855</v>
      </c>
      <c r="J282" s="30">
        <f t="shared" si="8"/>
        <v>0.01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7.9202701447060909E-3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163987.20000000001</v>
      </c>
      <c r="J284" s="30">
        <f t="shared" si="8"/>
        <v>0.10823524368949557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15150.998363383855</v>
      </c>
      <c r="J285" s="30">
        <f t="shared" si="8"/>
        <v>0.01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15150.998363383855</v>
      </c>
      <c r="J286" s="30">
        <f t="shared" si="8"/>
        <v>0.01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22726.497545075781</v>
      </c>
      <c r="J287" s="30">
        <f t="shared" si="8"/>
        <v>1.4999999999999999E-2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15150.998363383855</v>
      </c>
      <c r="J288" s="30">
        <f t="shared" si="8"/>
        <v>0.01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1.5840540289412182E-2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15150.998363383855</v>
      </c>
      <c r="J290" s="30">
        <f t="shared" si="8"/>
        <v>0.01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136358.98527045469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576267.50082345807</v>
      </c>
      <c r="J292" s="30">
        <f t="shared" si="8"/>
        <v>0.38034952351136903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938832.3355149274</v>
      </c>
      <c r="J293" s="30">
        <f t="shared" si="8"/>
        <v>0.61965047648863103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938832.3355149274</v>
      </c>
      <c r="J298" s="30">
        <f t="shared" si="8"/>
        <v>0.61965047648863103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Matt Linker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Express Car Wash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 t="str">
        <f>AddressLine1</f>
        <v>Cadillac Express Car Wash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24624 Kuykendahl Rd.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Tomball, TX 77375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130556.57493292681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41">
        <f>'Input Form'!$D$19</f>
        <v>0.4</v>
      </c>
      <c r="H322" s="142"/>
      <c r="I322" s="20">
        <f>I$319*F322*G322</f>
        <v>261113.14986585366</v>
      </c>
      <c r="J322" s="30">
        <f>IFERROR((I322/I$327),0)</f>
        <v>0.16326530612244897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41">
        <f>'Input Form'!$D$20</f>
        <v>0.15</v>
      </c>
      <c r="H323" s="142"/>
      <c r="I323" s="20">
        <f>I$319*F323*G323</f>
        <v>195834.86239939023</v>
      </c>
      <c r="J323" s="30">
        <f t="shared" ref="J323:J329" si="9">IFERROR((I323/I$327),0)</f>
        <v>0.12244897959183673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41">
        <f>'Input Form'!$D$21</f>
        <v>0.15</v>
      </c>
      <c r="H324" s="142"/>
      <c r="I324" s="20">
        <f>I$319*F324*G324</f>
        <v>293752.2935990853</v>
      </c>
      <c r="J324" s="30">
        <f t="shared" si="9"/>
        <v>0.18367346938775506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41">
        <f>'Input Form'!$D$22</f>
        <v>0.2</v>
      </c>
      <c r="H325" s="142"/>
      <c r="I325" s="20">
        <f>I$319*F325*G325</f>
        <v>522226.29973170732</v>
      </c>
      <c r="J325" s="30">
        <f t="shared" si="9"/>
        <v>0.32653061224489793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41">
        <f>'Input Form'!$D$23</f>
        <v>0.1</v>
      </c>
      <c r="H326" s="142"/>
      <c r="I326" s="20">
        <f>I$319*F326*G326</f>
        <v>326391.43733231706</v>
      </c>
      <c r="J326" s="30">
        <f t="shared" si="9"/>
        <v>0.20408163265306123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1599318.0429283537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-28787.724772710364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1570530.3181556433</v>
      </c>
      <c r="J329" s="30">
        <f t="shared" si="9"/>
        <v>0.98199999999999998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47115.909544669295</v>
      </c>
      <c r="J331" s="30">
        <f>IFERROR((I331/I$329),0)</f>
        <v>0.03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99498.544433814852</v>
      </c>
      <c r="J332" s="30">
        <f t="shared" ref="J332:J344" si="10">IFERROR((I332/I$329),0)</f>
        <v>6.3353469387755115E-2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15705.303181556434</v>
      </c>
      <c r="J333" s="30">
        <f t="shared" si="10"/>
        <v>0.01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7.6407311984223484E-3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163987.20000000001</v>
      </c>
      <c r="J335" s="30">
        <f t="shared" si="10"/>
        <v>0.10441517626516045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15705.303181556434</v>
      </c>
      <c r="J336" s="30">
        <f t="shared" si="10"/>
        <v>0.01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15705.303181556434</v>
      </c>
      <c r="J337" s="30">
        <f t="shared" si="10"/>
        <v>0.01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23557.954772334648</v>
      </c>
      <c r="J338" s="30">
        <f t="shared" si="10"/>
        <v>1.4999999999999999E-2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15705.303181556434</v>
      </c>
      <c r="J339" s="30">
        <f t="shared" si="10"/>
        <v>0.01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1.5281462396844697E-2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15705.303181556434</v>
      </c>
      <c r="J341" s="30">
        <f t="shared" si="10"/>
        <v>0.01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141347.72863400789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590033.85329260898</v>
      </c>
      <c r="J343" s="30">
        <f t="shared" si="10"/>
        <v>0.3756908392481827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980496.46486303431</v>
      </c>
      <c r="J344" s="30">
        <f t="shared" si="10"/>
        <v>0.6243091607518173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980496.46486303431</v>
      </c>
      <c r="J349" s="30">
        <f t="shared" si="11"/>
        <v>0.6243091607518173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Matt Linker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Express Car Wash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 t="str">
        <f>AddressLine1</f>
        <v>Cadillac Express Car Wash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24624 Kuykendahl Rd.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Tomball, TX 77375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140863.67295394736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41">
        <f>'Input Form'!$D$19</f>
        <v>0.4</v>
      </c>
      <c r="H373" s="142"/>
      <c r="I373" s="20">
        <f>I$370*F373*G373</f>
        <v>281727.34590789472</v>
      </c>
      <c r="J373" s="30">
        <f>IFERROR((I373/I$378),0)</f>
        <v>0.16326530612244899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41">
        <f>'Input Form'!$D$20</f>
        <v>0.15</v>
      </c>
      <c r="H374" s="142"/>
      <c r="I374" s="20">
        <f t="shared" ref="I374:I377" si="12">I$370*F374*G374</f>
        <v>211295.50943092103</v>
      </c>
      <c r="J374" s="30">
        <f t="shared" ref="J374:J380" si="13">IFERROR((I374/I$378),0)</f>
        <v>0.12244897959183673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41">
        <f>'Input Form'!$D$21</f>
        <v>0.15</v>
      </c>
      <c r="H375" s="142"/>
      <c r="I375" s="20">
        <f t="shared" si="12"/>
        <v>316943.26414638152</v>
      </c>
      <c r="J375" s="30">
        <f t="shared" si="13"/>
        <v>0.18367346938775508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41">
        <f>'Input Form'!$D$22</f>
        <v>0.2</v>
      </c>
      <c r="H376" s="142"/>
      <c r="I376" s="20">
        <f t="shared" si="12"/>
        <v>563454.69181578944</v>
      </c>
      <c r="J376" s="30">
        <f t="shared" si="13"/>
        <v>0.32653061224489799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41">
        <f>'Input Form'!$D$23</f>
        <v>0.1</v>
      </c>
      <c r="H377" s="142"/>
      <c r="I377" s="20">
        <f t="shared" si="12"/>
        <v>352159.18238486839</v>
      </c>
      <c r="J377" s="30">
        <f t="shared" si="13"/>
        <v>0.20408163265306123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1725579.9936858551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-31060.439886345386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1694519.5537995098</v>
      </c>
      <c r="J380" s="30">
        <f t="shared" si="13"/>
        <v>0.9820000000000001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50835.586613985288</v>
      </c>
      <c r="J382" s="30">
        <f>IFERROR((I382/I$380),0)</f>
        <v>2.9999999999999995E-2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107353.69267858969</v>
      </c>
      <c r="J383" s="30">
        <f t="shared" ref="J383:J395" si="14">IFERROR((I383/I$380),0)</f>
        <v>6.3353469387755115E-2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16945.1955379951</v>
      </c>
      <c r="J384" s="30">
        <f t="shared" si="14"/>
        <v>1.0000000000000002E-2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7.0816533058548599E-3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163987.20000000001</v>
      </c>
      <c r="J386" s="30">
        <f t="shared" si="14"/>
        <v>9.6775041416490182E-2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16945.1955379951</v>
      </c>
      <c r="J387" s="30">
        <f t="shared" si="14"/>
        <v>1.0000000000000002E-2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16945.1955379951</v>
      </c>
      <c r="J388" s="30">
        <f t="shared" si="14"/>
        <v>1.0000000000000002E-2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25417.793306992644</v>
      </c>
      <c r="J389" s="30">
        <f t="shared" si="14"/>
        <v>1.4999999999999998E-2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16945.1955379951</v>
      </c>
      <c r="J390" s="30">
        <f t="shared" si="14"/>
        <v>1.0000000000000002E-2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1.416330661170972E-2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16945.1955379951</v>
      </c>
      <c r="J392" s="30">
        <f t="shared" si="14"/>
        <v>1.0000000000000002E-2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152506.75984195588</v>
      </c>
      <c r="J393" s="30">
        <f t="shared" si="14"/>
        <v>0.09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620827.01013149892</v>
      </c>
      <c r="J394" s="30">
        <f t="shared" si="14"/>
        <v>0.36637347072180981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1073692.5436680107</v>
      </c>
      <c r="J395" s="30">
        <f t="shared" si="14"/>
        <v>0.63362652927819008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1073692.5436680107</v>
      </c>
      <c r="J400" s="30">
        <f t="shared" si="15"/>
        <v>0.63362652927819008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Matt Linker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Express Car Wash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 t="str">
        <f>AddressLine1</f>
        <v>Cadillac Express Car Wash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24624 Kuykendahl Rd.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Tomball, TX 77375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JXnhC5cjhhby0fsZuagi9XxJTbODewIZwtoq0f34VjDlkVjD7BIHip/eSX2pI+fGnzylVCZ2nFsSCktEzagaXQ==" saltValue="f3HocVz238ttYxCwcpkG1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2020-07-02T20:03:54Z</cp:lastPrinted>
  <dcterms:created xsi:type="dcterms:W3CDTF">2003-04-06T16:14:55Z</dcterms:created>
  <dcterms:modified xsi:type="dcterms:W3CDTF">2020-09-16T16:35:34Z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