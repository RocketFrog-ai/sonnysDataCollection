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Ryan Gifford\4405 Pacific Ave., Stockton\"/>
    </mc:Choice>
  </mc:AlternateContent>
  <xr:revisionPtr revIDLastSave="0" documentId="8_{C3E09120-645C-4F94-9467-034C9CEEDEF3}" xr6:coauthVersionLast="46" xr6:coauthVersionMax="46" xr10:uidLastSave="{00000000-0000-0000-0000-000000000000}"/>
  <workbookProtection workbookPassword="FB8D" lockStructure="1"/>
  <bookViews>
    <workbookView xWindow="31485" yWindow="268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<sst xmlns="http://schemas.openxmlformats.org/spreadsheetml/2006/main" count="435" uniqueCount="203">
  <si>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</si>
  <si>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</si>
  <si>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</si>
  <si>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</si>
  <si>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</si>
  <si>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</si>
  <si>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</si>
  <si>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</si>
  <si>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</si>
  <si>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</si>
  <si>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</si>
  <si>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</si>
  <si>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</si>
  <si>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</si>
  <si>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</si>
  <si>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</si>
  <si>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</si>
  <si>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</si>
  <si>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</si>
  <si>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</si>
  <si>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</si>
  <si>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</si>
  <si>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</si>
  <si>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</si>
  <si>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</si>
  <si>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</si>
  <si>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</si>
  <si>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</si>
  <si>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</si>
  <si>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</si>
  <si>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</si>
  <si>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</si>
  <si>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</si>
  <si>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</si>
  <si>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</si>
  <si>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</si>
  <si>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</si>
  <si>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</si>
  <si>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</si>
  <si>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</si>
  <si>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</si>
  <si>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</si>
  <si>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</si>
  <si>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</si>
  <si>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</si>
  <si>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</si>
  <si>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</si>
  <si>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</si>
  <si>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</si>
  <si>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</si>
  <si>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</si>
  <si>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</si>
  <si>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</si>
  <si>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</si>
  <si>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</si>
  <si>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</si>
  <si>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</si>
  <si>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</si>
  <si>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</si>
  <si>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</si>
  <si>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</si>
  <si>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</si>
  <si>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</si>
  <si>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</si>
  <si>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</si>
  <si>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</si>
  <si>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</si>
  <si>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</si>
  <si>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</si>
  <si>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</si>
  <si>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</si>
  <si>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</si>
  <si>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</si>
  <si>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</si>
  <si>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</si>
  <si>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</si>
  <si>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</si>
  <si>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</si>
  <si>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</si>
  <si>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</si>
  <si>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</si>
  <si>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</si>
  <si>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</si>
  <si>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</si>
  <si>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</si>
  <si>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</si>
  <si>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</si>
  <si>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</si>
  <si>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</si>
  <si>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</si>
  <si>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</si>
  <si>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</si>
  <si>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</si>
  <si>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</si>
  <si>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</si>
  <si>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</si>
  <si>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</si>
  <si>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</si>
  <si>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</si>
  <si>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</si>
  <si>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</si>
  <si>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</si>
  <si>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</si>
  <si>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</si>
  <si>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</si>
  <si>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</si>
  <si>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</si>
  <si>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</si>
  <si>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</si>
  <si>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</si>
  <si>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</si>
  <si>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</si>
  <si>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</si>
  <si>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</si>
  <si>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</si>
  <si>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</si>
  <si>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</si>
  <si>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</si>
  <si>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</si>
  <si>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</si>
  <si>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</si>
  <si>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</si>
  <si>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</si>
  <si>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</si>
  <si>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</si>
  <si>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</si>
  <si>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</si>
  <si>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</si>
  <si>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</si>
  <si>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</si>
  <si>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</si>
  <si>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</si>
  <si>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</si>
  <si>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</si>
  <si>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</si>
  <si>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</si>
  <si>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</si>
  <si>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</si>
  <si>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</si>
  <si>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</si>
  <si>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</si>
  <si>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</si>
  <si>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</si>
  <si>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</si>
  <si>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</si>
  <si>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</si>
  <si>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</si>
  <si>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</si>
  <si>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</si>
  <si>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</si>
  <si>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</si>
  <si>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</si>
  <si>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</si>
  <si>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</si>
  <si>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</si>
  <si>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</si>
  <si>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</si>
  <si>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</si>
  <si>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</si>
  <si>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</si>
  <si>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</si>
  <si>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</si>
  <si>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</si>
  <si>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</si>
  <si>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</si>
  <si>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</si>
  <si>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</si>
  <si>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</si>
  <si>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</si>
  <si>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</si>
  <si>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</si>
  <si>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</si>
  <si>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</si>
  <si>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</si>
  <si>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</si>
  <si>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</si>
  <si>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</si>
  <si>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</si>
  <si>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</si>
  <si>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</si>
  <si>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</si>
  <si>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</si>
  <si>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</si>
  <si>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</si>
  <si>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</si>
  <si>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</si>
  <si>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</si>
  <si>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</si>
  <si>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</si>
  <si>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</si>
  <si>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</si>
  <si>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</si>
  <si>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</si>
  <si>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</si>
  <si>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</si>
  <si>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</si>
  <si>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</si>
  <si>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</si>
  <si>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Ryan Gifford</t>
  </si>
  <si>
    <t>Express Car Wash</t>
  </si>
  <si>
    <t>Pacific Car Wash</t>
  </si>
  <si>
    <t>4405 Pacific Ave.</t>
  </si>
  <si>
    <t>Stockton, CA 95207-7601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</si>
</sst>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6" zoomScaleNormal="100" workbookViewId="0">
      <selection activeCell="H40" sqref="H4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200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202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1.125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2.79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0.49</v>
      </c>
      <c r="F58" s="61">
        <f>-0.3*(0.55-E58)</f>
        <v>-1.8000000000000016E-2</v>
      </c>
    </row>
    <row r="59" spans="1:8" ht="15.75" x14ac:dyDescent="0.25">
      <c r="A59" s="83" t="s">
        <v>3</v>
      </c>
      <c r="B59" s="84"/>
      <c r="C59" s="84"/>
      <c r="D59" s="85"/>
      <c r="E59" s="45">
        <v>0.624</v>
      </c>
      <c r="F59" s="61">
        <f>-0.75*(0.5-E59)</f>
        <v>9.2999999999999999E-2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1.8749999999999996E-2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9.4384191176470587E-3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1.2457540760869567E-2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1.5080180921052634E-2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15592</v>
      </c>
      <c r="B70" s="66">
        <v>0.04</v>
      </c>
      <c r="C70" s="66">
        <v>0.04</v>
      </c>
      <c r="D70" s="66">
        <v>0.04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44149.149264705877</v>
      </c>
      <c r="C74" s="68">
        <f>F65*A70*300</f>
        <v>58271.392663043487</v>
      </c>
      <c r="D74" s="68">
        <f>($F$54*(1+$F$61))/85*($A$70*(1+B$70))*300</f>
        <v>65593.021764705889</v>
      </c>
      <c r="E74" s="68">
        <f>($F$54*(1+$F$61))/82*($A$70*(1+C$70))*300</f>
        <v>67992.766463414649</v>
      </c>
      <c r="F74" s="68">
        <f>F66*(A70*(1+D70)*300)</f>
        <v>73360.616447368433</v>
      </c>
    </row>
    <row r="75" spans="1:6" ht="15.75" x14ac:dyDescent="0.25">
      <c r="A75" s="35" t="s">
        <v>106</v>
      </c>
      <c r="B75" s="68">
        <f>B74/12</f>
        <v>3679.0957720588231</v>
      </c>
      <c r="C75" s="68">
        <f>C74/12</f>
        <v>4855.949388586957</v>
      </c>
      <c r="D75" s="68">
        <f t="shared" ref="D75:F75" si="0">D74/12</f>
        <v>5466.0851470588241</v>
      </c>
      <c r="E75" s="68">
        <f t="shared" si="0"/>
        <v>5666.0638719512208</v>
      </c>
      <c r="F75" s="68">
        <f t="shared" si="0"/>
        <v>6113.3847039473694</v>
      </c>
    </row>
    <row r="76" spans="1:6" ht="15.75" x14ac:dyDescent="0.25">
      <c r="A76" s="35" t="s">
        <v>107</v>
      </c>
      <c r="B76" s="68">
        <f>B75/4.5/7*3</f>
        <v>350.39007352941167</v>
      </c>
      <c r="C76" s="68">
        <f t="shared" ref="C76:F76" si="1">C75/4.5/7*3</f>
        <v>462.47137034161506</v>
      </c>
      <c r="D76" s="68">
        <f t="shared" si="1"/>
        <v>520.57953781512606</v>
      </c>
      <c r="E76" s="68">
        <f t="shared" si="1"/>
        <v>539.62513066202109</v>
      </c>
      <c r="F76" s="68">
        <f t="shared" si="1"/>
        <v>582.22711466165424</v>
      </c>
    </row>
    <row r="77" spans="1:6" ht="15.75" x14ac:dyDescent="0.25">
      <c r="A77" s="35" t="s">
        <v>108</v>
      </c>
      <c r="B77" s="68">
        <f>IFERROR((B76/$B9*1.3),0)</f>
        <v>37.958924632352932</v>
      </c>
      <c r="C77" s="68">
        <f t="shared" ref="C77:F77" si="2">IFERROR((C76/$B9*1.3),0)</f>
        <v>50.10106512034163</v>
      </c>
      <c r="D77" s="68">
        <f t="shared" si="2"/>
        <v>56.396116596638663</v>
      </c>
      <c r="E77" s="68">
        <f t="shared" si="2"/>
        <v>58.459389155052286</v>
      </c>
      <c r="F77" s="68">
        <f t="shared" si="2"/>
        <v>63.074604088345879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zqyBSiDTWkkbVZmS6G1DzAfAFq8jbDynYNZ1ojiqPmu03TRtXkhfe7UMs6in3GmGdIui2LdC7Qy1ufpuk4Jyg==" saltValue="PY/zD5c2dbNtvQQzytENxQ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10" zoomScaleNormal="100" workbookViewId="0">
      <selection activeCell="I77" sqref="I77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Ryan Gifford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Pacific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4405 Pacific Ave.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Stockton, CA 95207-7601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Ryan Gifford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Pacific Car Wash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4405 Pacific Ave.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Stockton, CA 95207-7601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2004.4810861706503</v>
      </c>
      <c r="J65" s="18">
        <f>'Input Form'!B75</f>
        <v>3679.0957720588231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4510.0824438839636</v>
      </c>
      <c r="J69" s="20">
        <f>J$65*F69*G69</f>
        <v>8277.9654871323528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3006.7216292559756</v>
      </c>
      <c r="J70" s="20">
        <f t="shared" ref="J70:J73" si="0">J$65*F70*G70</f>
        <v>5518.6436580882346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4510.0824438839636</v>
      </c>
      <c r="J71" s="20">
        <f t="shared" si="0"/>
        <v>8277.9654871323528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8017.9243446826013</v>
      </c>
      <c r="J72" s="20">
        <f t="shared" si="0"/>
        <v>14716.383088235292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2505.6013577133131</v>
      </c>
      <c r="J73" s="20">
        <f t="shared" si="0"/>
        <v>4598.8697150735288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22550.412219419817</v>
      </c>
      <c r="J74" s="20">
        <f>SUM(J69:J73)</f>
        <v>41389.827435661762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-405.9074199495567</v>
      </c>
      <c r="J75" s="20">
        <f>-(J74*$F75*$G75)</f>
        <v>-745.01689384191172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22144.504799470262</v>
      </c>
      <c r="J76" s="20">
        <f>SUM(J74:J75)</f>
        <v>40644.810541819854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11.047500000000001</v>
      </c>
      <c r="J77" s="22">
        <f>J76/(J65+0.000000001)</f>
        <v>11.047499999996999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664.33514398410784</v>
      </c>
      <c r="J80" s="20">
        <f>$G80*J76</f>
        <v>1219.3443162545955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6.2416000000000006E-2</v>
      </c>
      <c r="H81" s="131"/>
      <c r="I81" s="20">
        <f>G81*I76</f>
        <v>1382.171411563736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2583.3874692242648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221.44504799470263</v>
      </c>
      <c r="J82" s="20">
        <f>$G82*J76</f>
        <v>406.44810541819857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4.4345087365579357E-2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0.60600222590306119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221.44504799470263</v>
      </c>
      <c r="J85" s="20">
        <f>$G85*J76</f>
        <v>406.44810541819857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221.44504799470263</v>
      </c>
      <c r="J86" s="20">
        <f>$G86*J76</f>
        <v>406.44810541819857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332.16757199205392</v>
      </c>
      <c r="J87" s="20">
        <f>$G87*J76</f>
        <v>609.67215812729773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221.44504799470263</v>
      </c>
      <c r="J88" s="20">
        <f>$G88*J76</f>
        <v>406.44810541819857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8.8690174731158714E-2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221.44504799470263</v>
      </c>
      <c r="J90" s="20">
        <f>$G90*J76</f>
        <v>406.44810541819857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1993.0054319523235</v>
      </c>
      <c r="J91" s="20">
        <f>$G91*J76</f>
        <v>3658.0329487637869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22144.504799465725</v>
      </c>
      <c r="J92" s="20">
        <f>SUM(J80:J91)</f>
        <v>26768.277419460941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4.5365595724433661E-9</v>
      </c>
      <c r="J93" s="24">
        <f>J76-J92</f>
        <v>13876.533122358913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Ryan Gifford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Pacific Car Wash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4405 Pacific Ave.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Stockton, CA 95207-7601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240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240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240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240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240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22144.504799470262</v>
      </c>
      <c r="H138" s="169"/>
      <c r="I138" s="169">
        <f>J76</f>
        <v>40644.810541819854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22144.504799465725</v>
      </c>
      <c r="H139" s="169"/>
      <c r="I139" s="169">
        <f>J92</f>
        <v>26768.277419460941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4.5365595724433661E-9</v>
      </c>
      <c r="H140" s="169"/>
      <c r="I140" s="169">
        <f>J93</f>
        <v>13876.533122358913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4.5365595724433661E-9</v>
      </c>
      <c r="H143" s="169"/>
      <c r="I143" s="169">
        <f>I140-I141-I142</f>
        <v>13876.533122358913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Ryan Gifford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Pacific Car Wash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4405 Pacific Ave.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Stockton, CA 95207-7601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44149.149264705877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99335.585845588226</v>
      </c>
      <c r="J169" s="30">
        <f>IFERROR((I169/I$174),0)</f>
        <v>0.19999999999999998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66223.723897058822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99335.585845588226</v>
      </c>
      <c r="J171" s="30">
        <f t="shared" si="2"/>
        <v>0.19999999999999998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176596.59705882354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55186.43658088235</v>
      </c>
      <c r="J173" s="30">
        <f t="shared" si="2"/>
        <v>0.1111111111111111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496677.92922794115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-8940.2027261029398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487737.72650183819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14632.131795055146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30442.637937338735</v>
      </c>
      <c r="J179" s="30">
        <f t="shared" ref="J179:J196" si="3">IFERROR((I179/I$176),0)</f>
        <v>6.2416000000000006E-2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4877.3772650183819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2.4603386918757811E-2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0.33622004427697677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4877.3772650183819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4877.3772650183819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7316.0658975275728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4877.3772650183819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4.9206773837515622E-2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4877.3772650183819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43896.395385165437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320661.31734017888</v>
      </c>
      <c r="J190" s="30">
        <f t="shared" si="3"/>
        <v>0.65744620503325035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167076.40916165931</v>
      </c>
      <c r="J191" s="30">
        <f t="shared" si="3"/>
        <v>0.34255379496674965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167076.40916165931</v>
      </c>
      <c r="J196" s="30">
        <f t="shared" si="3"/>
        <v>0.34255379496674965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Ryan Gifford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Pacific Car Wash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4405 Pacific Ave.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Stockton, CA 95207-7601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58271.392663043487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131110.63349184784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87407.088994565216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131110.63349184784</v>
      </c>
      <c r="J222" s="30">
        <f t="shared" si="4"/>
        <v>0.2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233085.57065217395</v>
      </c>
      <c r="J223" s="30">
        <f t="shared" si="4"/>
        <v>0.35555555555555562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72839.240828804366</v>
      </c>
      <c r="J224" s="30">
        <f t="shared" si="4"/>
        <v>0.11111111111111113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655553.16745923914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-11799.957014266303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643753.21044497285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19312.596313349186</v>
      </c>
      <c r="J229" s="30">
        <f>IFERROR((I229/I$227),0)</f>
        <v>3.0000000000000002E-2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40180.500383133432</v>
      </c>
      <c r="J230" s="30">
        <f t="shared" ref="J230:J247" si="5">IFERROR((I230/I$227),0)</f>
        <v>6.2416000000000013E-2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6437.5321044497286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1.8640683736094149E-2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0.25473612766396825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6437.5321044497286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6437.5321044497286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9656.298156674593</v>
      </c>
      <c r="J236" s="30">
        <f t="shared" si="5"/>
        <v>1.5000000000000001E-2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6437.5321044497286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3.7281367472188298E-2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6437.5321044497286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57937.788940047554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359262.04431545344</v>
      </c>
      <c r="J241" s="30">
        <f t="shared" si="5"/>
        <v>0.55807417887225075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284491.16612951941</v>
      </c>
      <c r="J242" s="30">
        <f t="shared" si="5"/>
        <v>0.44192582112774925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284491.16612951941</v>
      </c>
      <c r="J247" s="30">
        <f t="shared" si="5"/>
        <v>0.44192582112774925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Ryan Gifford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Pacific Car Wash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4405 Pacific Ave.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Stockton, CA 95207-7601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65593.021764705889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147584.29897058825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98389.532647058833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147584.29897058825</v>
      </c>
      <c r="J273" s="30">
        <f t="shared" si="7"/>
        <v>0.2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262372.08705882356</v>
      </c>
      <c r="J274" s="30">
        <f t="shared" si="7"/>
        <v>0.35555555555555557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81991.277205882361</v>
      </c>
      <c r="J275" s="30">
        <f t="shared" si="7"/>
        <v>0.1111111111111111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737921.49485294125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-13282.586907352943</v>
      </c>
      <c r="J277" s="30">
        <f t="shared" si="7"/>
        <v>-1.8000000000000002E-2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724638.90794558835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21739.167238367649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45229.062078331845</v>
      </c>
      <c r="J281" s="30">
        <f t="shared" ref="J281:J298" si="8">IFERROR((I281/I$278),0)</f>
        <v>6.2416000000000006E-2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7246.3890794558838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1.6559971964548521E-2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0.22630195287873428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7246.3890794558838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7246.3890794558838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10869.583619183824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7246.3890794558838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3.3119943929097041E-2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7246.3890794558838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65217.501715102946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379274.46004826564</v>
      </c>
      <c r="J292" s="30">
        <f t="shared" si="8"/>
        <v>0.52339786877237982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345364.44789732271</v>
      </c>
      <c r="J293" s="30">
        <f t="shared" si="8"/>
        <v>0.47660213122762024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345364.44789732271</v>
      </c>
      <c r="J298" s="30">
        <f t="shared" si="8"/>
        <v>0.47660213122762024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Ryan Gifford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Pacific Car Wash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4405 Pacific Ave.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Stockton, CA 95207-7601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67992.766463414649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152983.72454268296</v>
      </c>
      <c r="J322" s="30">
        <f>IFERROR((I322/I$327),0)</f>
        <v>0.19999999999999998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101989.14969512197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152983.72454268296</v>
      </c>
      <c r="J324" s="30">
        <f t="shared" si="9"/>
        <v>0.19999999999999998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271971.0658536586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84990.958079268326</v>
      </c>
      <c r="J326" s="30">
        <f t="shared" si="9"/>
        <v>0.11111111111111113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764918.62271341484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-13768.535208841466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751150.0875045734</v>
      </c>
      <c r="J329" s="30">
        <f t="shared" si="9"/>
        <v>0.9820000000000001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22534.5026251372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46883.783861685457</v>
      </c>
      <c r="J332" s="30">
        <f t="shared" ref="J332:J344" si="10">IFERROR((I332/I$329),0)</f>
        <v>6.2416000000000006E-2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7511.5008750457346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1.5975502365799747E-2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0.21831482513007305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7511.5008750457346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7511.5008750457346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11267.2513125686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7511.5008750457346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3.1951004731599494E-2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7511.5008750457346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67603.507875411597</v>
      </c>
      <c r="J342" s="30">
        <f t="shared" si="10"/>
        <v>8.9999999999999983E-2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385833.75005003152</v>
      </c>
      <c r="J343" s="30">
        <f t="shared" si="10"/>
        <v>0.51365733222747223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365316.33745454188</v>
      </c>
      <c r="J344" s="30">
        <f t="shared" si="10"/>
        <v>0.48634266777252771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365316.33745454188</v>
      </c>
      <c r="J349" s="30">
        <f t="shared" si="11"/>
        <v>0.48634266777252771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Ryan Gifford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Pacific Car Wash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4405 Pacific Ave.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Stockton, CA 95207-7601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73360.616447368433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165061.38700657897</v>
      </c>
      <c r="J373" s="30">
        <f>IFERROR((I373/I$378),0)</f>
        <v>0.2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110040.92467105263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165061.38700657897</v>
      </c>
      <c r="J375" s="30">
        <f t="shared" si="13"/>
        <v>0.2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293442.46578947373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91700.770559210549</v>
      </c>
      <c r="J377" s="30">
        <f t="shared" si="13"/>
        <v>0.11111111111111112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825306.93503289483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-14855.524830592105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810451.41020230274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24313.542306069081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50585.13521918693</v>
      </c>
      <c r="J383" s="30">
        <f t="shared" ref="J383:J395" si="14">IFERROR((I383/I$380),0)</f>
        <v>6.2416000000000006E-2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8104.5141020230276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1.4806563168302207E-2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0.20234056963275066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8104.5141020230276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8104.5141020230276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12156.77115303454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8104.5141020230276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2.9613126336604415E-2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8104.5141020230276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72940.626918207243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400505.84610661294</v>
      </c>
      <c r="J394" s="30">
        <f t="shared" si="14"/>
        <v>0.49417625913765728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409945.5640956898</v>
      </c>
      <c r="J395" s="30">
        <f t="shared" si="14"/>
        <v>0.50582374086234272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409945.5640956898</v>
      </c>
      <c r="J400" s="30">
        <f t="shared" si="15"/>
        <v>0.50582374086234272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Ryan Gifford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Pacific Car Wash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4405 Pacific Ave.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Stockton, CA 95207-7601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ZI2uc2vs1yjmLxzfbnpi2bHS7J0AUObtKJVldDChrzqwuRjZhSzIUgJNCNebfImlbFHDMPaf81zDH7Dsn34meA==" saltValue="e9lEmx+NYkuFabZWv9QUi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2021-01-26T01:39:21Z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