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AA Enterprises\1615 SE Decker Ave., Stuart\"/>
    </mc:Choice>
  </mc:AlternateContent>
  <xr:revisionPtr revIDLastSave="0" documentId="8_{2617A02D-713A-4C60-80DE-6D23AD33B592}" xr6:coauthVersionLast="45" xr6:coauthVersionMax="45" xr10:uidLastSave="{00000000-0000-0000-0000-000000000000}"/>
  <workbookProtection workbookPassword="FB8D" lockStructure="1"/>
  <bookViews>
    <workbookView xWindow="59025" yWindow="238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<sst xmlns="http://schemas.openxmlformats.org/spreadsheetml/2006/main" count="435" uniqueCount="203">
  <si>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</si>
  <si>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</si>
  <si>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</si>
  <si>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</si>
  <si>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</si>
  <si>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</si>
  <si>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</si>
  <si>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</si>
  <si>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</si>
  <si>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</si>
  <si>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</si>
  <si>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</si>
  <si>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</si>
  <si>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</si>
  <si>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</si>
  <si>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</si>
  <si>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</si>
  <si>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</si>
  <si>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</si>
  <si>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</si>
  <si>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</si>
  <si>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</si>
  <si>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</si>
  <si>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</si>
  <si>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</si>
  <si>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</si>
  <si>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</si>
  <si>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</si>
  <si>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</si>
  <si>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</si>
  <si>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</si>
  <si>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</si>
  <si>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</si>
  <si>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</si>
  <si>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</si>
  <si>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</si>
  <si>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</si>
  <si>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</si>
  <si>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</si>
  <si>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</si>
  <si>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</si>
  <si>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</si>
  <si>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</si>
  <si>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</si>
  <si>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</si>
  <si>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</si>
  <si>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</si>
  <si>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</si>
  <si>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</si>
  <si>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</si>
  <si>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</si>
  <si>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</si>
  <si>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</si>
  <si>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</si>
  <si>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</si>
  <si>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</si>
  <si>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</si>
  <si>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</si>
  <si>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</si>
  <si>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</si>
  <si>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</si>
  <si>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</si>
  <si>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</si>
  <si>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</si>
  <si>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</si>
  <si>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</si>
  <si>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</si>
  <si>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</si>
  <si>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</si>
  <si>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</si>
  <si>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</si>
  <si>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</si>
  <si>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</si>
  <si>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</si>
  <si>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</si>
  <si>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</si>
  <si>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</si>
  <si>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</si>
  <si>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</si>
  <si>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</si>
  <si>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</si>
  <si>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</si>
  <si>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</si>
  <si>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</si>
  <si>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</si>
  <si>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</si>
  <si>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</si>
  <si>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</si>
  <si>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</si>
  <si>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</si>
  <si>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</si>
  <si>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</si>
  <si>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</si>
  <si>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</si>
  <si>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</si>
  <si>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</si>
  <si>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</si>
  <si>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</si>
  <si>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</si>
  <si>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</si>
  <si>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</si>
  <si>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</si>
  <si>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</si>
  <si>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</si>
  <si>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</si>
  <si>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</si>
  <si>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</si>
  <si>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</si>
  <si>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</si>
  <si>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</si>
  <si>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</si>
  <si>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</si>
  <si>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</si>
  <si>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</si>
  <si>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</si>
  <si>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</si>
  <si>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</si>
  <si>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</si>
  <si>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</si>
  <si>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</si>
  <si>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</si>
  <si>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</si>
  <si>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</si>
  <si>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</si>
  <si>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</si>
  <si>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</si>
  <si>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</si>
  <si>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</si>
  <si>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</si>
  <si>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</si>
  <si>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</si>
  <si>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</si>
  <si>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</si>
  <si>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</si>
  <si>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</si>
  <si>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</si>
  <si>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</si>
  <si>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</si>
  <si>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</si>
  <si>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</si>
  <si>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</si>
  <si>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</si>
  <si>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</si>
  <si>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</si>
  <si>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</si>
  <si>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</si>
  <si>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</si>
  <si>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</si>
  <si>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</si>
  <si>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</si>
  <si>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</si>
  <si>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</si>
  <si>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</si>
  <si>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</si>
  <si>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</si>
  <si>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</si>
  <si>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</si>
  <si>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</si>
  <si>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</si>
  <si>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</si>
  <si>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</si>
  <si>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</si>
  <si>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</si>
  <si>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</si>
  <si>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</si>
  <si>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</si>
  <si>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</si>
  <si>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</si>
  <si>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</si>
  <si>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</si>
  <si>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</si>
  <si>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</si>
  <si>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</si>
  <si>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</si>
  <si>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</si>
  <si>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</si>
  <si>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</si>
  <si>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</si>
  <si>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</si>
  <si>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</si>
  <si>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</si>
  <si>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</si>
  <si>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</si>
  <si>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</si>
  <si>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</si>
  <si>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</si>
  <si>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</si>
  <si>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</si>
  <si>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</si>
  <si>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</si>
  <si>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</si>
  <si>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</si>
  <si>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</si>
  <si>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</si>
  <si>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</si>
  <si>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</si>
  <si>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</si>
  <si>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</si>
  <si>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Anthony Analetto</t>
  </si>
  <si>
    <t>Rock 'N Roll Express Car Wash</t>
  </si>
  <si>
    <t>Monster Express Car Wash</t>
  </si>
  <si>
    <t>1615 SE Decker Ave.</t>
  </si>
  <si>
    <t>Stuart, FL 34994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</si>
</sst>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1</xdr:rowOff>
    </xdr:from>
    <xdr:to>
      <xdr:col>5</xdr:col>
      <xdr:colOff>73855</xdr:colOff>
      <xdr:row>39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754554-9E27-447B-A224-F70433365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5905501"/>
          <a:ext cx="1674055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1</xdr:rowOff>
    </xdr:from>
    <xdr:to>
      <xdr:col>8</xdr:col>
      <xdr:colOff>561975</xdr:colOff>
      <xdr:row>39</xdr:row>
      <xdr:rowOff>77725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3912AD-20FE-4D97-84CA-9973FD53D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5905501"/>
          <a:ext cx="2314575" cy="1049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5" zoomScaleNormal="100" workbookViewId="0">
      <selection activeCell="D94" sqref="D94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198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199</v>
      </c>
      <c r="C3" s="101"/>
      <c r="D3" s="102"/>
      <c r="E3" s="34"/>
      <c r="F3" s="34"/>
    </row>
    <row r="4" spans="1:9" ht="15.75" x14ac:dyDescent="0.25">
      <c r="A4" s="35" t="s">
        <v>13</v>
      </c>
      <c r="B4" s="100" t="s">
        <v>200</v>
      </c>
      <c r="C4" s="101"/>
      <c r="D4" s="102"/>
      <c r="E4" s="34"/>
      <c r="F4" s="34"/>
    </row>
    <row r="5" spans="1:9" ht="15.75" x14ac:dyDescent="0.25">
      <c r="A5" s="35" t="s">
        <v>14</v>
      </c>
      <c r="B5" s="100" t="s">
        <v>201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202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0.875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2.1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0.45800000000000002</v>
      </c>
      <c r="F58" s="61">
        <f>-0.3*(0.55-E58)</f>
        <v>-2.7600000000000006E-2</v>
      </c>
    </row>
    <row r="59" spans="1:8" ht="15.75" x14ac:dyDescent="0.25">
      <c r="A59" s="96" t="s">
        <v>3</v>
      </c>
      <c r="B59" s="97"/>
      <c r="C59" s="97"/>
      <c r="D59" s="98"/>
      <c r="E59" s="45">
        <v>0.71599999999999997</v>
      </c>
      <c r="F59" s="61">
        <f>-0.75*(0.5-E59)</f>
        <v>0.16199999999999998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3.3599999999999991E-2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7.4479999999999998E-3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9.8304347826086973E-3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1.1900000000000001E-2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39007</v>
      </c>
      <c r="B70" s="66">
        <v>0.02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87157.2408</v>
      </c>
      <c r="C74" s="68">
        <f>F65*A70*300</f>
        <v>115036.73086956523</v>
      </c>
      <c r="D74" s="68">
        <f>($F$54*(1+$F$61))/85*($A$70*(1+B$70))*300</f>
        <v>127000.55088000002</v>
      </c>
      <c r="E74" s="68">
        <f>($F$54*(1+$F$61))/82*($A$70*(1+C$70))*300</f>
        <v>130356.25649268295</v>
      </c>
      <c r="F74" s="68">
        <f>F66*(A70*(1+D70)*300)</f>
        <v>140647.5399</v>
      </c>
    </row>
    <row r="75" spans="1:6" ht="15.75" x14ac:dyDescent="0.25">
      <c r="A75" s="35" t="s">
        <v>106</v>
      </c>
      <c r="B75" s="68">
        <f>B74/12</f>
        <v>7263.1034</v>
      </c>
      <c r="C75" s="68">
        <f>C74/12</f>
        <v>9586.3942391304354</v>
      </c>
      <c r="D75" s="68">
        <f t="shared" ref="D75:F75" si="0">D74/12</f>
        <v>10583.379240000002</v>
      </c>
      <c r="E75" s="68">
        <f t="shared" si="0"/>
        <v>10863.021374390246</v>
      </c>
      <c r="F75" s="68">
        <f t="shared" si="0"/>
        <v>11720.628325</v>
      </c>
    </row>
    <row r="76" spans="1:6" ht="15.75" x14ac:dyDescent="0.25">
      <c r="A76" s="35" t="s">
        <v>107</v>
      </c>
      <c r="B76" s="68">
        <f>B75/4.5/7*3</f>
        <v>691.72413333333327</v>
      </c>
      <c r="C76" s="68">
        <f t="shared" ref="C76:F76" si="1">C75/4.5/7*3</f>
        <v>912.98992753623179</v>
      </c>
      <c r="D76" s="68">
        <f t="shared" si="1"/>
        <v>1007.9408800000002</v>
      </c>
      <c r="E76" s="68">
        <f t="shared" si="1"/>
        <v>1034.5734642276425</v>
      </c>
      <c r="F76" s="68">
        <f t="shared" si="1"/>
        <v>1116.2503166666665</v>
      </c>
    </row>
    <row r="77" spans="1:6" ht="15.75" x14ac:dyDescent="0.25">
      <c r="A77" s="35" t="s">
        <v>108</v>
      </c>
      <c r="B77" s="68">
        <f>IFERROR((B76/$B9*1.3),0)</f>
        <v>74.936781111111117</v>
      </c>
      <c r="C77" s="68">
        <f t="shared" ref="C77:F77" si="2">IFERROR((C76/$B9*1.3),0)</f>
        <v>98.90724214975846</v>
      </c>
      <c r="D77" s="68">
        <f t="shared" si="2"/>
        <v>109.19359533333336</v>
      </c>
      <c r="E77" s="68">
        <f t="shared" si="2"/>
        <v>112.07879195799461</v>
      </c>
      <c r="F77" s="68">
        <f t="shared" si="2"/>
        <v>120.92711763888887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A25" zoomScaleNormal="100" zoomScalePageLayoutView="130" workbookViewId="0">
      <selection activeCell="S27" sqref="S27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Anthony Analetto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Rock 'N Roll Express Car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 t="str">
        <f>'Input Form'!B4</f>
        <v>Monster Express Car Wash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1615 SE Decker Ave.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Stuart, FL 34994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196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Anthony Analetto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Rock 'N Roll Express Car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 t="str">
        <f>AddressLine1</f>
        <v>Monster Express Car Wash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1615 SE Decker Ave.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Stuart, FL 34994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2004.4810861703818</v>
      </c>
      <c r="J65" s="18">
        <f>'Input Form'!B75</f>
        <v>7263.1034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41">
        <f>'Input Form'!D19</f>
        <v>0.45</v>
      </c>
      <c r="H69" s="142"/>
      <c r="I69" s="20">
        <f>IFERROR((I$65*G69*F69),0)</f>
        <v>4510.0824438833588</v>
      </c>
      <c r="J69" s="20">
        <f>J$65*F69*G69</f>
        <v>16341.98265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3006.7216292555722</v>
      </c>
      <c r="J70" s="20">
        <f t="shared" ref="J70:J73" si="0">J$65*F70*G70</f>
        <v>10894.6551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4510.0824438833588</v>
      </c>
      <c r="J71" s="20">
        <f t="shared" si="0"/>
        <v>16341.98265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41">
        <f>'Input Form'!D22</f>
        <v>0.2</v>
      </c>
      <c r="H72" s="142"/>
      <c r="I72" s="20">
        <f t="shared" ref="I72:I73" si="1">I$65*G72*F72</f>
        <v>8017.9243446815281</v>
      </c>
      <c r="J72" s="20">
        <f t="shared" si="0"/>
        <v>29052.4136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41">
        <f>'Input Form'!D23</f>
        <v>0.05</v>
      </c>
      <c r="H73" s="142"/>
      <c r="I73" s="20">
        <f t="shared" si="1"/>
        <v>2505.6013577129775</v>
      </c>
      <c r="J73" s="20">
        <f t="shared" si="0"/>
        <v>9078.87925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22550.412219416794</v>
      </c>
      <c r="J74" s="20">
        <f>SUM(J69:J73)</f>
        <v>81709.913249999998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-405.90741994950224</v>
      </c>
      <c r="J75" s="20">
        <f>-(J74*$F75*$G75)</f>
        <v>-1470.7784385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22144.504799467293</v>
      </c>
      <c r="J76" s="20">
        <f>SUM(J74:J75)</f>
        <v>80239.1348115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11.047499999998479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664.33514398401883</v>
      </c>
      <c r="J80" s="20">
        <f>$G80*J76</f>
        <v>2407.1740443449999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6.2415999999999999E-2</v>
      </c>
      <c r="H81" s="164"/>
      <c r="I81" s="20">
        <f>G81*I76</f>
        <v>1382.1714115635505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5100.0059454120001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221.44504799467293</v>
      </c>
      <c r="J82" s="20">
        <f>$G82*J76</f>
        <v>802.39134811500003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4.4345087365585296E-2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0.60600222590314246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221.44504799467293</v>
      </c>
      <c r="J85" s="20">
        <f>$G85*J76</f>
        <v>802.39134811500003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221.44504799467293</v>
      </c>
      <c r="J86" s="20">
        <f>$G86*J76</f>
        <v>802.39134811500003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332.16757199200941</v>
      </c>
      <c r="J87" s="20">
        <f>$G87*J76</f>
        <v>1203.5870221724999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221.44504799467293</v>
      </c>
      <c r="J88" s="20">
        <f>$G88*J76</f>
        <v>802.39134811500003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8.8690174731170593E-2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221.44504799467293</v>
      </c>
      <c r="J90" s="20">
        <f>$G90*J76</f>
        <v>802.39134811500003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1993.0054319520564</v>
      </c>
      <c r="J91" s="20">
        <f>$G91*J76</f>
        <v>7221.5221330349996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22144.504799464998</v>
      </c>
      <c r="J92" s="20">
        <f>SUM(J80:J91)</f>
        <v>36609.8458855395</v>
      </c>
      <c r="K92" s="10"/>
    </row>
    <row r="93" spans="1:12" x14ac:dyDescent="0.2">
      <c r="A93" s="10"/>
      <c r="B93" s="116" t="s">
        <v>197</v>
      </c>
      <c r="C93" s="116"/>
      <c r="D93" s="116"/>
      <c r="E93" s="116"/>
      <c r="F93" s="116"/>
      <c r="G93" s="116"/>
      <c r="H93" s="116"/>
      <c r="I93" s="24">
        <f>I76-I92</f>
        <v>2.2955646272748709E-9</v>
      </c>
      <c r="J93" s="24">
        <f>J76-J92</f>
        <v>43629.2889259605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Anthony Analetto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Rock 'N Roll Express Car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 t="str">
        <f>AddressLine1</f>
        <v>Monster Express Car Wash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1615 SE Decker Ave.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Stuart, FL 34994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5.5E-2</v>
      </c>
      <c r="F125" s="154"/>
      <c r="G125" s="142">
        <f>'Input Form'!D89</f>
        <v>240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5.5E-2</v>
      </c>
      <c r="F126" s="154"/>
      <c r="G126" s="142">
        <f>'Input Form'!D90</f>
        <v>240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5.5E-2</v>
      </c>
      <c r="F127" s="154"/>
      <c r="G127" s="142">
        <f>'Input Form'!D91</f>
        <v>240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5.5E-2</v>
      </c>
      <c r="F128" s="154"/>
      <c r="G128" s="142">
        <f>'Input Form'!D92</f>
        <v>240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5.5E-2</v>
      </c>
      <c r="F129" s="154"/>
      <c r="G129" s="142">
        <f>'Input Form'!D93</f>
        <v>240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22144.504799467293</v>
      </c>
      <c r="H138" s="147"/>
      <c r="I138" s="147">
        <f>J76</f>
        <v>80239.1348115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22144.504799464998</v>
      </c>
      <c r="H139" s="147"/>
      <c r="I139" s="147">
        <f>J92</f>
        <v>36609.8458855395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2.2955646272748709E-9</v>
      </c>
      <c r="H140" s="147"/>
      <c r="I140" s="147">
        <f>J93</f>
        <v>43629.2889259605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2.2955646272748709E-9</v>
      </c>
      <c r="H143" s="147"/>
      <c r="I143" s="147">
        <f>I140-I141-I142</f>
        <v>43629.2889259605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Anthony Analetto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Rock 'N Roll Express Car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 t="str">
        <f>AddressLine1</f>
        <v>Monster Express Car Wash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1615 SE Decker Ave.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Stuart, FL 34994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87157.2408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41">
        <f>'Input Form'!$D$19</f>
        <v>0.45</v>
      </c>
      <c r="H169" s="142"/>
      <c r="I169" s="20">
        <f>I$166*F169*G169</f>
        <v>196103.79180000001</v>
      </c>
      <c r="J169" s="30">
        <f>IFERROR((I169/I$174),0)</f>
        <v>0.2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130735.8612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196103.79179999998</v>
      </c>
      <c r="J171" s="30">
        <f t="shared" si="2"/>
        <v>0.19999999999999998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41">
        <f>'Input Form'!$D$22</f>
        <v>0.2</v>
      </c>
      <c r="H172" s="142"/>
      <c r="I172" s="20">
        <f>I$166*F172*G172</f>
        <v>348628.96320000006</v>
      </c>
      <c r="J172" s="30">
        <f t="shared" si="2"/>
        <v>0.35555555555555562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41">
        <f>'Input Form'!$D$23</f>
        <v>0.05</v>
      </c>
      <c r="H173" s="142"/>
      <c r="I173" s="20">
        <f>I$166*F173*G173</f>
        <v>108946.55100000001</v>
      </c>
      <c r="J173" s="30">
        <f t="shared" si="2"/>
        <v>0.11111111111111112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980518.95900000003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-17649.341262000002</v>
      </c>
      <c r="J175" s="30">
        <f t="shared" si="2"/>
        <v>-1.8000000000000002E-2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962869.617738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28886.088532139998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60098.47006073501</v>
      </c>
      <c r="J179" s="30">
        <f t="shared" ref="J179:J196" si="3">IFERROR((I179/I$176),0)</f>
        <v>6.2415999999999999E-2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9628.6961773799994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1.2462746543182796E-2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0.17031090916051883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9628.6961773799994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9628.6961773799994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14443.044266069999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9628.6961773799994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2.4925493086365592E-2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9628.6961773799994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86658.265596419995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438216.54934226495</v>
      </c>
      <c r="J190" s="30">
        <f t="shared" si="3"/>
        <v>0.45511514879006715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524653.068395735</v>
      </c>
      <c r="J191" s="30">
        <f t="shared" si="3"/>
        <v>0.5448848512099328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524653.068395735</v>
      </c>
      <c r="J196" s="30">
        <f t="shared" si="3"/>
        <v>0.5448848512099328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Anthony Analetto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Rock 'N Roll Express Car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 t="str">
        <f>AddressLine1</f>
        <v>Monster Express Car Wash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1615 SE Decker Ave.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Stuart, FL 34994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115036.73086956523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41">
        <f>'Input Form'!$D$19</f>
        <v>0.45</v>
      </c>
      <c r="H220" s="142"/>
      <c r="I220" s="20">
        <f>I$217*F220*G220</f>
        <v>258832.64445652178</v>
      </c>
      <c r="J220" s="30">
        <f>IFERROR((I220/I$225),0)</f>
        <v>0.20000000000000004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172555.09630434783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258832.64445652178</v>
      </c>
      <c r="J222" s="30">
        <f t="shared" si="4"/>
        <v>0.20000000000000004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41">
        <f>'Input Form'!$D$22</f>
        <v>0.2</v>
      </c>
      <c r="H223" s="142"/>
      <c r="I223" s="20">
        <f>I$217*F223*G223</f>
        <v>460146.92347826093</v>
      </c>
      <c r="J223" s="30">
        <f t="shared" si="4"/>
        <v>0.35555555555555557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41">
        <f>'Input Form'!$D$23</f>
        <v>0.05</v>
      </c>
      <c r="H224" s="142"/>
      <c r="I224" s="20">
        <f>I$217*F224*G224</f>
        <v>143795.91358695654</v>
      </c>
      <c r="J224" s="30">
        <f t="shared" si="4"/>
        <v>0.11111111111111112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1294163.2222826087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-23294.938001086954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1270868.2842815218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38126.048528445652</v>
      </c>
      <c r="J229" s="30">
        <f>IFERROR((I229/I$227),0)</f>
        <v>0.03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79322.514831715467</v>
      </c>
      <c r="J230" s="30">
        <f t="shared" ref="J230:J247" si="5">IFERROR((I230/I$227),0)</f>
        <v>6.2415999999999999E-2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12708.682842815218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9.4423632633055532E-3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0.12903555941102837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12708.682842815218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12708.682842815218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19063.024264222826</v>
      </c>
      <c r="J236" s="30">
        <f t="shared" si="5"/>
        <v>1.4999999999999999E-2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12708.682842815218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1.8884726526611106E-2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12708.682842815218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114378.14558533696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514420.34742379707</v>
      </c>
      <c r="J241" s="30">
        <f t="shared" si="5"/>
        <v>0.40477864920094508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756447.9368577248</v>
      </c>
      <c r="J242" s="30">
        <f t="shared" si="5"/>
        <v>0.59522135079905492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756447.9368577248</v>
      </c>
      <c r="J247" s="30">
        <f t="shared" si="5"/>
        <v>0.59522135079905492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Anthony Analetto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Rock 'N Roll Express Car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 t="str">
        <f>AddressLine1</f>
        <v>Monster Express Car Wash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1615 SE Decker Ave.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Stuart, FL 34994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127000.55088000002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41">
        <f>'Input Form'!$D$19</f>
        <v>0.45</v>
      </c>
      <c r="H271" s="142"/>
      <c r="I271" s="20">
        <f>I$268*F271*G271</f>
        <v>285751.23948000005</v>
      </c>
      <c r="J271" s="30">
        <f>IFERROR((I271/I$276),0)</f>
        <v>0.19999999999999998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190500.82632000002</v>
      </c>
      <c r="J272" s="30">
        <f t="shared" ref="J272:J278" si="7">IFERROR((I272/I$276),0)</f>
        <v>0.1333333333333333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285751.23948000005</v>
      </c>
      <c r="J273" s="30">
        <f t="shared" si="7"/>
        <v>0.19999999999999998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41">
        <f>'Input Form'!$D$22</f>
        <v>0.2</v>
      </c>
      <c r="H274" s="142"/>
      <c r="I274" s="20">
        <f t="shared" si="6"/>
        <v>508002.2035200001</v>
      </c>
      <c r="J274" s="30">
        <f t="shared" si="7"/>
        <v>0.35555555555555551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41">
        <f>'Input Form'!$D$23</f>
        <v>0.05</v>
      </c>
      <c r="H275" s="142"/>
      <c r="I275" s="20">
        <f t="shared" si="6"/>
        <v>158750.68860000005</v>
      </c>
      <c r="J275" s="30">
        <f t="shared" si="7"/>
        <v>0.11111111111111112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1428756.1974000004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-25717.611553200008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1403038.5858468004</v>
      </c>
      <c r="J278" s="30">
        <f t="shared" si="7"/>
        <v>0.98199999999999998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42091.15757540401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87572.056374213891</v>
      </c>
      <c r="J281" s="30">
        <f t="shared" ref="J281:J298" si="8">IFERROR((I281/I$278),0)</f>
        <v>6.2415999999999999E-2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14030.385858468004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8.5528652747332897E-3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0.11688003569839525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14030.385858468004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14030.385858468004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21045.578787702005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14030.385858468004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1.7105730549466579E-2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14030.385858468004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126273.47272621203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547121.39475587197</v>
      </c>
      <c r="J292" s="30">
        <f t="shared" si="8"/>
        <v>0.38995463152259513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855917.19109092839</v>
      </c>
      <c r="J293" s="30">
        <f t="shared" si="8"/>
        <v>0.61004536847740487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855917.19109092839</v>
      </c>
      <c r="J298" s="30">
        <f t="shared" si="8"/>
        <v>0.61004536847740487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Anthony Analetto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Rock 'N Roll Express Car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 t="str">
        <f>AddressLine1</f>
        <v>Monster Express Car Wash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1615 SE Decker Ave.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Stuart, FL 34994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130356.25649268295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41">
        <f>'Input Form'!$D$19</f>
        <v>0.45</v>
      </c>
      <c r="H322" s="142"/>
      <c r="I322" s="20">
        <f>I$319*F322*G322</f>
        <v>293301.57710853661</v>
      </c>
      <c r="J322" s="30">
        <f>IFERROR((I322/I$327),0)</f>
        <v>0.2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195534.38473902442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293301.57710853661</v>
      </c>
      <c r="J324" s="30">
        <f t="shared" si="9"/>
        <v>0.2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41">
        <f>'Input Form'!$D$22</f>
        <v>0.2</v>
      </c>
      <c r="H325" s="142"/>
      <c r="I325" s="20">
        <f>I$319*F325*G325</f>
        <v>521425.0259707318</v>
      </c>
      <c r="J325" s="30">
        <f t="shared" si="9"/>
        <v>0.35555555555555557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41">
        <f>'Input Form'!$D$23</f>
        <v>0.05</v>
      </c>
      <c r="H326" s="142"/>
      <c r="I326" s="20">
        <f>I$319*F326*G326</f>
        <v>162945.32061585371</v>
      </c>
      <c r="J326" s="30">
        <f t="shared" si="9"/>
        <v>0.11111111111111113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1466507.8855426831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-26397.141939768291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1440110.7436029147</v>
      </c>
      <c r="J329" s="30">
        <f t="shared" si="9"/>
        <v>0.98199999999999998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43203.322308087438</v>
      </c>
      <c r="J331" s="30">
        <f>IFERROR((I331/I$329),0)</f>
        <v>2.9999999999999995E-2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89885.952172719524</v>
      </c>
      <c r="J332" s="30">
        <f t="shared" ref="J332:J344" si="10">IFERROR((I332/I$329),0)</f>
        <v>6.2415999999999999E-2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14401.107436029148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8.3326925052847108E-3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0.11387124270021876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14401.107436029148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14401.107436029148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21601.661154043719</v>
      </c>
      <c r="J338" s="30">
        <f t="shared" si="10"/>
        <v>1.4999999999999998E-2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14401.107436029148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1.6665385010569422E-2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14401.107436029148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129609.96692426232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556293.63973925868</v>
      </c>
      <c r="J343" s="30">
        <f t="shared" si="10"/>
        <v>0.38628532021607281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883817.10386365606</v>
      </c>
      <c r="J344" s="30">
        <f t="shared" si="10"/>
        <v>0.61371467978392713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883817.10386365606</v>
      </c>
      <c r="J349" s="30">
        <f t="shared" si="11"/>
        <v>0.61371467978392713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Anthony Analetto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Rock 'N Roll Express Car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 t="str">
        <f>AddressLine1</f>
        <v>Monster Express Car Wash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1615 SE Decker Ave.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Stuart, FL 34994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140647.5399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41">
        <f>'Input Form'!$D$19</f>
        <v>0.45</v>
      </c>
      <c r="H373" s="142"/>
      <c r="I373" s="20">
        <f>I$370*F373*G373</f>
        <v>316456.964775</v>
      </c>
      <c r="J373" s="30">
        <f>IFERROR((I373/I$378),0)</f>
        <v>0.20000000000000004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210971.30984999999</v>
      </c>
      <c r="J374" s="30">
        <f t="shared" ref="J374:J380" si="13">IFERROR((I374/I$378),0)</f>
        <v>0.13333333333333336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316456.96477499994</v>
      </c>
      <c r="J375" s="30">
        <f t="shared" si="13"/>
        <v>0.19999999999999998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41">
        <f>'Input Form'!$D$22</f>
        <v>0.2</v>
      </c>
      <c r="H376" s="142"/>
      <c r="I376" s="20">
        <f t="shared" si="12"/>
        <v>562590.15960000001</v>
      </c>
      <c r="J376" s="30">
        <f t="shared" si="13"/>
        <v>0.35555555555555562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41">
        <f>'Input Form'!$D$23</f>
        <v>0.05</v>
      </c>
      <c r="H377" s="142"/>
      <c r="I377" s="20">
        <f t="shared" si="12"/>
        <v>175809.42487500003</v>
      </c>
      <c r="J377" s="30">
        <f t="shared" si="13"/>
        <v>0.11111111111111115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1582284.8238749998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-28481.126829749996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1553803.6970452499</v>
      </c>
      <c r="J380" s="30">
        <f t="shared" si="13"/>
        <v>0.9820000000000001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46614.110911357493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96982.21155477631</v>
      </c>
      <c r="J383" s="30">
        <f t="shared" ref="J383:J395" si="14">IFERROR((I383/I$380),0)</f>
        <v>6.2415999999999999E-2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15538.036970452498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7.722983297580953E-3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0.10553920055142228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15538.036970452498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15538.036970452498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23307.055455678747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15538.036970452498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1.5445966595161906E-2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15538.036970452498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139842.33273407249</v>
      </c>
      <c r="J393" s="30">
        <f t="shared" si="14"/>
        <v>9.0000000000000011E-2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584423.09550814761</v>
      </c>
      <c r="J394" s="30">
        <f t="shared" si="14"/>
        <v>0.3761241504441652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969380.60153710225</v>
      </c>
      <c r="J395" s="30">
        <f t="shared" si="14"/>
        <v>0.62387584955583486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969380.60153710225</v>
      </c>
      <c r="J400" s="30">
        <f t="shared" si="15"/>
        <v>0.62387584955583486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Anthony Analetto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Rock 'N Roll Express Car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 t="str">
        <f>AddressLine1</f>
        <v>Monster Express Car Wash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1615 SE Decker Ave.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Stuart, FL 34994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aEbf5QkKKNsLcE+zFwKzkJ4F1LhKY4aIR1CRjFY3aAsRK+7b3OrjH7bbNeGcj/zJIePNzZYjFofj+WATNH7apw==" saltValue="SSHfDZZOXig7pDhu9YCu+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2020-07-02T20:03:54Z</cp:lastPrinted>
  <dcterms:created xsi:type="dcterms:W3CDTF">2003-04-06T16:14:55Z</dcterms:created>
  <dcterms:modified xsi:type="dcterms:W3CDTF">2020-11-13T20:28:12Z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