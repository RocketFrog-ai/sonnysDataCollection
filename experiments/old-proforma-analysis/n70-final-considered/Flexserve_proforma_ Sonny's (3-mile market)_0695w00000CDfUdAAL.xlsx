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Colorado\David Hamlin\29002 Crossroads Ln., Evergreen\"/>
    </mc:Choice>
  </mc:AlternateContent>
  <xr:revisionPtr revIDLastSave="0" documentId="8_{927F2D01-6200-4D26-A41E-61A5545CAEF7}" xr6:coauthVersionLast="45" xr6:coauthVersionMax="45" xr10:uidLastSave="{00000000-0000-0000-0000-000000000000}"/>
  <bookViews>
    <workbookView xWindow="61140" yWindow="3555" windowWidth="21600" windowHeight="11325" xr2:uid="{00000000-000D-0000-FFFF-FFFF00000000}"/>
  </bookViews>
  <sheets>
    <sheet name="Sheet1" sheetId="1" r:id="rId1"/>
  </sheets>
  <definedNames>
    <definedName name="ADDRESS">Sheet1!$C$6</definedName>
    <definedName name="CUSTOMER">Sheet1!$C$5</definedName>
    <definedName name="CUSTOMERNAME">Sheet1!$C$5</definedName>
    <definedName name="_xlnm.Print_Area" localSheetId="0">Sheet1!$A$1:$G$549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88" i="1" l="1"/>
  <c r="D166" i="1"/>
  <c r="E559" i="1" s="1"/>
  <c r="A108" i="1"/>
  <c r="E246" i="1"/>
  <c r="E427" i="1" s="1"/>
  <c r="U65" i="1"/>
  <c r="M65" i="1"/>
  <c r="O65" i="1"/>
  <c r="U68" i="1"/>
  <c r="U67" i="1"/>
  <c r="U66" i="1"/>
  <c r="U64" i="1"/>
  <c r="U63" i="1"/>
  <c r="U62" i="1"/>
  <c r="U61" i="1"/>
  <c r="U60" i="1"/>
  <c r="U59" i="1"/>
  <c r="U58" i="1"/>
  <c r="U57" i="1"/>
  <c r="U56" i="1"/>
  <c r="U54" i="1"/>
  <c r="U53" i="1"/>
  <c r="U52" i="1"/>
  <c r="E382" i="1"/>
  <c r="S14" i="1"/>
  <c r="S15" i="1"/>
  <c r="S16" i="1"/>
  <c r="S17" i="1"/>
  <c r="S18" i="1"/>
  <c r="S19" i="1"/>
  <c r="S20" i="1"/>
  <c r="S21" i="1"/>
  <c r="S22" i="1"/>
  <c r="S23" i="1"/>
  <c r="S24" i="1"/>
  <c r="S12" i="1"/>
  <c r="G22" i="1" s="1"/>
  <c r="S13" i="1"/>
  <c r="I117" i="1"/>
  <c r="H118" i="1"/>
  <c r="I118" i="1"/>
  <c r="G118" i="1" s="1"/>
  <c r="J131" i="1"/>
  <c r="H116" i="1"/>
  <c r="G115" i="1"/>
  <c r="I115" i="1"/>
  <c r="H117" i="1"/>
  <c r="I116" i="1"/>
  <c r="G116" i="1"/>
  <c r="A110" i="1"/>
  <c r="A111" i="1"/>
  <c r="A87" i="1"/>
  <c r="A89" i="1"/>
  <c r="A90" i="1"/>
  <c r="A93" i="1"/>
  <c r="A95" i="1"/>
  <c r="A98" i="1"/>
  <c r="A97" i="1"/>
  <c r="G96" i="1" s="1"/>
  <c r="A114" i="1"/>
  <c r="G109" i="1" s="1"/>
  <c r="A113" i="1"/>
  <c r="A119" i="1"/>
  <c r="A118" i="1"/>
  <c r="A82" i="1"/>
  <c r="A102" i="1"/>
  <c r="A106" i="1"/>
  <c r="S28" i="1"/>
  <c r="S27" i="1"/>
  <c r="S26" i="1"/>
  <c r="S25" i="1"/>
  <c r="S11" i="1"/>
  <c r="G18" i="1"/>
  <c r="D247" i="1"/>
  <c r="D428" i="1" s="1"/>
  <c r="D474" i="1"/>
  <c r="D520" i="1"/>
  <c r="E140" i="1"/>
  <c r="F140" i="1" s="1"/>
  <c r="G140" i="1" s="1"/>
  <c r="E247" i="1"/>
  <c r="E428" i="1" s="1"/>
  <c r="G268" i="1"/>
  <c r="G269" i="1"/>
  <c r="G30" i="1"/>
  <c r="G31" i="1"/>
  <c r="C286" i="1"/>
  <c r="F286" i="1"/>
  <c r="D296" i="1"/>
  <c r="G296" i="1" s="1"/>
  <c r="C287" i="1"/>
  <c r="C291" i="1" s="1"/>
  <c r="D297" i="1"/>
  <c r="D298" i="1"/>
  <c r="D299" i="1"/>
  <c r="D300" i="1"/>
  <c r="E300" i="1"/>
  <c r="D248" i="1"/>
  <c r="D429" i="1" s="1"/>
  <c r="D475" i="1"/>
  <c r="E248" i="1"/>
  <c r="E521" i="1" s="1"/>
  <c r="G32" i="1"/>
  <c r="E296" i="1"/>
  <c r="D286" i="1"/>
  <c r="E286" i="1"/>
  <c r="G286" i="1"/>
  <c r="E297" i="1"/>
  <c r="D287" i="1"/>
  <c r="E287" i="1" s="1"/>
  <c r="G287" i="1" s="1"/>
  <c r="E298" i="1"/>
  <c r="D288" i="1"/>
  <c r="E288" i="1" s="1"/>
  <c r="G288" i="1" s="1"/>
  <c r="C298" i="1" s="1"/>
  <c r="C288" i="1"/>
  <c r="E299" i="1"/>
  <c r="D289" i="1"/>
  <c r="E289" i="1"/>
  <c r="G289" i="1" s="1"/>
  <c r="C299" i="1" s="1"/>
  <c r="G299" i="1" s="1"/>
  <c r="C289" i="1"/>
  <c r="F289" i="1" s="1"/>
  <c r="D290" i="1"/>
  <c r="E290" i="1" s="1"/>
  <c r="G290" i="1" s="1"/>
  <c r="C300" i="1" s="1"/>
  <c r="G300" i="1" s="1"/>
  <c r="C290" i="1"/>
  <c r="G306" i="1"/>
  <c r="G307" i="1"/>
  <c r="G309" i="1" s="1"/>
  <c r="G308" i="1"/>
  <c r="A81" i="1"/>
  <c r="G83" i="1" s="1"/>
  <c r="A83" i="1"/>
  <c r="A85" i="1"/>
  <c r="A86" i="1"/>
  <c r="A91" i="1"/>
  <c r="G89" i="1"/>
  <c r="A94" i="1"/>
  <c r="G92" i="1"/>
  <c r="A99" i="1"/>
  <c r="A101" i="1"/>
  <c r="G99" i="1" s="1"/>
  <c r="A103" i="1"/>
  <c r="A105" i="1"/>
  <c r="A107" i="1"/>
  <c r="A109" i="1"/>
  <c r="G105" i="1" s="1"/>
  <c r="A115" i="1"/>
  <c r="A117" i="1"/>
  <c r="G112" i="1" s="1"/>
  <c r="D432" i="1"/>
  <c r="E432" i="1"/>
  <c r="M63" i="1"/>
  <c r="D524" i="1"/>
  <c r="E524" i="1"/>
  <c r="D478" i="1"/>
  <c r="E478" i="1"/>
  <c r="D386" i="1"/>
  <c r="E386" i="1"/>
  <c r="D340" i="1"/>
  <c r="E340" i="1"/>
  <c r="M52" i="1"/>
  <c r="M53" i="1"/>
  <c r="M54" i="1"/>
  <c r="M56" i="1"/>
  <c r="M57" i="1"/>
  <c r="M58" i="1"/>
  <c r="M59" i="1"/>
  <c r="M60" i="1"/>
  <c r="M61" i="1"/>
  <c r="M62" i="1"/>
  <c r="M64" i="1"/>
  <c r="M66" i="1"/>
  <c r="M67" i="1"/>
  <c r="M68" i="1"/>
  <c r="O52" i="1"/>
  <c r="O53" i="1"/>
  <c r="O54" i="1"/>
  <c r="O56" i="1"/>
  <c r="O57" i="1"/>
  <c r="O58" i="1"/>
  <c r="O59" i="1"/>
  <c r="O60" i="1"/>
  <c r="O61" i="1"/>
  <c r="O62" i="1"/>
  <c r="O63" i="1"/>
  <c r="O64" i="1"/>
  <c r="O66" i="1"/>
  <c r="O67" i="1"/>
  <c r="O68" i="1"/>
  <c r="Q52" i="1"/>
  <c r="Q53" i="1"/>
  <c r="Q54" i="1"/>
  <c r="Q56" i="1"/>
  <c r="Q57" i="1"/>
  <c r="Q58" i="1"/>
  <c r="Q59" i="1"/>
  <c r="Q60" i="1"/>
  <c r="Q61" i="1"/>
  <c r="Q62" i="1"/>
  <c r="Q63" i="1"/>
  <c r="Q64" i="1"/>
  <c r="Q66" i="1"/>
  <c r="Q67" i="1"/>
  <c r="Q68" i="1"/>
  <c r="K265" i="1"/>
  <c r="H119" i="1"/>
  <c r="I119" i="1"/>
  <c r="H120" i="1"/>
  <c r="S64" i="1"/>
  <c r="S52" i="1"/>
  <c r="S53" i="1"/>
  <c r="S54" i="1"/>
  <c r="S56" i="1"/>
  <c r="S57" i="1"/>
  <c r="S58" i="1"/>
  <c r="S59" i="1"/>
  <c r="S60" i="1"/>
  <c r="S61" i="1"/>
  <c r="S62" i="1"/>
  <c r="S63" i="1"/>
  <c r="S66" i="1"/>
  <c r="S67" i="1"/>
  <c r="S68" i="1"/>
  <c r="G12" i="1"/>
  <c r="C76" i="1"/>
  <c r="C77" i="1"/>
  <c r="A96" i="1"/>
  <c r="A104" i="1"/>
  <c r="C128" i="1"/>
  <c r="C129" i="1"/>
  <c r="E151" i="1"/>
  <c r="G151" i="1"/>
  <c r="C161" i="1"/>
  <c r="F151" i="1"/>
  <c r="F156" i="1" s="1"/>
  <c r="D156" i="1" s="1"/>
  <c r="D291" i="1" s="1"/>
  <c r="E152" i="1"/>
  <c r="G152" i="1" s="1"/>
  <c r="F152" i="1"/>
  <c r="E153" i="1"/>
  <c r="G153" i="1"/>
  <c r="C163" i="1" s="1"/>
  <c r="G163" i="1" s="1"/>
  <c r="F153" i="1"/>
  <c r="E154" i="1"/>
  <c r="G154" i="1" s="1"/>
  <c r="C164" i="1" s="1"/>
  <c r="G164" i="1" s="1"/>
  <c r="F154" i="1"/>
  <c r="E155" i="1"/>
  <c r="F155" i="1"/>
  <c r="G155" i="1"/>
  <c r="C165" i="1" s="1"/>
  <c r="G165" i="1" s="1"/>
  <c r="C156" i="1"/>
  <c r="G174" i="1"/>
  <c r="B201" i="1"/>
  <c r="B203" i="1"/>
  <c r="C236" i="1"/>
  <c r="C237" i="1"/>
  <c r="C279" i="1"/>
  <c r="C280" i="1"/>
  <c r="F288" i="1"/>
  <c r="C325" i="1"/>
  <c r="C326" i="1"/>
  <c r="C371" i="1"/>
  <c r="C372" i="1"/>
  <c r="C417" i="1"/>
  <c r="C418" i="1"/>
  <c r="C463" i="1"/>
  <c r="C464" i="1"/>
  <c r="C509" i="1"/>
  <c r="C510" i="1"/>
  <c r="C555" i="1"/>
  <c r="C556" i="1"/>
  <c r="F354" i="1"/>
  <c r="F400" i="1"/>
  <c r="F446" i="1"/>
  <c r="F492" i="1"/>
  <c r="F538" i="1"/>
  <c r="F355" i="1"/>
  <c r="F401" i="1"/>
  <c r="F447" i="1"/>
  <c r="F493" i="1"/>
  <c r="F539" i="1"/>
  <c r="G161" i="1"/>
  <c r="C296" i="1"/>
  <c r="G25" i="1"/>
  <c r="F257" i="1" s="1"/>
  <c r="G257" i="1"/>
  <c r="G86" i="1"/>
  <c r="G117" i="1" l="1"/>
  <c r="G298" i="1"/>
  <c r="G120" i="1"/>
  <c r="E381" i="1"/>
  <c r="G102" i="1"/>
  <c r="E336" i="1"/>
  <c r="D337" i="1"/>
  <c r="D383" i="1"/>
  <c r="O69" i="1"/>
  <c r="C63" i="1" s="1"/>
  <c r="D63" i="1" s="1"/>
  <c r="E63" i="1" s="1"/>
  <c r="F63" i="1" s="1"/>
  <c r="G63" i="1" s="1"/>
  <c r="U69" i="1"/>
  <c r="C66" i="1" s="1"/>
  <c r="D66" i="1" s="1"/>
  <c r="E66" i="1" s="1"/>
  <c r="F66" i="1" s="1"/>
  <c r="G66" i="1" s="1"/>
  <c r="S69" i="1"/>
  <c r="C65" i="1" s="1"/>
  <c r="D65" i="1" s="1"/>
  <c r="E65" i="1" s="1"/>
  <c r="F65" i="1" s="1"/>
  <c r="G65" i="1" s="1"/>
  <c r="Q69" i="1"/>
  <c r="C64" i="1" s="1"/>
  <c r="D64" i="1" s="1"/>
  <c r="E64" i="1" s="1"/>
  <c r="F64" i="1" s="1"/>
  <c r="G64" i="1" s="1"/>
  <c r="M69" i="1"/>
  <c r="C62" i="1" s="1"/>
  <c r="D62" i="1" s="1"/>
  <c r="E62" i="1" s="1"/>
  <c r="F62" i="1" s="1"/>
  <c r="G62" i="1" s="1"/>
  <c r="F408" i="1"/>
  <c r="G316" i="1"/>
  <c r="F500" i="1"/>
  <c r="F454" i="1"/>
  <c r="F546" i="1"/>
  <c r="F362" i="1"/>
  <c r="F316" i="1"/>
  <c r="F343" i="1"/>
  <c r="F389" i="1"/>
  <c r="F435" i="1" s="1"/>
  <c r="F481" i="1" s="1"/>
  <c r="F527" i="1" s="1"/>
  <c r="G156" i="1"/>
  <c r="E156" i="1" s="1"/>
  <c r="C162" i="1"/>
  <c r="G162" i="1" s="1"/>
  <c r="G166" i="1" s="1"/>
  <c r="F264" i="1"/>
  <c r="G264" i="1"/>
  <c r="C297" i="1"/>
  <c r="G297" i="1" s="1"/>
  <c r="G291" i="1"/>
  <c r="E291" i="1" s="1"/>
  <c r="E561" i="1"/>
  <c r="J564" i="1"/>
  <c r="G113" i="1"/>
  <c r="F287" i="1"/>
  <c r="F291" i="1" s="1"/>
  <c r="E473" i="1"/>
  <c r="E519" i="1"/>
  <c r="E383" i="1"/>
  <c r="D382" i="1"/>
  <c r="F290" i="1"/>
  <c r="E335" i="1"/>
  <c r="D521" i="1"/>
  <c r="E429" i="1"/>
  <c r="E475" i="1"/>
  <c r="D336" i="1"/>
  <c r="E474" i="1"/>
  <c r="E520" i="1"/>
  <c r="E337" i="1"/>
  <c r="G301" i="1" l="1"/>
  <c r="G315" i="1" s="1"/>
  <c r="F350" i="1"/>
  <c r="F396" i="1"/>
  <c r="F442" i="1" s="1"/>
  <c r="F488" i="1" s="1"/>
  <c r="F534" i="1" s="1"/>
  <c r="H121" i="1"/>
  <c r="H122" i="1"/>
  <c r="C301" i="1"/>
  <c r="C166" i="1"/>
  <c r="J554" i="1"/>
  <c r="A559" i="1"/>
  <c r="F499" i="1" l="1"/>
  <c r="F501" i="1" s="1"/>
  <c r="K268" i="1"/>
  <c r="F361" i="1"/>
  <c r="F363" i="1" s="1"/>
  <c r="F407" i="1"/>
  <c r="F409" i="1" s="1"/>
  <c r="F545" i="1"/>
  <c r="F547" i="1" s="1"/>
  <c r="F453" i="1"/>
  <c r="F455" i="1" s="1"/>
  <c r="F315" i="1"/>
  <c r="G122" i="1"/>
  <c r="F143" i="1"/>
  <c r="G143" i="1"/>
  <c r="D143" i="1"/>
  <c r="G123" i="1"/>
  <c r="E143" i="1"/>
  <c r="C143" i="1"/>
  <c r="G121" i="1"/>
  <c r="F423" i="1" l="1"/>
  <c r="E144" i="1"/>
  <c r="E145" i="1" s="1"/>
  <c r="E146" i="1" s="1"/>
  <c r="D144" i="1"/>
  <c r="D145" i="1" s="1"/>
  <c r="D146" i="1" s="1"/>
  <c r="F377" i="1"/>
  <c r="C144" i="1"/>
  <c r="F331" i="1"/>
  <c r="G144" i="1"/>
  <c r="G145" i="1" s="1"/>
  <c r="G146" i="1" s="1"/>
  <c r="F515" i="1"/>
  <c r="F144" i="1"/>
  <c r="F145" i="1" s="1"/>
  <c r="F146" i="1" s="1"/>
  <c r="F469" i="1"/>
  <c r="H515" i="1" l="1"/>
  <c r="K529" i="1"/>
  <c r="F528" i="1" s="1"/>
  <c r="H516" i="1"/>
  <c r="H514" i="1"/>
  <c r="H517" i="1"/>
  <c r="H518" i="1"/>
  <c r="F521" i="1"/>
  <c r="F520" i="1"/>
  <c r="C145" i="1"/>
  <c r="C146" i="1" s="1"/>
  <c r="G242" i="1"/>
  <c r="H379" i="1"/>
  <c r="H377" i="1"/>
  <c r="F382" i="1"/>
  <c r="H380" i="1"/>
  <c r="K391" i="1"/>
  <c r="F390" i="1" s="1"/>
  <c r="H376" i="1"/>
  <c r="H378" i="1"/>
  <c r="F383" i="1"/>
  <c r="F336" i="1"/>
  <c r="K345" i="1"/>
  <c r="F344" i="1" s="1"/>
  <c r="F337" i="1"/>
  <c r="F475" i="1"/>
  <c r="H470" i="1"/>
  <c r="H471" i="1"/>
  <c r="H472" i="1"/>
  <c r="H469" i="1"/>
  <c r="H468" i="1"/>
  <c r="K483" i="1"/>
  <c r="F482" i="1" s="1"/>
  <c r="F474" i="1"/>
  <c r="H424" i="1"/>
  <c r="H426" i="1"/>
  <c r="F429" i="1"/>
  <c r="H423" i="1"/>
  <c r="K437" i="1"/>
  <c r="F436" i="1" s="1"/>
  <c r="H425" i="1"/>
  <c r="H422" i="1"/>
  <c r="F428" i="1"/>
  <c r="F430" i="1" l="1"/>
  <c r="F476" i="1"/>
  <c r="H519" i="1"/>
  <c r="H520" i="1" s="1"/>
  <c r="D519" i="1" s="1"/>
  <c r="F519" i="1" s="1"/>
  <c r="F522" i="1"/>
  <c r="H473" i="1"/>
  <c r="H474" i="1" s="1"/>
  <c r="D473" i="1" s="1"/>
  <c r="F473" i="1" s="1"/>
  <c r="F338" i="1"/>
  <c r="H427" i="1"/>
  <c r="H428" i="1" s="1"/>
  <c r="D427" i="1" s="1"/>
  <c r="F427" i="1" s="1"/>
  <c r="F384" i="1"/>
  <c r="H381" i="1"/>
  <c r="H382" i="1" s="1"/>
  <c r="D381" i="1" s="1"/>
  <c r="F381" i="1" s="1"/>
  <c r="H41" i="1"/>
  <c r="G247" i="1"/>
  <c r="K259" i="1"/>
  <c r="H39" i="1"/>
  <c r="H42" i="1"/>
  <c r="H43" i="1"/>
  <c r="H40" i="1"/>
  <c r="G248" i="1"/>
  <c r="H44" i="1" l="1"/>
  <c r="D246" i="1" s="1"/>
  <c r="D335" i="1" s="1"/>
  <c r="F335" i="1" s="1"/>
  <c r="G258" i="1"/>
  <c r="G249" i="1"/>
  <c r="F523" i="1"/>
  <c r="F431" i="1"/>
  <c r="F385" i="1"/>
  <c r="F477" i="1"/>
  <c r="G246" i="1" l="1"/>
  <c r="G250" i="1" s="1"/>
  <c r="G251" i="1" s="1"/>
  <c r="F339" i="1"/>
  <c r="F432" i="1"/>
  <c r="F433" i="1" s="1"/>
  <c r="F524" i="1"/>
  <c r="F386" i="1"/>
  <c r="F478" i="1"/>
  <c r="G252" i="1" l="1"/>
  <c r="G253" i="1" s="1"/>
  <c r="K270" i="1" s="1"/>
  <c r="G447" i="1"/>
  <c r="F441" i="1"/>
  <c r="G441" i="1" s="1"/>
  <c r="F448" i="1"/>
  <c r="G448" i="1" s="1"/>
  <c r="F437" i="1"/>
  <c r="F440" i="1"/>
  <c r="G440" i="1" s="1"/>
  <c r="F443" i="1"/>
  <c r="G443" i="1" s="1"/>
  <c r="F445" i="1"/>
  <c r="G445" i="1" s="1"/>
  <c r="G433" i="1"/>
  <c r="F444" i="1"/>
  <c r="G444" i="1" s="1"/>
  <c r="G435" i="1"/>
  <c r="F439" i="1"/>
  <c r="G439" i="1" s="1"/>
  <c r="G446" i="1"/>
  <c r="G453" i="1"/>
  <c r="G454" i="1"/>
  <c r="F438" i="1"/>
  <c r="G438" i="1" s="1"/>
  <c r="G442" i="1"/>
  <c r="G429" i="1"/>
  <c r="G428" i="1"/>
  <c r="G436" i="1"/>
  <c r="G430" i="1"/>
  <c r="G427" i="1"/>
  <c r="G431" i="1"/>
  <c r="F479" i="1"/>
  <c r="G478" i="1" s="1"/>
  <c r="G432" i="1"/>
  <c r="F525" i="1"/>
  <c r="F387" i="1"/>
  <c r="F340" i="1"/>
  <c r="G455" i="1" l="1"/>
  <c r="G254" i="1"/>
  <c r="G263" i="1" s="1"/>
  <c r="G259" i="1"/>
  <c r="G437" i="1"/>
  <c r="F449" i="1"/>
  <c r="G545" i="1"/>
  <c r="F537" i="1"/>
  <c r="G537" i="1" s="1"/>
  <c r="G538" i="1"/>
  <c r="F531" i="1"/>
  <c r="G531" i="1" s="1"/>
  <c r="F535" i="1"/>
  <c r="G535" i="1" s="1"/>
  <c r="F530" i="1"/>
  <c r="G530" i="1" s="1"/>
  <c r="F532" i="1"/>
  <c r="G532" i="1" s="1"/>
  <c r="F540" i="1"/>
  <c r="G540" i="1" s="1"/>
  <c r="G527" i="1"/>
  <c r="G534" i="1"/>
  <c r="F529" i="1"/>
  <c r="F536" i="1"/>
  <c r="G536" i="1" s="1"/>
  <c r="F533" i="1"/>
  <c r="G533" i="1" s="1"/>
  <c r="G546" i="1"/>
  <c r="G539" i="1"/>
  <c r="G525" i="1"/>
  <c r="G528" i="1"/>
  <c r="G521" i="1"/>
  <c r="G520" i="1"/>
  <c r="G522" i="1"/>
  <c r="G519" i="1"/>
  <c r="G523" i="1"/>
  <c r="F392" i="1"/>
  <c r="G392" i="1" s="1"/>
  <c r="G408" i="1"/>
  <c r="F399" i="1"/>
  <c r="G399" i="1" s="1"/>
  <c r="F402" i="1"/>
  <c r="G402" i="1" s="1"/>
  <c r="F393" i="1"/>
  <c r="G393" i="1" s="1"/>
  <c r="G389" i="1"/>
  <c r="G407" i="1"/>
  <c r="G401" i="1"/>
  <c r="G396" i="1"/>
  <c r="G387" i="1"/>
  <c r="F391" i="1"/>
  <c r="F398" i="1"/>
  <c r="G398" i="1" s="1"/>
  <c r="G400" i="1"/>
  <c r="F397" i="1"/>
  <c r="G397" i="1" s="1"/>
  <c r="F395" i="1"/>
  <c r="G395" i="1" s="1"/>
  <c r="F394" i="1"/>
  <c r="G394" i="1" s="1"/>
  <c r="G390" i="1"/>
  <c r="G382" i="1"/>
  <c r="G383" i="1"/>
  <c r="G381" i="1"/>
  <c r="G384" i="1"/>
  <c r="G385" i="1"/>
  <c r="G524" i="1"/>
  <c r="F341" i="1"/>
  <c r="G340" i="1" s="1"/>
  <c r="F483" i="1"/>
  <c r="G500" i="1"/>
  <c r="G481" i="1"/>
  <c r="F487" i="1"/>
  <c r="G487" i="1" s="1"/>
  <c r="F491" i="1"/>
  <c r="G491" i="1" s="1"/>
  <c r="F490" i="1"/>
  <c r="G490" i="1" s="1"/>
  <c r="F489" i="1"/>
  <c r="G489" i="1" s="1"/>
  <c r="F484" i="1"/>
  <c r="G484" i="1" s="1"/>
  <c r="G479" i="1"/>
  <c r="G499" i="1"/>
  <c r="G501" i="1" s="1"/>
  <c r="G492" i="1"/>
  <c r="F486" i="1"/>
  <c r="G486" i="1" s="1"/>
  <c r="F485" i="1"/>
  <c r="G485" i="1" s="1"/>
  <c r="F494" i="1"/>
  <c r="G494" i="1" s="1"/>
  <c r="G493" i="1"/>
  <c r="G488" i="1"/>
  <c r="G482" i="1"/>
  <c r="G475" i="1"/>
  <c r="G474" i="1"/>
  <c r="G473" i="1"/>
  <c r="G476" i="1"/>
  <c r="G477" i="1"/>
  <c r="G386" i="1"/>
  <c r="G547" i="1" l="1"/>
  <c r="G409" i="1"/>
  <c r="G312" i="1"/>
  <c r="G267" i="1"/>
  <c r="G260" i="1"/>
  <c r="G270" i="1"/>
  <c r="G262" i="1"/>
  <c r="G261" i="1"/>
  <c r="E258" i="1"/>
  <c r="K264" i="1" s="1"/>
  <c r="K266" i="1" s="1"/>
  <c r="F242" i="1" s="1"/>
  <c r="G265" i="1"/>
  <c r="G266" i="1"/>
  <c r="G529" i="1"/>
  <c r="F541" i="1"/>
  <c r="G483" i="1"/>
  <c r="F495" i="1"/>
  <c r="G391" i="1"/>
  <c r="F403" i="1"/>
  <c r="G350" i="1"/>
  <c r="G355" i="1"/>
  <c r="G362" i="1"/>
  <c r="F353" i="1"/>
  <c r="G353" i="1" s="1"/>
  <c r="G341" i="1"/>
  <c r="F348" i="1"/>
  <c r="G348" i="1" s="1"/>
  <c r="G361" i="1"/>
  <c r="F351" i="1"/>
  <c r="G351" i="1" s="1"/>
  <c r="G354" i="1"/>
  <c r="F356" i="1"/>
  <c r="G356" i="1" s="1"/>
  <c r="G343" i="1"/>
  <c r="F345" i="1"/>
  <c r="F346" i="1"/>
  <c r="G346" i="1" s="1"/>
  <c r="F347" i="1"/>
  <c r="G347" i="1" s="1"/>
  <c r="F349" i="1"/>
  <c r="G349" i="1" s="1"/>
  <c r="F352" i="1"/>
  <c r="G352" i="1" s="1"/>
  <c r="G336" i="1"/>
  <c r="G337" i="1"/>
  <c r="G344" i="1"/>
  <c r="G338" i="1"/>
  <c r="G335" i="1"/>
  <c r="G339" i="1"/>
  <c r="G449" i="1"/>
  <c r="F451" i="1"/>
  <c r="G271" i="1" l="1"/>
  <c r="G313" i="1" s="1"/>
  <c r="G314" i="1" s="1"/>
  <c r="G318" i="1" s="1"/>
  <c r="G363" i="1"/>
  <c r="G495" i="1"/>
  <c r="F497" i="1"/>
  <c r="G403" i="1"/>
  <c r="F405" i="1"/>
  <c r="F248" i="1"/>
  <c r="F247" i="1"/>
  <c r="F246" i="1"/>
  <c r="G541" i="1"/>
  <c r="F543" i="1"/>
  <c r="G345" i="1"/>
  <c r="F357" i="1"/>
  <c r="G451" i="1"/>
  <c r="F457" i="1"/>
  <c r="J567" i="1"/>
  <c r="G273" i="1" l="1"/>
  <c r="F249" i="1"/>
  <c r="J566" i="1"/>
  <c r="F411" i="1"/>
  <c r="G405" i="1"/>
  <c r="G357" i="1"/>
  <c r="F359" i="1"/>
  <c r="F250" i="1"/>
  <c r="F251" i="1" s="1"/>
  <c r="H246" i="1"/>
  <c r="G497" i="1"/>
  <c r="J568" i="1"/>
  <c r="F503" i="1"/>
  <c r="A562" i="1"/>
  <c r="D562" i="1" s="1"/>
  <c r="J558" i="1"/>
  <c r="G457" i="1"/>
  <c r="J569" i="1"/>
  <c r="F549" i="1"/>
  <c r="G543" i="1"/>
  <c r="F252" i="1" l="1"/>
  <c r="G549" i="1"/>
  <c r="J560" i="1"/>
  <c r="A563" i="1"/>
  <c r="D563" i="1" s="1"/>
  <c r="G411" i="1"/>
  <c r="J557" i="1"/>
  <c r="J565" i="1"/>
  <c r="G558" i="1" s="1"/>
  <c r="G359" i="1"/>
  <c r="F365" i="1"/>
  <c r="G503" i="1"/>
  <c r="J559" i="1"/>
  <c r="A561" i="1" l="1"/>
  <c r="D561" i="1" s="1"/>
  <c r="J556" i="1"/>
  <c r="G365" i="1"/>
  <c r="F259" i="1"/>
  <c r="F253" i="1"/>
  <c r="F254" i="1"/>
  <c r="F258" i="1"/>
  <c r="E269" i="1" l="1"/>
  <c r="E257" i="1"/>
  <c r="F266" i="1"/>
  <c r="F267" i="1"/>
  <c r="F260" i="1"/>
  <c r="F263" i="1"/>
  <c r="F262" i="1"/>
  <c r="E264" i="1"/>
  <c r="F265" i="1"/>
  <c r="F312" i="1"/>
  <c r="E268" i="1"/>
  <c r="H268" i="1"/>
  <c r="F261" i="1"/>
  <c r="F270" i="1"/>
  <c r="F271" i="1" l="1"/>
  <c r="F313" i="1" s="1"/>
  <c r="F314" i="1" s="1"/>
  <c r="F318" i="1" s="1"/>
  <c r="F27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randre</author>
  </authors>
  <commentList>
    <comment ref="K259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randre: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<sst xmlns="http://schemas.openxmlformats.org/spreadsheetml/2006/main" count="761" uniqueCount="326">
  <si>
    <t>CUSTOMER</t>
  </si>
  <si>
    <t>ADDRESS</t>
  </si>
  <si>
    <t>AREA</t>
  </si>
  <si>
    <t>PROFILE</t>
  </si>
  <si>
    <t>(Enter the number one "1" in the block that best matches your site)</t>
  </si>
  <si>
    <t>SHOPPING</t>
  </si>
  <si>
    <t>BUSINESS</t>
  </si>
  <si>
    <t>RESIDENTIAL</t>
  </si>
  <si>
    <t>INDUSTRIAL</t>
  </si>
  <si>
    <t>SITE</t>
  </si>
  <si>
    <t>SCORE</t>
  </si>
  <si>
    <t xml:space="preserve">TYPE OF </t>
  </si>
  <si>
    <t>COMPETITION</t>
  </si>
  <si>
    <t>NEAREST</t>
  </si>
  <si>
    <t>LESS THAN</t>
  </si>
  <si>
    <t>4 MILES</t>
  </si>
  <si>
    <t>2 MILES</t>
  </si>
  <si>
    <t>HOURS OF</t>
  </si>
  <si>
    <t>OPERATION</t>
  </si>
  <si>
    <t>WEEKLY</t>
  </si>
  <si>
    <t>MORE THAN</t>
  </si>
  <si>
    <t>70 HOURS</t>
  </si>
  <si>
    <t>60 HOURS</t>
  </si>
  <si>
    <t>CORNER LOT</t>
  </si>
  <si>
    <t>WITH LIGHT</t>
  </si>
  <si>
    <t>WITHOUT LIGHT</t>
  </si>
  <si>
    <t>INSIDE LOT</t>
  </si>
  <si>
    <t>NEAR LIGHT</t>
  </si>
  <si>
    <t>NO LIGHT</t>
  </si>
  <si>
    <t>ACCESSIBILITY</t>
  </si>
  <si>
    <t>EASY IN &amp;</t>
  </si>
  <si>
    <t>EASY OUT</t>
  </si>
  <si>
    <t>EASY IN OR</t>
  </si>
  <si>
    <t>EASY IN /OUT</t>
  </si>
  <si>
    <t>WITH DIVIDED</t>
  </si>
  <si>
    <t>HIGHWAY</t>
  </si>
  <si>
    <t>ONE WAY</t>
  </si>
  <si>
    <t>DIFFICULT</t>
  </si>
  <si>
    <t xml:space="preserve">IN AND </t>
  </si>
  <si>
    <t>OUT</t>
  </si>
  <si>
    <t>STACK UP</t>
  </si>
  <si>
    <t>20 VEHICLES</t>
  </si>
  <si>
    <t>15 VEHICLES</t>
  </si>
  <si>
    <t>NUMBER OF</t>
  </si>
  <si>
    <t>VACUUM SLOTS</t>
  </si>
  <si>
    <t>VISIBILITY</t>
  </si>
  <si>
    <t>500 FEET BOTH</t>
  </si>
  <si>
    <t>DIRECTIONS</t>
  </si>
  <si>
    <t>400 FEET BOTH</t>
  </si>
  <si>
    <t>300 FEET BOTH</t>
  </si>
  <si>
    <t>10 VEHICLES</t>
  </si>
  <si>
    <t>SITE-SPECIFIC FACTORS</t>
  </si>
  <si>
    <t xml:space="preserve">TRAFFIC </t>
  </si>
  <si>
    <t>SPEED</t>
  </si>
  <si>
    <t>30 MPH</t>
  </si>
  <si>
    <t>40 MPH</t>
  </si>
  <si>
    <t>50  MPH</t>
  </si>
  <si>
    <t>50 MPH</t>
  </si>
  <si>
    <t>CUMULATIVE SITE SCORE:</t>
  </si>
  <si>
    <t>DEMOGRAPHIC COMPONENTS</t>
  </si>
  <si>
    <t>CUMULATIVE DEMOGRAPHIC SCORE:</t>
  </si>
  <si>
    <t>FIRST YEAR - START UP- TARGET SCORE:</t>
  </si>
  <si>
    <t>REVENUE</t>
  </si>
  <si>
    <t xml:space="preserve">PRICE PER </t>
  </si>
  <si>
    <t>UNIT</t>
  </si>
  <si>
    <t>PERCENTAGE</t>
  </si>
  <si>
    <t>OF CUSTOMERS</t>
  </si>
  <si>
    <t>SERVICE DESCRIPTION</t>
  </si>
  <si>
    <t>MENU PACKAGE #1</t>
  </si>
  <si>
    <t>MENU PACKAGE #2</t>
  </si>
  <si>
    <t>ON-LINE</t>
  </si>
  <si>
    <t xml:space="preserve">  TOTAL  REVENUE </t>
  </si>
  <si>
    <t xml:space="preserve">ADV. &amp; PROMOTION </t>
  </si>
  <si>
    <t>REAL ESTATE TAX</t>
  </si>
  <si>
    <t>OPERATIONAL EXPENSE</t>
  </si>
  <si>
    <t>EXPENSE DESCRIPTION</t>
  </si>
  <si>
    <t>% OF SALES</t>
  </si>
  <si>
    <t xml:space="preserve">UTILITIES </t>
  </si>
  <si>
    <t xml:space="preserve">CUSTOMER CLAIMS </t>
  </si>
  <si>
    <t>LICENSE &amp; TAXES</t>
  </si>
  <si>
    <t xml:space="preserve">REFUSE COLLECTION </t>
  </si>
  <si>
    <t xml:space="preserve">INSURANCE </t>
  </si>
  <si>
    <t>REPAIRS &amp; MAINTENANCE</t>
  </si>
  <si>
    <t>LEGAL &amp; PROFESSIONAL FEES</t>
  </si>
  <si>
    <t xml:space="preserve">  TOTAL OPERATIONAL EXPENSE</t>
  </si>
  <si>
    <t>CAR WASH ACQUISITION BUDGET</t>
  </si>
  <si>
    <t>% OWNER</t>
  </si>
  <si>
    <t>INVESTMENT</t>
  </si>
  <si>
    <t>% BANK DEBT</t>
  </si>
  <si>
    <t>COVERAGE</t>
  </si>
  <si>
    <t>TOTAL</t>
  </si>
  <si>
    <t>ITEM</t>
  </si>
  <si>
    <t>OWNER</t>
  </si>
  <si>
    <t>BANK DEBT</t>
  </si>
  <si>
    <t>LAND</t>
  </si>
  <si>
    <t>BUILDING</t>
  </si>
  <si>
    <t>SOFT COST</t>
  </si>
  <si>
    <t>EQUIPMENT</t>
  </si>
  <si>
    <t>PROJECT COST</t>
  </si>
  <si>
    <t>BANK DEBT ALLOCATION</t>
  </si>
  <si>
    <t>INTEREST</t>
  </si>
  <si>
    <t>RATE</t>
  </si>
  <si>
    <t>TERM OF</t>
  </si>
  <si>
    <t>MONTHLY</t>
  </si>
  <si>
    <t>PAYMENT</t>
  </si>
  <si>
    <t>LOAN (IN  MONTHS)</t>
  </si>
  <si>
    <t>TOTAL DEBT</t>
  </si>
  <si>
    <t>LEASE PAYMENTS</t>
  </si>
  <si>
    <t>TOTAL LEASE PAYMENTS</t>
  </si>
  <si>
    <t>CASH FLOW SUMMARY</t>
  </si>
  <si>
    <t xml:space="preserve">  LESS BANK DEBT</t>
  </si>
  <si>
    <t xml:space="preserve">  LESS  LEASE PAYMENTS</t>
  </si>
  <si>
    <t>NET CASH FLOW PER MONTH</t>
  </si>
  <si>
    <t>shadow</t>
  </si>
  <si>
    <t>Page 2</t>
  </si>
  <si>
    <t>PREPARED FOR</t>
  </si>
  <si>
    <t>LEASED ITEMS</t>
  </si>
  <si>
    <t>Page 1</t>
  </si>
  <si>
    <t>NUMBER OF FREE</t>
  </si>
  <si>
    <t>EXTERIOR CAR WASH</t>
  </si>
  <si>
    <t>ENTRANCE</t>
  </si>
  <si>
    <t xml:space="preserve">  BANK &amp; CREDIT CARD FEES</t>
  </si>
  <si>
    <t>.</t>
  </si>
  <si>
    <t>NORTHERN CLIMATE OVERHEAD</t>
  </si>
  <si>
    <t>% OF POPULATION 25 TO 65 ( TARGET: 55%)</t>
  </si>
  <si>
    <t>BASE PRICE OF CAR WASH</t>
  </si>
  <si>
    <t>MONDAY THRU</t>
  </si>
  <si>
    <t>FRIDAY</t>
  </si>
  <si>
    <t>THURSDAY</t>
  </si>
  <si>
    <t>SATURDAY</t>
  </si>
  <si>
    <t>SUNDAY</t>
  </si>
  <si>
    <t>TOTAL HOURS</t>
  </si>
  <si>
    <t>OPEN WEEKLY</t>
  </si>
  <si>
    <t>TOTAL MAN-</t>
  </si>
  <si>
    <t>HRS. / WEEK</t>
  </si>
  <si>
    <t>MANAGER</t>
  </si>
  <si>
    <t xml:space="preserve">MANAGER'S </t>
  </si>
  <si>
    <t xml:space="preserve">HOURS ON </t>
  </si>
  <si>
    <t>DUTY</t>
  </si>
  <si>
    <t>ASST.MGR'S</t>
  </si>
  <si>
    <t>SHIFT HOURLY ASSISTANT(S)</t>
  </si>
  <si>
    <t xml:space="preserve">RATE OF </t>
  </si>
  <si>
    <t>HOURLY</t>
  </si>
  <si>
    <t>COMPENSATION</t>
  </si>
  <si>
    <t>RATE ($)</t>
  </si>
  <si>
    <t>BURDEN (%)</t>
  </si>
  <si>
    <t>HRLY TOTAL</t>
  </si>
  <si>
    <t xml:space="preserve">To determine an hourly rate for managers or assistant managers who are paid on a weekly rate, </t>
  </si>
  <si>
    <t>the rates of social security, workman's compensation and other payroll taxes and overhead.</t>
  </si>
  <si>
    <t>divide their weekly rate by the number of hours expected on the job.  To determine burden, total</t>
  </si>
  <si>
    <t>Data Input Page 1</t>
  </si>
  <si>
    <t>To determine the hours of operation:  Decide the opening and closing times each day; example:</t>
  </si>
  <si>
    <t>YEAR</t>
  </si>
  <si>
    <t>TWO</t>
  </si>
  <si>
    <t>THREE</t>
  </si>
  <si>
    <t>FOUR</t>
  </si>
  <si>
    <t>FIVE</t>
  </si>
  <si>
    <t>MENU PKG #1</t>
  </si>
  <si>
    <t>MENU PKG #2</t>
  </si>
  <si>
    <t>MENU PKG #3</t>
  </si>
  <si>
    <t>EXT. CAR WASH</t>
  </si>
  <si>
    <t>UNIT CHANGES</t>
  </si>
  <si>
    <t xml:space="preserve">FOR YEARS </t>
  </si>
  <si>
    <t>TWO THROUGH</t>
  </si>
  <si>
    <t>Depending on the economic conditions present which may be stable, declining or improving, the</t>
  </si>
  <si>
    <t>value of services can be expected to increase after year one as repeat customers understand and</t>
  </si>
  <si>
    <t>validate the value of the services offered against the relative cost for the service.</t>
  </si>
  <si>
    <t>Data Input Page 2</t>
  </si>
  <si>
    <t>Data Input Page 3</t>
  </si>
  <si>
    <t xml:space="preserve">Site traffic counts will generally increase each year reflecting growth in the area.  Please estimate </t>
  </si>
  <si>
    <t>centage of the base year above:  Example:  a 2% growth with be input as 102.00%</t>
  </si>
  <si>
    <t>ESTIMATED TRAFFIC COUNT IN BOTH DIRECTIONS FOR A 24 HOUR PERIOD</t>
  </si>
  <si>
    <t>SECOND YEAR TARGET SCORE:</t>
  </si>
  <si>
    <t>the growth rate for years three through five in the space provided below.  Indicate the rate as a per-</t>
  </si>
  <si>
    <t>ESTIMATE TRAFFIC FLOW INCREASE IN %:</t>
  </si>
  <si>
    <t>YEAR 3</t>
  </si>
  <si>
    <t>YEAR 4</t>
  </si>
  <si>
    <t>YEAR 5</t>
  </si>
  <si>
    <t>INPUT PERCENTAGE:</t>
  </si>
  <si>
    <t>EFFECTIVE TRAFFIC COUNT ESTIMATE:</t>
  </si>
  <si>
    <t>TRAFFIC COUNT INFORMATION AND VOLUME PROJECTIONS</t>
  </si>
  <si>
    <t>YEAR 1</t>
  </si>
  <si>
    <t>YEAR 2</t>
  </si>
  <si>
    <t>VOLUME</t>
  </si>
  <si>
    <t>ESTIMATES</t>
  </si>
  <si>
    <t>YEARLY</t>
  </si>
  <si>
    <t>MAX DAILY</t>
  </si>
  <si>
    <t>MAX HOUR</t>
  </si>
  <si>
    <t xml:space="preserve">WASH AND </t>
  </si>
  <si>
    <t>UPGRADE</t>
  </si>
  <si>
    <t>PRICING</t>
  </si>
  <si>
    <t>BREAK EVEN</t>
  </si>
  <si>
    <t>BREAK EVEN ANALYSIS</t>
  </si>
  <si>
    <t xml:space="preserve">  NET MONTHLY OPERATIONAL CASH FLOW</t>
  </si>
  <si>
    <t>SHIFT PERSONNEL</t>
  </si>
  <si>
    <t>ASSISTANT MANAGER(S)</t>
  </si>
  <si>
    <t>EXPECTED</t>
  </si>
  <si>
    <t>AVERAGE MONTHLY</t>
  </si>
  <si>
    <t>C130</t>
  </si>
  <si>
    <t>MANAGER &amp; ASSISTANT MANAGERS</t>
  </si>
  <si>
    <t>LINE LABOR &amp; ASSISTANTS</t>
  </si>
  <si>
    <t>var</t>
  </si>
  <si>
    <t>fixed</t>
  </si>
  <si>
    <t>gm</t>
  </si>
  <si>
    <t>ASSUMED RATE OF ANNUAL INCREASE IN RATE OF COMPENSATION</t>
  </si>
  <si>
    <t>Page 3</t>
  </si>
  <si>
    <t>MONTHLY WASH VOLUME</t>
  </si>
  <si>
    <t>ANNUAL WASH VOLUME</t>
  </si>
  <si>
    <t>PERCENTAGE OF</t>
  </si>
  <si>
    <t xml:space="preserve">  ON-LINE</t>
  </si>
  <si>
    <t xml:space="preserve">  SERVICE DESCRIPTION</t>
  </si>
  <si>
    <t>FIXED FACILITY EXPENSE</t>
  </si>
  <si>
    <t>TOTAL DEBT PAYMENTS</t>
  </si>
  <si>
    <t xml:space="preserve">  TOTAL FIXED FACILITY EXPENSE</t>
  </si>
  <si>
    <t xml:space="preserve">NET CASH FLOW FOR YEAR </t>
  </si>
  <si>
    <t>Page 4</t>
  </si>
  <si>
    <t>Page 5</t>
  </si>
  <si>
    <t>Page 6</t>
  </si>
  <si>
    <t>Page 7</t>
  </si>
  <si>
    <t>CASH FLOW PROJECTIONS</t>
  </si>
  <si>
    <t xml:space="preserve">  NET OPERATIONAL CASH FLOW</t>
  </si>
  <si>
    <t>Page 8</t>
  </si>
  <si>
    <t>Page 9</t>
  </si>
  <si>
    <t>INITIAL CASH INVESTMENT</t>
  </si>
  <si>
    <t>INITIAL CAPITOL INVESTMENT</t>
  </si>
  <si>
    <t>RETURN FIRST YEAR</t>
  </si>
  <si>
    <t>RETURN SECOND YEAR</t>
  </si>
  <si>
    <t>RETURN THIRD YEAR</t>
  </si>
  <si>
    <t>RETURN FOURTH YEAR</t>
  </si>
  <si>
    <t>RETURN FIFTH YEAR</t>
  </si>
  <si>
    <t>ANNUAL INTEREST RATE</t>
  </si>
  <si>
    <t>REINVESTMENT INTEREST RATE</t>
  </si>
  <si>
    <t>COMPLETION OF SHIFT CHANGE DUTIES AND MAINTENANCE.</t>
  </si>
  <si>
    <t>CHEMICAL &amp; SUPPLIES</t>
  </si>
  <si>
    <t>CHEMICAL COST</t>
  </si>
  <si>
    <t>PER VEHICLE</t>
  </si>
  <si>
    <t>ONE</t>
  </si>
  <si>
    <t>PRESOAK #1</t>
  </si>
  <si>
    <t>PRESOAK #2</t>
  </si>
  <si>
    <t>SHAMPOO FOAMER #1</t>
  </si>
  <si>
    <t>SHAMPOO FOAMER #2</t>
  </si>
  <si>
    <t xml:space="preserve">WRAP FOAMER </t>
  </si>
  <si>
    <t>CTA ON-LINE</t>
  </si>
  <si>
    <t>MAG WHEEL ON-LINE</t>
  </si>
  <si>
    <t>POLISH</t>
  </si>
  <si>
    <t>TRI COLOR</t>
  </si>
  <si>
    <t>SEALER</t>
  </si>
  <si>
    <t>CLEAR COAT</t>
  </si>
  <si>
    <t>DRYING AGENT</t>
  </si>
  <si>
    <t>Total Chemical Cost Per Wash</t>
  </si>
  <si>
    <t>TIRE SHINE APPLICATION</t>
  </si>
  <si>
    <t>CHEMICAL APPLICATIONS</t>
  </si>
  <si>
    <t>MENU PKG 1</t>
  </si>
  <si>
    <t>QTY</t>
  </si>
  <si>
    <t>COST</t>
  </si>
  <si>
    <t>MENU PKG 2</t>
  </si>
  <si>
    <t>MENU PKG 3</t>
  </si>
  <si>
    <t>MENU PKG 4</t>
  </si>
  <si>
    <t>Typically, the senior manager is always on duty the two busiest days, Friday, Saturday.</t>
  </si>
  <si>
    <t>employees on Friday, Saturday, and Sunday.</t>
  </si>
  <si>
    <t xml:space="preserve">MENU PACKAGE #3 </t>
  </si>
  <si>
    <t>TOTAL BODY PROTEHTANT</t>
  </si>
  <si>
    <t>Sun.</t>
  </si>
  <si>
    <t>Mon.</t>
  </si>
  <si>
    <t>Tues.</t>
  </si>
  <si>
    <t>Wed.</t>
  </si>
  <si>
    <t>Thurs</t>
  </si>
  <si>
    <t>Fri.</t>
  </si>
  <si>
    <t>Sat.</t>
  </si>
  <si>
    <t>Store Mgr.</t>
  </si>
  <si>
    <t>Asst. Mgr. 1</t>
  </si>
  <si>
    <t>Asst. Mgr. 2</t>
  </si>
  <si>
    <t>Attend. 1</t>
  </si>
  <si>
    <t>Attend. 2</t>
  </si>
  <si>
    <t>Attend. 3</t>
  </si>
  <si>
    <t>Total Hr.</t>
  </si>
  <si>
    <t>SHOWN TO THE RIGHT IS A 7:00 AM UNTIL 9:00 PM SAMPLE SCHEDULE.  OVERLAPS ARE PROVIDED FOR</t>
  </si>
  <si>
    <t>COST PER CAR</t>
  </si>
  <si>
    <t>chemical applications necessary for that package.  Once you have refined that service offering list,</t>
  </si>
  <si>
    <t xml:space="preserve"> you can obtain chemical cost estimates from suppliers.  Use the calculator to the right.</t>
  </si>
  <si>
    <t>ENTER A 1 IN THE QTY BOX IF CHEMICAL IS USED.</t>
  </si>
  <si>
    <t>PRO FORMA PROCESSING DATA</t>
  </si>
  <si>
    <t>Proper staffing requires at least two employees on site at all times. The Schedule should allow for three</t>
  </si>
  <si>
    <t xml:space="preserve">To determine your chemical you must first determine the services you plan to provide as well as the </t>
  </si>
  <si>
    <t>WATER SOFTENER SUPPLIES</t>
  </si>
  <si>
    <t>UTILITIES = ELECTRIC, WATER, PHONE</t>
  </si>
  <si>
    <t>MATURE TARGET SCORE</t>
  </si>
  <si>
    <t>FULL SERVICE UP-GRADE</t>
  </si>
  <si>
    <t>EXPRESS DETAIL</t>
  </si>
  <si>
    <t>AVERAGE HOUSEHOLD SIZE ( TARGET SIZE:  2.25)</t>
  </si>
  <si>
    <t xml:space="preserve">DETAIL AND CAR WASH SUPPLIES </t>
  </si>
  <si>
    <t>TOTAL OFF-LINE REVENUE</t>
  </si>
  <si>
    <t xml:space="preserve">TOTAL ON-LINE REVENUE </t>
  </si>
  <si>
    <t>BANK &amp; CREDIT CARD FEES</t>
  </si>
  <si>
    <t>NET REVENUE</t>
  </si>
  <si>
    <t xml:space="preserve">  NET REVENUE PER CAR</t>
  </si>
  <si>
    <t>FULL SERVICE-UP GRADE</t>
  </si>
  <si>
    <t>TOTAL OFF-LINE REVUNE</t>
  </si>
  <si>
    <t xml:space="preserve">  TOTAL ON-LINE  REVENUE</t>
  </si>
  <si>
    <t>TOTAL OFF-LINE REVEUNE</t>
  </si>
  <si>
    <t xml:space="preserve">  TOTAL ON-LINE REVENUE</t>
  </si>
  <si>
    <t>Line worker</t>
  </si>
  <si>
    <t>FLEX-SERVICE Car Wash Pro Forma</t>
  </si>
  <si>
    <t>Generally, a base wash and three up-grade packages are the standard offering at the flex-service</t>
  </si>
  <si>
    <t>car wash. Enter unit price and percentage of customers. Note-Percentages must equal 100%</t>
  </si>
  <si>
    <t>customers expected to buy service.</t>
  </si>
  <si>
    <t>DETAIL AND CAR WASH SUPPLIES</t>
  </si>
  <si>
    <t xml:space="preserve">Full service up-grade and express detail prices are on top of wash price. Enter total percent of wash </t>
  </si>
  <si>
    <t>% OF HOUSEHOLDS WITH INCOMES &gt; $50,000 (TARGET: 50%)</t>
  </si>
  <si>
    <t>SERVICE ADVISOR(S)</t>
  </si>
  <si>
    <t>PAY STATIONS</t>
  </si>
  <si>
    <t>PAY STATION/</t>
  </si>
  <si>
    <t>off</t>
  </si>
  <si>
    <t>MENU PACKAGE #4</t>
  </si>
  <si>
    <t>MENU PKG #4</t>
  </si>
  <si>
    <t>COIN or NONE</t>
  </si>
  <si>
    <t xml:space="preserve"> FLEX-SERVICE Car Wash Pro Forma</t>
  </si>
  <si>
    <t xml:space="preserve"> CASH ON CASH RETURN</t>
  </si>
  <si>
    <t>5 YEAR MODIFIED INTERNAL RATE OF RETURN</t>
  </si>
  <si>
    <t>INITIAL CAPITAL INVESTMENT</t>
  </si>
  <si>
    <t>RETURN FITH YEAR</t>
  </si>
  <si>
    <t>ONE IN</t>
  </si>
  <si>
    <t>MUTIPLE IN</t>
  </si>
  <si>
    <t>MULTIPLE IN</t>
  </si>
  <si>
    <t>Evergreen Car Wash</t>
  </si>
  <si>
    <t>29002 Crossroads Ln., Evergreen, CO 80439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</si>
</sst>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0.0"/>
    <numFmt numFmtId="165" formatCode="0.0%"/>
    <numFmt numFmtId="166" formatCode="_(&quot;$&quot;* #,##0.0000_);_(&quot;$&quot;* \(#,##0.0000\);_(&quot;$&quot;* &quot;-&quot;????_);_(@_)"/>
  </numFmts>
  <fonts count="46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i/>
      <sz val="14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b/>
      <sz val="7"/>
      <name val="Verdana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name val="Verdana"/>
      <family val="2"/>
    </font>
    <font>
      <sz val="7"/>
      <name val="Verdana"/>
      <family val="2"/>
    </font>
    <font>
      <b/>
      <sz val="14"/>
      <name val="Verdana"/>
      <family val="2"/>
    </font>
    <font>
      <sz val="10"/>
      <name val="Arial"/>
      <family val="2"/>
    </font>
    <font>
      <sz val="14"/>
      <name val="Verdana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6"/>
      <name val="Verdana"/>
      <family val="2"/>
    </font>
    <font>
      <sz val="10"/>
      <name val="Arial"/>
      <family val="2"/>
    </font>
    <font>
      <b/>
      <sz val="15"/>
      <name val="Verdana"/>
      <family val="2"/>
    </font>
    <font>
      <sz val="10"/>
      <name val="Arial"/>
      <family val="2"/>
    </font>
    <font>
      <b/>
      <sz val="12"/>
      <name val="Verdana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9"/>
      <name val="Verdana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0"/>
      <color indexed="8"/>
      <name val="Verdana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b/>
      <sz val="16"/>
      <color theme="1"/>
      <name val="Verdana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0"/>
      <color theme="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2" borderId="0" xfId="0" applyFont="1" applyFill="1"/>
    <xf numFmtId="0" fontId="5" fillId="2" borderId="0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7" fillId="0" borderId="5" xfId="0" applyFont="1" applyBorder="1" applyAlignment="1">
      <alignment horizontal="left"/>
    </xf>
    <xf numFmtId="0" fontId="8" fillId="2" borderId="0" xfId="0" applyFont="1" applyFill="1"/>
    <xf numFmtId="0" fontId="8" fillId="2" borderId="0" xfId="0" applyFont="1" applyFill="1" applyProtection="1"/>
    <xf numFmtId="0" fontId="8" fillId="0" borderId="0" xfId="0" applyFont="1"/>
    <xf numFmtId="44" fontId="1" fillId="2" borderId="0" xfId="1" applyFont="1" applyFill="1"/>
    <xf numFmtId="0" fontId="1" fillId="2" borderId="0" xfId="0" applyFont="1" applyFill="1" applyProtection="1"/>
    <xf numFmtId="0" fontId="1" fillId="0" borderId="0" xfId="0" applyFont="1"/>
    <xf numFmtId="0" fontId="5" fillId="2" borderId="0" xfId="0" applyFont="1" applyFill="1"/>
    <xf numFmtId="0" fontId="1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/>
    <xf numFmtId="44" fontId="6" fillId="2" borderId="0" xfId="1" applyFont="1" applyFill="1"/>
    <xf numFmtId="0" fontId="6" fillId="2" borderId="0" xfId="0" applyFont="1" applyFill="1" applyProtection="1"/>
    <xf numFmtId="0" fontId="6" fillId="0" borderId="0" xfId="0" applyFont="1"/>
    <xf numFmtId="0" fontId="12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13" fillId="2" borderId="0" xfId="0" applyFont="1" applyFill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0" borderId="7" xfId="0" applyFont="1" applyBorder="1" applyAlignment="1">
      <alignment vertical="top" wrapText="1"/>
    </xf>
    <xf numFmtId="44" fontId="4" fillId="2" borderId="0" xfId="1" applyFont="1" applyFill="1"/>
    <xf numFmtId="0" fontId="4" fillId="2" borderId="0" xfId="0" applyFont="1" applyFill="1" applyProtection="1"/>
    <xf numFmtId="0" fontId="4" fillId="0" borderId="0" xfId="0" applyFont="1"/>
    <xf numFmtId="0" fontId="14" fillId="2" borderId="8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3" fillId="0" borderId="4" xfId="0" applyFont="1" applyBorder="1" applyAlignment="1" applyProtection="1">
      <alignment vertical="top" wrapText="1"/>
      <protection locked="0"/>
    </xf>
    <xf numFmtId="0" fontId="14" fillId="2" borderId="2" xfId="0" applyFont="1" applyFill="1" applyBorder="1"/>
    <xf numFmtId="164" fontId="5" fillId="3" borderId="1" xfId="4" applyNumberFormat="1" applyFont="1" applyFill="1" applyBorder="1" applyAlignment="1" applyProtection="1">
      <alignment horizontal="center"/>
      <protection locked="0"/>
    </xf>
    <xf numFmtId="164" fontId="5" fillId="2" borderId="1" xfId="0" applyNumberFormat="1" applyFont="1" applyFill="1" applyBorder="1" applyAlignment="1">
      <alignment horizontal="center"/>
    </xf>
    <xf numFmtId="0" fontId="15" fillId="2" borderId="0" xfId="0" applyFont="1" applyFill="1"/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1" fontId="5" fillId="0" borderId="12" xfId="4" applyNumberFormat="1" applyFont="1" applyFill="1" applyBorder="1" applyAlignment="1" applyProtection="1">
      <alignment horizontal="center"/>
      <protection locked="0"/>
    </xf>
    <xf numFmtId="1" fontId="5" fillId="0" borderId="0" xfId="4" applyNumberFormat="1" applyFont="1" applyFill="1" applyBorder="1" applyAlignment="1" applyProtection="1">
      <alignment horizontal="center"/>
      <protection locked="0"/>
    </xf>
    <xf numFmtId="1" fontId="5" fillId="0" borderId="13" xfId="4" applyNumberFormat="1" applyFont="1" applyFill="1" applyBorder="1" applyAlignment="1" applyProtection="1">
      <alignment horizontal="center"/>
      <protection locked="0"/>
    </xf>
    <xf numFmtId="1" fontId="5" fillId="2" borderId="7" xfId="0" applyNumberFormat="1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1" fontId="5" fillId="0" borderId="14" xfId="4" applyNumberFormat="1" applyFont="1" applyFill="1" applyBorder="1" applyAlignment="1" applyProtection="1">
      <alignment horizontal="center"/>
      <protection locked="0"/>
    </xf>
    <xf numFmtId="1" fontId="5" fillId="0" borderId="3" xfId="4" applyNumberFormat="1" applyFont="1" applyFill="1" applyBorder="1" applyAlignment="1" applyProtection="1">
      <alignment horizontal="center"/>
      <protection locked="0"/>
    </xf>
    <xf numFmtId="1" fontId="5" fillId="0" borderId="4" xfId="4" applyNumberFormat="1" applyFont="1" applyFill="1" applyBorder="1" applyAlignment="1" applyProtection="1">
      <alignment horizontal="center"/>
      <protection locked="0"/>
    </xf>
    <xf numFmtId="44" fontId="15" fillId="2" borderId="0" xfId="1" applyFont="1" applyFill="1"/>
    <xf numFmtId="0" fontId="15" fillId="2" borderId="0" xfId="0" applyFont="1" applyFill="1" applyProtection="1"/>
    <xf numFmtId="0" fontId="15" fillId="0" borderId="0" xfId="0" applyFont="1"/>
    <xf numFmtId="0" fontId="15" fillId="0" borderId="6" xfId="0" applyFont="1" applyBorder="1"/>
    <xf numFmtId="0" fontId="15" fillId="0" borderId="15" xfId="0" applyFont="1" applyBorder="1"/>
    <xf numFmtId="0" fontId="15" fillId="0" borderId="7" xfId="0" applyFont="1" applyBorder="1"/>
    <xf numFmtId="0" fontId="17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5" fillId="0" borderId="15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44" fontId="15" fillId="3" borderId="1" xfId="1" applyFont="1" applyFill="1" applyBorder="1" applyProtection="1">
      <protection locked="0"/>
    </xf>
    <xf numFmtId="10" fontId="15" fillId="3" borderId="1" xfId="0" applyNumberFormat="1" applyFont="1" applyFill="1" applyBorder="1" applyProtection="1">
      <protection locked="0"/>
    </xf>
    <xf numFmtId="44" fontId="15" fillId="0" borderId="1" xfId="1" applyFont="1" applyBorder="1"/>
    <xf numFmtId="0" fontId="14" fillId="2" borderId="14" xfId="0" applyFont="1" applyFill="1" applyBorder="1" applyAlignment="1">
      <alignment horizontal="center"/>
    </xf>
    <xf numFmtId="0" fontId="18" fillId="0" borderId="15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44" fontId="18" fillId="2" borderId="16" xfId="1" applyFont="1" applyFill="1" applyBorder="1" applyProtection="1">
      <protection locked="0"/>
    </xf>
    <xf numFmtId="10" fontId="18" fillId="2" borderId="7" xfId="0" applyNumberFormat="1" applyFont="1" applyFill="1" applyBorder="1" applyProtection="1">
      <protection locked="0"/>
    </xf>
    <xf numFmtId="10" fontId="19" fillId="0" borderId="11" xfId="1" applyNumberFormat="1" applyFont="1" applyFill="1" applyBorder="1" applyProtection="1">
      <protection locked="0"/>
    </xf>
    <xf numFmtId="0" fontId="19" fillId="2" borderId="0" xfId="0" applyFont="1" applyFill="1"/>
    <xf numFmtId="44" fontId="19" fillId="2" borderId="0" xfId="1" applyFont="1" applyFill="1"/>
    <xf numFmtId="0" fontId="19" fillId="2" borderId="0" xfId="0" applyFont="1" applyFill="1" applyProtection="1"/>
    <xf numFmtId="0" fontId="19" fillId="0" borderId="0" xfId="0" applyFont="1"/>
    <xf numFmtId="0" fontId="15" fillId="2" borderId="6" xfId="0" applyFont="1" applyFill="1" applyBorder="1"/>
    <xf numFmtId="0" fontId="6" fillId="2" borderId="11" xfId="0" applyFont="1" applyFill="1" applyBorder="1"/>
    <xf numFmtId="0" fontId="6" fillId="2" borderId="8" xfId="0" applyFont="1" applyFill="1" applyBorder="1"/>
    <xf numFmtId="0" fontId="5" fillId="2" borderId="1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2" borderId="13" xfId="0" applyFont="1" applyFill="1" applyBorder="1"/>
    <xf numFmtId="0" fontId="17" fillId="2" borderId="8" xfId="0" applyFont="1" applyFill="1" applyBorder="1" applyAlignment="1">
      <alignment horizontal="center"/>
    </xf>
    <xf numFmtId="0" fontId="5" fillId="2" borderId="15" xfId="0" applyFont="1" applyFill="1" applyBorder="1"/>
    <xf numFmtId="0" fontId="5" fillId="2" borderId="16" xfId="0" applyFont="1" applyFill="1" applyBorder="1"/>
    <xf numFmtId="0" fontId="6" fillId="2" borderId="7" xfId="0" applyFont="1" applyFill="1" applyBorder="1"/>
    <xf numFmtId="44" fontId="5" fillId="3" borderId="1" xfId="1" applyFont="1" applyFill="1" applyBorder="1" applyProtection="1">
      <protection locked="0"/>
    </xf>
    <xf numFmtId="9" fontId="5" fillId="3" borderId="1" xfId="4" applyFont="1" applyFill="1" applyBorder="1" applyAlignment="1" applyProtection="1">
      <alignment horizontal="center"/>
      <protection locked="0"/>
    </xf>
    <xf numFmtId="0" fontId="5" fillId="2" borderId="9" xfId="0" applyFont="1" applyFill="1" applyBorder="1"/>
    <xf numFmtId="0" fontId="5" fillId="2" borderId="10" xfId="0" applyFont="1" applyFill="1" applyBorder="1"/>
    <xf numFmtId="0" fontId="6" fillId="0" borderId="11" xfId="0" applyFont="1" applyBorder="1"/>
    <xf numFmtId="44" fontId="5" fillId="3" borderId="6" xfId="1" applyFont="1" applyFill="1" applyBorder="1" applyProtection="1">
      <protection locked="0"/>
    </xf>
    <xf numFmtId="9" fontId="5" fillId="3" borderId="6" xfId="4" applyFont="1" applyFill="1" applyBorder="1" applyAlignment="1" applyProtection="1">
      <alignment horizontal="center"/>
      <protection locked="0"/>
    </xf>
    <xf numFmtId="0" fontId="14" fillId="2" borderId="12" xfId="0" applyFont="1" applyFill="1" applyBorder="1" applyAlignment="1"/>
    <xf numFmtId="0" fontId="5" fillId="2" borderId="15" xfId="0" applyFont="1" applyFill="1" applyBorder="1" applyAlignment="1"/>
    <xf numFmtId="0" fontId="14" fillId="2" borderId="16" xfId="0" applyFont="1" applyFill="1" applyBorder="1" applyAlignment="1"/>
    <xf numFmtId="0" fontId="14" fillId="2" borderId="7" xfId="0" applyFont="1" applyFill="1" applyBorder="1" applyAlignment="1"/>
    <xf numFmtId="0" fontId="14" fillId="2" borderId="2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0" fontId="14" fillId="2" borderId="16" xfId="0" applyFont="1" applyFill="1" applyBorder="1" applyAlignment="1">
      <alignment horizontal="left"/>
    </xf>
    <xf numFmtId="0" fontId="14" fillId="2" borderId="7" xfId="0" applyFont="1" applyFill="1" applyBorder="1" applyAlignment="1">
      <alignment horizontal="left"/>
    </xf>
    <xf numFmtId="18" fontId="14" fillId="2" borderId="12" xfId="0" applyNumberFormat="1" applyFont="1" applyFill="1" applyBorder="1" applyAlignment="1"/>
    <xf numFmtId="0" fontId="14" fillId="2" borderId="10" xfId="0" applyFont="1" applyFill="1" applyBorder="1" applyAlignment="1"/>
    <xf numFmtId="0" fontId="14" fillId="0" borderId="10" xfId="0" applyFont="1" applyFill="1" applyBorder="1" applyAlignment="1"/>
    <xf numFmtId="0" fontId="14" fillId="0" borderId="11" xfId="0" applyFont="1" applyFill="1" applyBorder="1" applyAlignment="1"/>
    <xf numFmtId="10" fontId="5" fillId="2" borderId="0" xfId="1" applyNumberFormat="1" applyFont="1" applyFill="1" applyBorder="1" applyProtection="1">
      <protection locked="0"/>
    </xf>
    <xf numFmtId="9" fontId="5" fillId="2" borderId="0" xfId="4" applyFont="1" applyFill="1" applyBorder="1" applyAlignment="1" applyProtection="1">
      <alignment horizontal="center"/>
      <protection locked="0"/>
    </xf>
    <xf numFmtId="0" fontId="19" fillId="2" borderId="6" xfId="0" applyFont="1" applyFill="1" applyBorder="1" applyAlignment="1">
      <alignment horizontal="center"/>
    </xf>
    <xf numFmtId="0" fontId="19" fillId="2" borderId="15" xfId="0" applyFont="1" applyFill="1" applyBorder="1"/>
    <xf numFmtId="0" fontId="19" fillId="2" borderId="8" xfId="0" applyFont="1" applyFill="1" applyBorder="1" applyAlignment="1">
      <alignment horizontal="center"/>
    </xf>
    <xf numFmtId="44" fontId="7" fillId="4" borderId="14" xfId="1" applyFont="1" applyFill="1" applyBorder="1" applyAlignment="1">
      <alignment horizontal="center"/>
    </xf>
    <xf numFmtId="0" fontId="8" fillId="0" borderId="15" xfId="0" applyFont="1" applyBorder="1" applyAlignment="1"/>
    <xf numFmtId="44" fontId="7" fillId="4" borderId="1" xfId="1" applyFont="1" applyFill="1" applyBorder="1" applyAlignment="1">
      <alignment horizontal="center"/>
    </xf>
    <xf numFmtId="0" fontId="8" fillId="0" borderId="1" xfId="0" applyFont="1" applyBorder="1" applyAlignment="1"/>
    <xf numFmtId="44" fontId="8" fillId="2" borderId="0" xfId="1" applyFont="1" applyFill="1"/>
    <xf numFmtId="0" fontId="19" fillId="2" borderId="1" xfId="0" applyFont="1" applyFill="1" applyBorder="1"/>
    <xf numFmtId="44" fontId="7" fillId="3" borderId="17" xfId="1" applyFont="1" applyFill="1" applyBorder="1" applyAlignment="1" applyProtection="1">
      <protection locked="0"/>
    </xf>
    <xf numFmtId="37" fontId="7" fillId="3" borderId="1" xfId="1" applyNumberFormat="1" applyFont="1" applyFill="1" applyBorder="1" applyAlignment="1" applyProtection="1">
      <protection locked="0"/>
    </xf>
    <xf numFmtId="44" fontId="8" fillId="0" borderId="1" xfId="0" applyNumberFormat="1" applyFont="1" applyBorder="1" applyAlignment="1">
      <alignment horizontal="centerContinuous"/>
    </xf>
    <xf numFmtId="0" fontId="8" fillId="0" borderId="2" xfId="0" applyFont="1" applyBorder="1"/>
    <xf numFmtId="0" fontId="8" fillId="2" borderId="1" xfId="0" applyFont="1" applyFill="1" applyBorder="1"/>
    <xf numFmtId="0" fontId="8" fillId="2" borderId="6" xfId="0" applyFont="1" applyFill="1" applyBorder="1"/>
    <xf numFmtId="0" fontId="8" fillId="2" borderId="6" xfId="0" applyFont="1" applyFill="1" applyBorder="1" applyAlignment="1">
      <alignment horizontal="center"/>
    </xf>
    <xf numFmtId="0" fontId="8" fillId="2" borderId="2" xfId="0" applyFont="1" applyFill="1" applyBorder="1"/>
    <xf numFmtId="0" fontId="8" fillId="2" borderId="8" xfId="0" applyFont="1" applyFill="1" applyBorder="1" applyAlignment="1">
      <alignment horizontal="center"/>
    </xf>
    <xf numFmtId="44" fontId="5" fillId="2" borderId="1" xfId="1" applyFont="1" applyFill="1" applyBorder="1" applyProtection="1"/>
    <xf numFmtId="44" fontId="8" fillId="2" borderId="1" xfId="1" applyFont="1" applyFill="1" applyBorder="1" applyProtection="1"/>
    <xf numFmtId="44" fontId="7" fillId="3" borderId="18" xfId="1" applyFont="1" applyFill="1" applyBorder="1" applyAlignment="1" applyProtection="1">
      <protection locked="0"/>
    </xf>
    <xf numFmtId="44" fontId="7" fillId="3" borderId="14" xfId="1" applyFont="1" applyFill="1" applyBorder="1" applyAlignment="1" applyProtection="1">
      <protection locked="0"/>
    </xf>
    <xf numFmtId="0" fontId="15" fillId="0" borderId="19" xfId="0" applyFont="1" applyBorder="1"/>
    <xf numFmtId="0" fontId="7" fillId="0" borderId="1" xfId="0" applyFont="1" applyBorder="1" applyAlignment="1">
      <alignment horizontal="left"/>
    </xf>
    <xf numFmtId="44" fontId="7" fillId="0" borderId="1" xfId="0" applyNumberFormat="1" applyFont="1" applyBorder="1" applyAlignment="1">
      <alignment horizontal="left"/>
    </xf>
    <xf numFmtId="0" fontId="8" fillId="2" borderId="0" xfId="0" applyFont="1" applyFill="1" applyBorder="1"/>
    <xf numFmtId="44" fontId="8" fillId="2" borderId="0" xfId="1" applyFont="1" applyFill="1" applyBorder="1" applyProtection="1">
      <protection locked="0"/>
    </xf>
    <xf numFmtId="0" fontId="12" fillId="2" borderId="3" xfId="0" applyFont="1" applyFill="1" applyBorder="1" applyAlignment="1">
      <alignment horizontal="center"/>
    </xf>
    <xf numFmtId="0" fontId="14" fillId="2" borderId="8" xfId="0" applyFont="1" applyFill="1" applyBorder="1"/>
    <xf numFmtId="0" fontId="5" fillId="0" borderId="6" xfId="0" applyFont="1" applyFill="1" applyBorder="1" applyAlignment="1">
      <alignment horizontal="center"/>
    </xf>
    <xf numFmtId="0" fontId="5" fillId="2" borderId="2" xfId="0" applyFont="1" applyFill="1" applyBorder="1"/>
    <xf numFmtId="0" fontId="5" fillId="0" borderId="8" xfId="0" applyFont="1" applyFill="1" applyBorder="1" applyAlignment="1">
      <alignment horizontal="center"/>
    </xf>
    <xf numFmtId="1" fontId="5" fillId="3" borderId="1" xfId="4" applyNumberFormat="1" applyFont="1" applyFill="1" applyBorder="1" applyAlignment="1" applyProtection="1">
      <alignment horizontal="center"/>
      <protection locked="0"/>
    </xf>
    <xf numFmtId="0" fontId="5" fillId="0" borderId="2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center"/>
      <protection locked="0"/>
    </xf>
    <xf numFmtId="0" fontId="14" fillId="2" borderId="6" xfId="0" applyFont="1" applyFill="1" applyBorder="1"/>
    <xf numFmtId="0" fontId="5" fillId="3" borderId="1" xfId="0" applyFont="1" applyFill="1" applyBorder="1" applyAlignment="1" applyProtection="1">
      <alignment horizontal="center"/>
      <protection locked="0"/>
    </xf>
    <xf numFmtId="0" fontId="20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6" fillId="2" borderId="8" xfId="0" applyFont="1" applyFill="1" applyBorder="1"/>
    <xf numFmtId="2" fontId="5" fillId="0" borderId="1" xfId="0" applyNumberFormat="1" applyFont="1" applyFill="1" applyBorder="1"/>
    <xf numFmtId="0" fontId="5" fillId="3" borderId="6" xfId="0" applyFont="1" applyFill="1" applyBorder="1" applyProtection="1">
      <protection locked="0"/>
    </xf>
    <xf numFmtId="2" fontId="5" fillId="2" borderId="1" xfId="0" applyNumberFormat="1" applyFont="1" applyFill="1" applyBorder="1"/>
    <xf numFmtId="0" fontId="5" fillId="2" borderId="16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5" fillId="3" borderId="1" xfId="0" applyFont="1" applyFill="1" applyBorder="1" applyProtection="1">
      <protection locked="0"/>
    </xf>
    <xf numFmtId="9" fontId="5" fillId="3" borderId="1" xfId="4" applyFont="1" applyFill="1" applyBorder="1" applyProtection="1">
      <protection locked="0"/>
    </xf>
    <xf numFmtId="0" fontId="5" fillId="2" borderId="7" xfId="0" applyFont="1" applyFill="1" applyBorder="1"/>
    <xf numFmtId="0" fontId="5" fillId="0" borderId="11" xfId="0" applyFont="1" applyFill="1" applyBorder="1" applyProtection="1">
      <protection locked="0"/>
    </xf>
    <xf numFmtId="2" fontId="5" fillId="2" borderId="6" xfId="0" applyNumberFormat="1" applyFont="1" applyFill="1" applyBorder="1"/>
    <xf numFmtId="2" fontId="5" fillId="2" borderId="2" xfId="0" applyNumberFormat="1" applyFont="1" applyFill="1" applyBorder="1"/>
    <xf numFmtId="10" fontId="5" fillId="2" borderId="1" xfId="0" applyNumberFormat="1" applyFont="1" applyFill="1" applyBorder="1"/>
    <xf numFmtId="44" fontId="6" fillId="2" borderId="0" xfId="1" applyFont="1" applyFill="1" applyProtection="1"/>
    <xf numFmtId="2" fontId="5" fillId="2" borderId="0" xfId="0" applyNumberFormat="1" applyFont="1" applyFill="1" applyBorder="1"/>
    <xf numFmtId="44" fontId="15" fillId="2" borderId="0" xfId="1" applyFont="1" applyFill="1" applyProtection="1"/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6" fillId="0" borderId="7" xfId="0" applyFont="1" applyBorder="1"/>
    <xf numFmtId="0" fontId="14" fillId="2" borderId="9" xfId="0" applyFont="1" applyFill="1" applyBorder="1"/>
    <xf numFmtId="0" fontId="14" fillId="2" borderId="12" xfId="0" applyFont="1" applyFill="1" applyBorder="1"/>
    <xf numFmtId="2" fontId="5" fillId="2" borderId="0" xfId="0" applyNumberFormat="1" applyFont="1" applyFill="1" applyBorder="1" applyAlignment="1">
      <alignment horizontal="center"/>
    </xf>
    <xf numFmtId="0" fontId="14" fillId="2" borderId="14" xfId="0" applyFont="1" applyFill="1" applyBorder="1"/>
    <xf numFmtId="2" fontId="5" fillId="2" borderId="1" xfId="0" applyNumberFormat="1" applyFont="1" applyFill="1" applyBorder="1" applyAlignment="1">
      <alignment horizontal="center"/>
    </xf>
    <xf numFmtId="0" fontId="5" fillId="2" borderId="12" xfId="0" applyFont="1" applyFill="1" applyBorder="1"/>
    <xf numFmtId="10" fontId="5" fillId="3" borderId="1" xfId="0" applyNumberFormat="1" applyFont="1" applyFill="1" applyBorder="1" applyProtection="1">
      <protection locked="0"/>
    </xf>
    <xf numFmtId="10" fontId="5" fillId="3" borderId="1" xfId="0" applyNumberFormat="1" applyFont="1" applyFill="1" applyBorder="1" applyAlignment="1" applyProtection="1">
      <alignment horizontal="center"/>
      <protection locked="0"/>
    </xf>
    <xf numFmtId="10" fontId="5" fillId="3" borderId="13" xfId="0" applyNumberFormat="1" applyFont="1" applyFill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right"/>
    </xf>
    <xf numFmtId="1" fontId="5" fillId="2" borderId="1" xfId="0" applyNumberFormat="1" applyFont="1" applyFill="1" applyBorder="1" applyAlignment="1">
      <alignment horizontal="right"/>
    </xf>
    <xf numFmtId="1" fontId="5" fillId="2" borderId="7" xfId="0" applyNumberFormat="1" applyFont="1" applyFill="1" applyBorder="1" applyAlignment="1">
      <alignment horizontal="right"/>
    </xf>
    <xf numFmtId="1" fontId="5" fillId="2" borderId="1" xfId="0" applyNumberFormat="1" applyFont="1" applyFill="1" applyBorder="1" applyProtection="1"/>
    <xf numFmtId="1" fontId="5" fillId="2" borderId="16" xfId="0" applyNumberFormat="1" applyFont="1" applyFill="1" applyBorder="1" applyProtection="1"/>
    <xf numFmtId="1" fontId="5" fillId="2" borderId="7" xfId="0" applyNumberFormat="1" applyFont="1" applyFill="1" applyBorder="1" applyAlignment="1" applyProtection="1">
      <alignment horizontal="right"/>
    </xf>
    <xf numFmtId="0" fontId="5" fillId="2" borderId="1" xfId="0" applyFont="1" applyFill="1" applyBorder="1"/>
    <xf numFmtId="1" fontId="5" fillId="2" borderId="0" xfId="0" applyNumberFormat="1" applyFont="1" applyFill="1" applyBorder="1" applyProtection="1"/>
    <xf numFmtId="1" fontId="5" fillId="2" borderId="11" xfId="0" applyNumberFormat="1" applyFont="1" applyFill="1" applyBorder="1" applyProtection="1"/>
    <xf numFmtId="44" fontId="19" fillId="2" borderId="0" xfId="1" applyFont="1" applyFill="1" applyProtection="1"/>
    <xf numFmtId="44" fontId="12" fillId="3" borderId="1" xfId="1" applyFont="1" applyFill="1" applyBorder="1" applyProtection="1">
      <protection locked="0"/>
    </xf>
    <xf numFmtId="10" fontId="5" fillId="3" borderId="1" xfId="4" applyNumberFormat="1" applyFont="1" applyFill="1" applyBorder="1" applyProtection="1">
      <protection locked="0"/>
    </xf>
    <xf numFmtId="10" fontId="5" fillId="2" borderId="1" xfId="4" applyNumberFormat="1" applyFont="1" applyFill="1" applyBorder="1"/>
    <xf numFmtId="44" fontId="12" fillId="2" borderId="1" xfId="1" applyFont="1" applyFill="1" applyBorder="1"/>
    <xf numFmtId="44" fontId="12" fillId="2" borderId="1" xfId="0" applyNumberFormat="1" applyFont="1" applyFill="1" applyBorder="1" applyProtection="1"/>
    <xf numFmtId="10" fontId="5" fillId="2" borderId="1" xfId="4" applyNumberFormat="1" applyFont="1" applyFill="1" applyBorder="1" applyProtection="1"/>
    <xf numFmtId="44" fontId="12" fillId="2" borderId="1" xfId="0" applyNumberFormat="1" applyFont="1" applyFill="1" applyBorder="1"/>
    <xf numFmtId="0" fontId="13" fillId="2" borderId="9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5" fillId="2" borderId="11" xfId="0" applyFont="1" applyFill="1" applyBorder="1"/>
    <xf numFmtId="0" fontId="13" fillId="2" borderId="14" xfId="0" applyFont="1" applyFill="1" applyBorder="1" applyAlignment="1"/>
    <xf numFmtId="0" fontId="13" fillId="2" borderId="3" xfId="0" applyFont="1" applyFill="1" applyBorder="1" applyAlignment="1"/>
    <xf numFmtId="0" fontId="21" fillId="2" borderId="2" xfId="0" applyFont="1" applyFill="1" applyBorder="1" applyAlignment="1">
      <alignment horizontal="center"/>
    </xf>
    <xf numFmtId="1" fontId="5" fillId="3" borderId="1" xfId="4" applyNumberFormat="1" applyFont="1" applyFill="1" applyBorder="1" applyProtection="1">
      <protection locked="0"/>
    </xf>
    <xf numFmtId="44" fontId="5" fillId="2" borderId="1" xfId="1" applyFont="1" applyFill="1" applyBorder="1"/>
    <xf numFmtId="8" fontId="5" fillId="2" borderId="1" xfId="1" applyNumberFormat="1" applyFont="1" applyFill="1" applyBorder="1"/>
    <xf numFmtId="1" fontId="5" fillId="2" borderId="1" xfId="4" applyNumberFormat="1" applyFont="1" applyFill="1" applyBorder="1"/>
    <xf numFmtId="44" fontId="5" fillId="2" borderId="1" xfId="0" applyNumberFormat="1" applyFont="1" applyFill="1" applyBorder="1"/>
    <xf numFmtId="44" fontId="5" fillId="2" borderId="16" xfId="1" applyFont="1" applyFill="1" applyBorder="1"/>
    <xf numFmtId="10" fontId="5" fillId="2" borderId="16" xfId="4" applyNumberFormat="1" applyFont="1" applyFill="1" applyBorder="1"/>
    <xf numFmtId="1" fontId="5" fillId="2" borderId="16" xfId="4" applyNumberFormat="1" applyFont="1" applyFill="1" applyBorder="1"/>
    <xf numFmtId="44" fontId="5" fillId="2" borderId="7" xfId="1" applyFont="1" applyFill="1" applyBorder="1"/>
    <xf numFmtId="8" fontId="5" fillId="3" borderId="1" xfId="1" applyNumberFormat="1" applyFont="1" applyFill="1" applyBorder="1" applyProtection="1">
      <protection locked="0"/>
    </xf>
    <xf numFmtId="44" fontId="5" fillId="2" borderId="16" xfId="0" applyNumberFormat="1" applyFont="1" applyFill="1" applyBorder="1"/>
    <xf numFmtId="44" fontId="5" fillId="2" borderId="7" xfId="0" applyNumberFormat="1" applyFont="1" applyFill="1" applyBorder="1"/>
    <xf numFmtId="0" fontId="11" fillId="2" borderId="0" xfId="0" applyFont="1" applyFill="1" applyAlignment="1"/>
    <xf numFmtId="0" fontId="23" fillId="2" borderId="0" xfId="0" applyFont="1" applyFill="1"/>
    <xf numFmtId="0" fontId="23" fillId="2" borderId="0" xfId="0" applyFont="1" applyFill="1" applyProtection="1"/>
    <xf numFmtId="44" fontId="23" fillId="2" borderId="0" xfId="1" applyFont="1" applyFill="1" applyProtection="1"/>
    <xf numFmtId="0" fontId="23" fillId="0" borderId="0" xfId="0" applyFont="1"/>
    <xf numFmtId="0" fontId="24" fillId="2" borderId="0" xfId="0" applyFont="1" applyFill="1" applyAlignment="1">
      <alignment horizontal="center"/>
    </xf>
    <xf numFmtId="0" fontId="25" fillId="2" borderId="0" xfId="0" applyFont="1" applyFill="1"/>
    <xf numFmtId="0" fontId="25" fillId="2" borderId="0" xfId="0" applyFont="1" applyFill="1" applyProtection="1"/>
    <xf numFmtId="44" fontId="25" fillId="2" borderId="0" xfId="1" applyFont="1" applyFill="1" applyProtection="1"/>
    <xf numFmtId="0" fontId="25" fillId="0" borderId="0" xfId="0" applyFont="1"/>
    <xf numFmtId="0" fontId="27" fillId="2" borderId="0" xfId="0" applyFont="1" applyFill="1"/>
    <xf numFmtId="0" fontId="27" fillId="2" borderId="0" xfId="0" applyFont="1" applyFill="1" applyProtection="1"/>
    <xf numFmtId="44" fontId="27" fillId="2" borderId="0" xfId="1" applyFont="1" applyFill="1" applyProtection="1"/>
    <xf numFmtId="0" fontId="27" fillId="0" borderId="0" xfId="0" applyFont="1"/>
    <xf numFmtId="44" fontId="25" fillId="2" borderId="0" xfId="1" applyFont="1" applyFill="1"/>
    <xf numFmtId="0" fontId="5" fillId="2" borderId="0" xfId="0" applyFont="1" applyFill="1" applyProtection="1"/>
    <xf numFmtId="0" fontId="11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0" fontId="12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right"/>
    </xf>
    <xf numFmtId="0" fontId="29" fillId="2" borderId="0" xfId="0" applyFont="1" applyFill="1" applyProtection="1"/>
    <xf numFmtId="44" fontId="29" fillId="2" borderId="0" xfId="1" applyFont="1" applyFill="1" applyProtection="1"/>
    <xf numFmtId="0" fontId="5" fillId="2" borderId="9" xfId="0" applyFont="1" applyFill="1" applyBorder="1" applyProtection="1"/>
    <xf numFmtId="0" fontId="5" fillId="2" borderId="10" xfId="0" applyFont="1" applyFill="1" applyBorder="1" applyProtection="1"/>
    <xf numFmtId="0" fontId="5" fillId="2" borderId="11" xfId="0" applyFont="1" applyFill="1" applyBorder="1" applyProtection="1"/>
    <xf numFmtId="0" fontId="5" fillId="2" borderId="1" xfId="0" applyFont="1" applyFill="1" applyBorder="1" applyAlignment="1" applyProtection="1">
      <alignment horizontal="center"/>
    </xf>
    <xf numFmtId="0" fontId="5" fillId="2" borderId="14" xfId="0" applyFont="1" applyFill="1" applyBorder="1" applyProtection="1"/>
    <xf numFmtId="0" fontId="5" fillId="2" borderId="3" xfId="0" applyFont="1" applyFill="1" applyBorder="1" applyProtection="1"/>
    <xf numFmtId="1" fontId="5" fillId="2" borderId="1" xfId="0" applyNumberFormat="1" applyFont="1" applyFill="1" applyBorder="1" applyAlignment="1" applyProtection="1">
      <alignment horizontal="center"/>
    </xf>
    <xf numFmtId="1" fontId="5" fillId="2" borderId="7" xfId="0" applyNumberFormat="1" applyFont="1" applyFill="1" applyBorder="1" applyAlignment="1" applyProtection="1">
      <alignment horizontal="center"/>
    </xf>
    <xf numFmtId="0" fontId="30" fillId="2" borderId="9" xfId="0" applyFont="1" applyFill="1" applyBorder="1" applyAlignment="1" applyProtection="1">
      <alignment horizontal="center"/>
    </xf>
    <xf numFmtId="0" fontId="30" fillId="2" borderId="10" xfId="0" applyFont="1" applyFill="1" applyBorder="1" applyAlignment="1" applyProtection="1">
      <alignment horizontal="center"/>
    </xf>
    <xf numFmtId="0" fontId="30" fillId="2" borderId="11" xfId="0" applyFont="1" applyFill="1" applyBorder="1" applyAlignment="1" applyProtection="1">
      <alignment horizontal="center"/>
    </xf>
    <xf numFmtId="0" fontId="31" fillId="2" borderId="0" xfId="0" applyFont="1" applyFill="1" applyProtection="1"/>
    <xf numFmtId="44" fontId="31" fillId="2" borderId="0" xfId="1" applyFont="1" applyFill="1" applyProtection="1"/>
    <xf numFmtId="0" fontId="5" fillId="2" borderId="9" xfId="0" applyFont="1" applyFill="1" applyBorder="1" applyAlignment="1" applyProtection="1">
      <alignment horizontal="center"/>
    </xf>
    <xf numFmtId="0" fontId="5" fillId="2" borderId="6" xfId="0" applyFont="1" applyFill="1" applyBorder="1" applyAlignment="1" applyProtection="1">
      <alignment horizontal="center"/>
    </xf>
    <xf numFmtId="0" fontId="5" fillId="2" borderId="14" xfId="0" applyFont="1" applyFill="1" applyBorder="1" applyAlignment="1" applyProtection="1">
      <alignment horizontal="center"/>
    </xf>
    <xf numFmtId="0" fontId="5" fillId="2" borderId="4" xfId="0" applyFont="1" applyFill="1" applyBorder="1" applyAlignment="1" applyProtection="1">
      <alignment horizontal="center"/>
    </xf>
    <xf numFmtId="0" fontId="5" fillId="2" borderId="2" xfId="0" applyFont="1" applyFill="1" applyBorder="1" applyAlignment="1" applyProtection="1">
      <alignment horizontal="center"/>
    </xf>
    <xf numFmtId="0" fontId="5" fillId="2" borderId="15" xfId="0" applyFont="1" applyFill="1" applyBorder="1" applyProtection="1"/>
    <xf numFmtId="0" fontId="5" fillId="2" borderId="16" xfId="0" applyFont="1" applyFill="1" applyBorder="1" applyProtection="1"/>
    <xf numFmtId="44" fontId="5" fillId="2" borderId="1" xfId="0" applyNumberFormat="1" applyFont="1" applyFill="1" applyBorder="1" applyProtection="1"/>
    <xf numFmtId="10" fontId="5" fillId="3" borderId="1" xfId="1" applyNumberFormat="1" applyFont="1" applyFill="1" applyBorder="1" applyProtection="1">
      <protection locked="0"/>
    </xf>
    <xf numFmtId="0" fontId="33" fillId="2" borderId="0" xfId="0" applyFont="1" applyFill="1" applyProtection="1"/>
    <xf numFmtId="0" fontId="33" fillId="2" borderId="0" xfId="0" applyFont="1" applyFill="1"/>
    <xf numFmtId="44" fontId="33" fillId="2" borderId="0" xfId="1" applyFont="1" applyFill="1"/>
    <xf numFmtId="9" fontId="5" fillId="2" borderId="1" xfId="4" applyFont="1" applyFill="1" applyBorder="1" applyAlignment="1" applyProtection="1">
      <alignment horizontal="center"/>
    </xf>
    <xf numFmtId="165" fontId="5" fillId="2" borderId="1" xfId="4" applyNumberFormat="1" applyFont="1" applyFill="1" applyBorder="1" applyAlignment="1" applyProtection="1">
      <alignment horizontal="center"/>
    </xf>
    <xf numFmtId="44" fontId="5" fillId="0" borderId="1" xfId="0" applyNumberFormat="1" applyFont="1" applyFill="1" applyBorder="1" applyProtection="1"/>
    <xf numFmtId="165" fontId="5" fillId="3" borderId="1" xfId="4" applyNumberFormat="1" applyFont="1" applyFill="1" applyBorder="1" applyAlignment="1" applyProtection="1">
      <alignment horizontal="center"/>
      <protection locked="0"/>
    </xf>
    <xf numFmtId="44" fontId="6" fillId="2" borderId="0" xfId="0" applyNumberFormat="1" applyFont="1" applyFill="1" applyProtection="1"/>
    <xf numFmtId="44" fontId="5" fillId="0" borderId="1" xfId="1" applyFont="1" applyFill="1" applyBorder="1" applyProtection="1"/>
    <xf numFmtId="165" fontId="5" fillId="0" borderId="1" xfId="4" applyNumberFormat="1" applyFont="1" applyFill="1" applyBorder="1" applyAlignment="1" applyProtection="1">
      <alignment horizontal="center"/>
    </xf>
    <xf numFmtId="44" fontId="5" fillId="3" borderId="1" xfId="0" applyNumberFormat="1" applyFont="1" applyFill="1" applyBorder="1" applyProtection="1">
      <protection locked="0"/>
    </xf>
    <xf numFmtId="9" fontId="5" fillId="2" borderId="16" xfId="4" applyFont="1" applyFill="1" applyBorder="1" applyProtection="1"/>
    <xf numFmtId="0" fontId="5" fillId="2" borderId="6" xfId="0" applyFont="1" applyFill="1" applyBorder="1" applyProtection="1"/>
    <xf numFmtId="44" fontId="5" fillId="2" borderId="2" xfId="0" applyNumberFormat="1" applyFont="1" applyFill="1" applyBorder="1" applyProtection="1"/>
    <xf numFmtId="0" fontId="5" fillId="2" borderId="0" xfId="0" applyFont="1" applyFill="1" applyBorder="1" applyProtection="1"/>
    <xf numFmtId="44" fontId="5" fillId="2" borderId="0" xfId="0" applyNumberFormat="1" applyFont="1" applyFill="1" applyBorder="1" applyProtection="1"/>
    <xf numFmtId="44" fontId="29" fillId="2" borderId="0" xfId="0" applyNumberFormat="1" applyFont="1" applyFill="1" applyProtection="1"/>
    <xf numFmtId="0" fontId="13" fillId="2" borderId="0" xfId="0" applyFont="1" applyFill="1" applyAlignment="1" applyProtection="1">
      <alignment horizontal="center"/>
    </xf>
    <xf numFmtId="0" fontId="5" fillId="2" borderId="1" xfId="0" applyFont="1" applyFill="1" applyBorder="1" applyProtection="1"/>
    <xf numFmtId="44" fontId="12" fillId="2" borderId="1" xfId="1" applyFont="1" applyFill="1" applyBorder="1" applyProtection="1"/>
    <xf numFmtId="0" fontId="13" fillId="2" borderId="9" xfId="0" applyFont="1" applyFill="1" applyBorder="1" applyAlignment="1" applyProtection="1">
      <alignment horizontal="center"/>
    </xf>
    <xf numFmtId="0" fontId="13" fillId="2" borderId="10" xfId="0" applyFont="1" applyFill="1" applyBorder="1" applyAlignment="1" applyProtection="1">
      <alignment horizontal="center"/>
    </xf>
    <xf numFmtId="0" fontId="13" fillId="2" borderId="14" xfId="0" applyFont="1" applyFill="1" applyBorder="1" applyAlignment="1" applyProtection="1"/>
    <xf numFmtId="0" fontId="13" fillId="2" borderId="3" xfId="0" applyFont="1" applyFill="1" applyBorder="1" applyAlignment="1" applyProtection="1"/>
    <xf numFmtId="0" fontId="13" fillId="2" borderId="3" xfId="0" applyFont="1" applyFill="1" applyBorder="1" applyAlignment="1" applyProtection="1">
      <alignment horizontal="center"/>
    </xf>
    <xf numFmtId="0" fontId="13" fillId="2" borderId="4" xfId="0" applyFont="1" applyFill="1" applyBorder="1" applyAlignment="1" applyProtection="1">
      <alignment horizontal="center"/>
    </xf>
    <xf numFmtId="0" fontId="5" fillId="2" borderId="10" xfId="0" applyFont="1" applyFill="1" applyBorder="1" applyAlignment="1" applyProtection="1">
      <alignment horizontal="center"/>
    </xf>
    <xf numFmtId="0" fontId="21" fillId="2" borderId="3" xfId="0" applyFont="1" applyFill="1" applyBorder="1" applyAlignment="1" applyProtection="1">
      <alignment horizontal="center"/>
    </xf>
    <xf numFmtId="1" fontId="5" fillId="2" borderId="1" xfId="4" applyNumberFormat="1" applyFont="1" applyFill="1" applyBorder="1" applyProtection="1"/>
    <xf numFmtId="8" fontId="5" fillId="2" borderId="1" xfId="1" applyNumberFormat="1" applyFont="1" applyFill="1" applyBorder="1" applyProtection="1"/>
    <xf numFmtId="0" fontId="13" fillId="2" borderId="14" xfId="0" applyFont="1" applyFill="1" applyBorder="1" applyAlignment="1" applyProtection="1">
      <alignment horizontal="left"/>
    </xf>
    <xf numFmtId="0" fontId="13" fillId="2" borderId="3" xfId="0" applyFont="1" applyFill="1" applyBorder="1" applyAlignment="1" applyProtection="1">
      <alignment horizontal="left"/>
    </xf>
    <xf numFmtId="0" fontId="5" fillId="2" borderId="12" xfId="0" applyFont="1" applyFill="1" applyBorder="1" applyAlignment="1" applyProtection="1">
      <alignment horizontal="center"/>
    </xf>
    <xf numFmtId="0" fontId="5" fillId="2" borderId="0" xfId="0" applyFont="1" applyFill="1" applyBorder="1" applyAlignment="1" applyProtection="1">
      <alignment horizontal="center"/>
    </xf>
    <xf numFmtId="0" fontId="5" fillId="2" borderId="13" xfId="0" applyFont="1" applyFill="1" applyBorder="1" applyAlignment="1" applyProtection="1">
      <alignment horizontal="center"/>
    </xf>
    <xf numFmtId="0" fontId="5" fillId="2" borderId="8" xfId="0" applyFont="1" applyFill="1" applyBorder="1" applyAlignment="1" applyProtection="1">
      <alignment horizontal="center"/>
    </xf>
    <xf numFmtId="0" fontId="5" fillId="2" borderId="3" xfId="0" applyFont="1" applyFill="1" applyBorder="1" applyAlignment="1" applyProtection="1">
      <alignment horizontal="center"/>
    </xf>
    <xf numFmtId="0" fontId="12" fillId="2" borderId="3" xfId="0" applyFont="1" applyFill="1" applyBorder="1" applyAlignment="1" applyProtection="1">
      <alignment horizontal="center"/>
    </xf>
    <xf numFmtId="44" fontId="5" fillId="2" borderId="16" xfId="1" applyFont="1" applyFill="1" applyBorder="1" applyProtection="1"/>
    <xf numFmtId="10" fontId="5" fillId="2" borderId="16" xfId="4" applyNumberFormat="1" applyFont="1" applyFill="1" applyBorder="1" applyProtection="1"/>
    <xf numFmtId="1" fontId="5" fillId="2" borderId="16" xfId="4" applyNumberFormat="1" applyFont="1" applyFill="1" applyBorder="1" applyProtection="1"/>
    <xf numFmtId="44" fontId="5" fillId="2" borderId="7" xfId="1" applyFont="1" applyFill="1" applyBorder="1" applyProtection="1"/>
    <xf numFmtId="44" fontId="5" fillId="2" borderId="16" xfId="0" applyNumberFormat="1" applyFont="1" applyFill="1" applyBorder="1" applyProtection="1"/>
    <xf numFmtId="44" fontId="5" fillId="2" borderId="7" xfId="0" applyNumberFormat="1" applyFont="1" applyFill="1" applyBorder="1" applyProtection="1"/>
    <xf numFmtId="0" fontId="18" fillId="2" borderId="6" xfId="0" applyFont="1" applyFill="1" applyBorder="1" applyProtection="1"/>
    <xf numFmtId="1" fontId="20" fillId="2" borderId="4" xfId="0" applyNumberFormat="1" applyFont="1" applyFill="1" applyBorder="1" applyAlignment="1" applyProtection="1">
      <alignment horizontal="center"/>
    </xf>
    <xf numFmtId="0" fontId="30" fillId="2" borderId="16" xfId="0" applyFont="1" applyFill="1" applyBorder="1" applyAlignment="1" applyProtection="1">
      <alignment horizontal="center"/>
    </xf>
    <xf numFmtId="0" fontId="30" fillId="2" borderId="7" xfId="0" applyFont="1" applyFill="1" applyBorder="1" applyAlignment="1" applyProtection="1">
      <alignment horizontal="center"/>
    </xf>
    <xf numFmtId="0" fontId="6" fillId="2" borderId="9" xfId="0" applyFont="1" applyFill="1" applyBorder="1" applyProtection="1"/>
    <xf numFmtId="0" fontId="6" fillId="2" borderId="11" xfId="0" applyFont="1" applyFill="1" applyBorder="1" applyProtection="1"/>
    <xf numFmtId="0" fontId="6" fillId="2" borderId="14" xfId="0" applyFont="1" applyFill="1" applyBorder="1" applyProtection="1"/>
    <xf numFmtId="0" fontId="6" fillId="2" borderId="4" xfId="0" applyFont="1" applyFill="1" applyBorder="1" applyProtection="1"/>
    <xf numFmtId="44" fontId="5" fillId="2" borderId="1" xfId="1" applyFont="1" applyFill="1" applyBorder="1" applyProtection="1">
      <protection locked="0"/>
    </xf>
    <xf numFmtId="9" fontId="5" fillId="2" borderId="1" xfId="4" applyFont="1" applyFill="1" applyBorder="1" applyAlignment="1" applyProtection="1">
      <alignment horizontal="center"/>
      <protection locked="0"/>
    </xf>
    <xf numFmtId="44" fontId="6" fillId="2" borderId="1" xfId="0" applyNumberFormat="1" applyFont="1" applyFill="1" applyBorder="1" applyProtection="1"/>
    <xf numFmtId="10" fontId="6" fillId="2" borderId="1" xfId="4" applyNumberFormat="1" applyFont="1" applyFill="1" applyBorder="1" applyProtection="1"/>
    <xf numFmtId="0" fontId="6" fillId="2" borderId="15" xfId="0" applyFont="1" applyFill="1" applyBorder="1" applyProtection="1"/>
    <xf numFmtId="0" fontId="6" fillId="2" borderId="16" xfId="0" applyFont="1" applyFill="1" applyBorder="1" applyProtection="1"/>
    <xf numFmtId="10" fontId="5" fillId="2" borderId="1" xfId="1" applyNumberFormat="1" applyFont="1" applyFill="1" applyBorder="1" applyProtection="1"/>
    <xf numFmtId="10" fontId="5" fillId="2" borderId="1" xfId="0" applyNumberFormat="1" applyFont="1" applyFill="1" applyBorder="1" applyProtection="1"/>
    <xf numFmtId="44" fontId="33" fillId="2" borderId="0" xfId="1" applyFont="1" applyFill="1" applyProtection="1"/>
    <xf numFmtId="0" fontId="6" fillId="2" borderId="7" xfId="0" applyFont="1" applyFill="1" applyBorder="1" applyProtection="1"/>
    <xf numFmtId="10" fontId="6" fillId="2" borderId="1" xfId="0" applyNumberFormat="1" applyFont="1" applyFill="1" applyBorder="1" applyProtection="1"/>
    <xf numFmtId="0" fontId="6" fillId="2" borderId="1" xfId="0" applyFont="1" applyFill="1" applyBorder="1" applyProtection="1"/>
    <xf numFmtId="44" fontId="12" fillId="2" borderId="16" xfId="0" applyNumberFormat="1" applyFont="1" applyFill="1" applyBorder="1" applyProtection="1"/>
    <xf numFmtId="44" fontId="7" fillId="2" borderId="1" xfId="0" applyNumberFormat="1" applyFont="1" applyFill="1" applyBorder="1" applyProtection="1"/>
    <xf numFmtId="10" fontId="5" fillId="2" borderId="2" xfId="0" applyNumberFormat="1" applyFont="1" applyFill="1" applyBorder="1" applyProtection="1"/>
    <xf numFmtId="44" fontId="6" fillId="0" borderId="1" xfId="0" applyNumberFormat="1" applyFont="1" applyFill="1" applyBorder="1" applyProtection="1"/>
    <xf numFmtId="10" fontId="7" fillId="2" borderId="1" xfId="0" applyNumberFormat="1" applyFont="1" applyFill="1" applyBorder="1" applyProtection="1"/>
    <xf numFmtId="44" fontId="8" fillId="2" borderId="0" xfId="1" applyFont="1" applyFill="1" applyProtection="1"/>
    <xf numFmtId="44" fontId="27" fillId="0" borderId="0" xfId="1" applyFont="1"/>
    <xf numFmtId="9" fontId="5" fillId="2" borderId="7" xfId="4" applyFont="1" applyFill="1" applyBorder="1" applyAlignment="1" applyProtection="1">
      <alignment horizontal="center"/>
      <protection locked="0"/>
    </xf>
    <xf numFmtId="44" fontId="5" fillId="2" borderId="16" xfId="1" applyFont="1" applyFill="1" applyBorder="1" applyProtection="1">
      <protection locked="0"/>
    </xf>
    <xf numFmtId="0" fontId="7" fillId="2" borderId="15" xfId="0" applyFont="1" applyFill="1" applyBorder="1" applyProtection="1"/>
    <xf numFmtId="0" fontId="6" fillId="2" borderId="3" xfId="0" applyFont="1" applyFill="1" applyBorder="1" applyProtection="1"/>
    <xf numFmtId="0" fontId="6" fillId="2" borderId="0" xfId="0" applyFont="1" applyFill="1" applyBorder="1" applyProtection="1"/>
    <xf numFmtId="0" fontId="34" fillId="2" borderId="0" xfId="0" applyFont="1" applyFill="1"/>
    <xf numFmtId="0" fontId="35" fillId="2" borderId="13" xfId="0" applyFont="1" applyFill="1" applyBorder="1" applyAlignment="1">
      <alignment horizontal="center"/>
    </xf>
    <xf numFmtId="0" fontId="35" fillId="2" borderId="0" xfId="0" applyFont="1" applyFill="1" applyBorder="1" applyAlignment="1">
      <alignment horizontal="center"/>
    </xf>
    <xf numFmtId="0" fontId="34" fillId="2" borderId="0" xfId="0" applyFont="1" applyFill="1" applyBorder="1"/>
    <xf numFmtId="44" fontId="34" fillId="2" borderId="0" xfId="0" applyNumberFormat="1" applyFont="1" applyFill="1" applyBorder="1"/>
    <xf numFmtId="0" fontId="34" fillId="2" borderId="0" xfId="0" applyFont="1" applyFill="1" applyProtection="1"/>
    <xf numFmtId="44" fontId="34" fillId="2" borderId="0" xfId="0" applyNumberFormat="1" applyFont="1" applyFill="1" applyProtection="1"/>
    <xf numFmtId="44" fontId="6" fillId="2" borderId="8" xfId="1" applyFont="1" applyFill="1" applyBorder="1"/>
    <xf numFmtId="0" fontId="15" fillId="2" borderId="8" xfId="0" applyFont="1" applyFill="1" applyBorder="1"/>
    <xf numFmtId="0" fontId="15" fillId="2" borderId="1" xfId="0" applyFont="1" applyFill="1" applyBorder="1"/>
    <xf numFmtId="0" fontId="15" fillId="2" borderId="4" xfId="0" applyFont="1" applyFill="1" applyBorder="1"/>
    <xf numFmtId="44" fontId="6" fillId="2" borderId="1" xfId="1" applyFont="1" applyFill="1" applyBorder="1"/>
    <xf numFmtId="0" fontId="6" fillId="2" borderId="1" xfId="0" applyFont="1" applyFill="1" applyBorder="1"/>
    <xf numFmtId="0" fontId="6" fillId="2" borderId="13" xfId="0" applyNumberFormat="1" applyFont="1" applyFill="1" applyBorder="1"/>
    <xf numFmtId="0" fontId="6" fillId="2" borderId="7" xfId="0" applyNumberFormat="1" applyFont="1" applyFill="1" applyBorder="1"/>
    <xf numFmtId="0" fontId="3" fillId="3" borderId="4" xfId="0" applyFont="1" applyFill="1" applyBorder="1" applyAlignment="1" applyProtection="1">
      <alignment vertical="top" wrapText="1"/>
      <protection locked="0"/>
    </xf>
    <xf numFmtId="0" fontId="6" fillId="3" borderId="7" xfId="0" applyFont="1" applyFill="1" applyBorder="1" applyProtection="1">
      <protection locked="0"/>
    </xf>
    <xf numFmtId="0" fontId="6" fillId="3" borderId="16" xfId="0" applyFont="1" applyFill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3" borderId="13" xfId="0" applyFont="1" applyFill="1" applyBorder="1" applyProtection="1">
      <protection locked="0"/>
    </xf>
    <xf numFmtId="0" fontId="6" fillId="3" borderId="11" xfId="0" applyFont="1" applyFill="1" applyBorder="1" applyProtection="1">
      <protection locked="0"/>
    </xf>
    <xf numFmtId="0" fontId="15" fillId="3" borderId="4" xfId="0" applyFont="1" applyFill="1" applyBorder="1" applyProtection="1">
      <protection locked="0"/>
    </xf>
    <xf numFmtId="0" fontId="15" fillId="3" borderId="15" xfId="0" applyFont="1" applyFill="1" applyBorder="1" applyProtection="1">
      <protection locked="0"/>
    </xf>
    <xf numFmtId="0" fontId="15" fillId="3" borderId="1" xfId="0" applyFont="1" applyFill="1" applyBorder="1" applyProtection="1">
      <protection locked="0"/>
    </xf>
    <xf numFmtId="0" fontId="14" fillId="2" borderId="0" xfId="0" applyFont="1" applyFill="1" applyBorder="1" applyAlignment="1"/>
    <xf numFmtId="0" fontId="14" fillId="0" borderId="0" xfId="0" applyFont="1" applyFill="1" applyBorder="1" applyAlignment="1"/>
    <xf numFmtId="0" fontId="14" fillId="0" borderId="13" xfId="0" applyFont="1" applyFill="1" applyBorder="1" applyAlignment="1"/>
    <xf numFmtId="0" fontId="36" fillId="2" borderId="12" xfId="0" applyFont="1" applyFill="1" applyBorder="1"/>
    <xf numFmtId="0" fontId="18" fillId="0" borderId="0" xfId="0" applyFont="1" applyAlignment="1">
      <alignment horizontal="center"/>
    </xf>
    <xf numFmtId="0" fontId="37" fillId="2" borderId="8" xfId="0" applyFont="1" applyFill="1" applyBorder="1" applyAlignment="1">
      <alignment horizontal="center"/>
    </xf>
    <xf numFmtId="1" fontId="6" fillId="3" borderId="7" xfId="1" applyNumberFormat="1" applyFont="1" applyFill="1" applyBorder="1" applyProtection="1">
      <protection locked="0"/>
    </xf>
    <xf numFmtId="1" fontId="6" fillId="3" borderId="13" xfId="1" applyNumberFormat="1" applyFont="1" applyFill="1" applyBorder="1" applyProtection="1">
      <protection locked="0"/>
    </xf>
    <xf numFmtId="1" fontId="6" fillId="3" borderId="7" xfId="0" applyNumberFormat="1" applyFont="1" applyFill="1" applyBorder="1" applyProtection="1">
      <protection locked="0"/>
    </xf>
    <xf numFmtId="1" fontId="6" fillId="3" borderId="13" xfId="0" applyNumberFormat="1" applyFont="1" applyFill="1" applyBorder="1" applyProtection="1">
      <protection locked="0"/>
    </xf>
    <xf numFmtId="1" fontId="6" fillId="3" borderId="11" xfId="0" applyNumberFormat="1" applyFont="1" applyFill="1" applyBorder="1" applyProtection="1">
      <protection locked="0"/>
    </xf>
    <xf numFmtId="1" fontId="15" fillId="3" borderId="4" xfId="0" applyNumberFormat="1" applyFont="1" applyFill="1" applyBorder="1" applyProtection="1">
      <protection locked="0"/>
    </xf>
    <xf numFmtId="1" fontId="15" fillId="3" borderId="7" xfId="0" applyNumberFormat="1" applyFont="1" applyFill="1" applyBorder="1" applyProtection="1">
      <protection locked="0"/>
    </xf>
    <xf numFmtId="44" fontId="5" fillId="3" borderId="1" xfId="0" applyNumberFormat="1" applyFont="1" applyFill="1" applyBorder="1" applyAlignment="1" applyProtection="1">
      <protection locked="0"/>
    </xf>
    <xf numFmtId="9" fontId="5" fillId="3" borderId="1" xfId="0" applyNumberFormat="1" applyFont="1" applyFill="1" applyBorder="1" applyAlignment="1" applyProtection="1">
      <alignment horizontal="center"/>
      <protection locked="0"/>
    </xf>
    <xf numFmtId="44" fontId="5" fillId="3" borderId="1" xfId="0" applyNumberFormat="1" applyFont="1" applyFill="1" applyBorder="1" applyAlignment="1" applyProtection="1">
      <alignment horizontal="left"/>
      <protection locked="0"/>
    </xf>
    <xf numFmtId="0" fontId="39" fillId="2" borderId="0" xfId="0" applyFont="1" applyFill="1" applyProtection="1"/>
    <xf numFmtId="44" fontId="39" fillId="2" borderId="0" xfId="0" applyNumberFormat="1" applyFont="1" applyFill="1" applyProtection="1"/>
    <xf numFmtId="0" fontId="40" fillId="2" borderId="0" xfId="0" applyFont="1" applyFill="1" applyProtection="1"/>
    <xf numFmtId="44" fontId="40" fillId="2" borderId="0" xfId="0" applyNumberFormat="1" applyFont="1" applyFill="1" applyProtection="1"/>
    <xf numFmtId="10" fontId="40" fillId="2" borderId="0" xfId="0" applyNumberFormat="1" applyFont="1" applyFill="1" applyProtection="1"/>
    <xf numFmtId="0" fontId="8" fillId="5" borderId="20" xfId="0" applyFont="1" applyFill="1" applyBorder="1" applyAlignment="1" applyProtection="1">
      <alignment horizontal="left"/>
      <protection locked="0"/>
    </xf>
    <xf numFmtId="0" fontId="8" fillId="5" borderId="17" xfId="0" applyFont="1" applyFill="1" applyBorder="1" applyAlignment="1" applyProtection="1">
      <alignment horizontal="left"/>
      <protection locked="0"/>
    </xf>
    <xf numFmtId="0" fontId="8" fillId="5" borderId="18" xfId="0" applyFont="1" applyFill="1" applyBorder="1" applyAlignment="1" applyProtection="1">
      <alignment horizontal="left"/>
      <protection locked="0"/>
    </xf>
    <xf numFmtId="0" fontId="8" fillId="5" borderId="14" xfId="0" applyFont="1" applyFill="1" applyBorder="1" applyAlignment="1" applyProtection="1">
      <alignment horizontal="left"/>
      <protection locked="0"/>
    </xf>
    <xf numFmtId="0" fontId="6" fillId="2" borderId="0" xfId="0" applyFont="1" applyFill="1" applyBorder="1"/>
    <xf numFmtId="0" fontId="17" fillId="2" borderId="12" xfId="0" applyFont="1" applyFill="1" applyBorder="1" applyAlignment="1">
      <alignment horizontal="center"/>
    </xf>
    <xf numFmtId="0" fontId="7" fillId="2" borderId="1" xfId="0" applyFont="1" applyFill="1" applyBorder="1"/>
    <xf numFmtId="0" fontId="40" fillId="2" borderId="0" xfId="0" applyFont="1" applyFill="1"/>
    <xf numFmtId="2" fontId="40" fillId="2" borderId="0" xfId="0" applyNumberFormat="1" applyFont="1" applyFill="1"/>
    <xf numFmtId="0" fontId="33" fillId="2" borderId="0" xfId="0" applyFont="1" applyFill="1" applyBorder="1" applyProtection="1"/>
    <xf numFmtId="166" fontId="39" fillId="2" borderId="0" xfId="0" applyNumberFormat="1" applyFont="1" applyFill="1" applyProtection="1"/>
    <xf numFmtId="0" fontId="39" fillId="2" borderId="0" xfId="0" applyFont="1" applyFill="1"/>
    <xf numFmtId="42" fontId="39" fillId="2" borderId="0" xfId="0" applyNumberFormat="1" applyFont="1" applyFill="1"/>
    <xf numFmtId="0" fontId="41" fillId="2" borderId="0" xfId="0" applyFont="1" applyFill="1" applyProtection="1"/>
    <xf numFmtId="0" fontId="42" fillId="2" borderId="0" xfId="0" applyFont="1" applyFill="1" applyAlignment="1" applyProtection="1">
      <alignment horizontal="center"/>
    </xf>
    <xf numFmtId="0" fontId="41" fillId="2" borderId="0" xfId="0" applyFont="1" applyFill="1" applyAlignment="1" applyProtection="1">
      <alignment horizontal="center"/>
    </xf>
    <xf numFmtId="9" fontId="43" fillId="2" borderId="0" xfId="0" applyNumberFormat="1" applyFont="1" applyFill="1" applyProtection="1"/>
    <xf numFmtId="0" fontId="42" fillId="2" borderId="0" xfId="0" applyFont="1" applyFill="1" applyAlignment="1" applyProtection="1">
      <alignment horizontal="left"/>
    </xf>
    <xf numFmtId="10" fontId="40" fillId="6" borderId="0" xfId="0" applyNumberFormat="1" applyFont="1" applyFill="1" applyProtection="1">
      <protection locked="0"/>
    </xf>
    <xf numFmtId="9" fontId="44" fillId="2" borderId="0" xfId="0" applyNumberFormat="1" applyFont="1" applyFill="1" applyProtection="1"/>
    <xf numFmtId="10" fontId="43" fillId="2" borderId="0" xfId="0" applyNumberFormat="1" applyFont="1" applyFill="1" applyAlignment="1" applyProtection="1">
      <alignment horizontal="center"/>
    </xf>
    <xf numFmtId="9" fontId="40" fillId="2" borderId="0" xfId="0" applyNumberFormat="1" applyFont="1" applyFill="1" applyProtection="1"/>
    <xf numFmtId="10" fontId="45" fillId="2" borderId="1" xfId="4" applyNumberFormat="1" applyFont="1" applyFill="1" applyBorder="1"/>
    <xf numFmtId="10" fontId="39" fillId="2" borderId="0" xfId="0" applyNumberFormat="1" applyFont="1" applyFill="1" applyProtection="1"/>
    <xf numFmtId="0" fontId="38" fillId="2" borderId="2" xfId="3" applyFont="1" applyFill="1" applyBorder="1" applyAlignment="1">
      <alignment horizontal="center"/>
    </xf>
    <xf numFmtId="0" fontId="38" fillId="2" borderId="8" xfId="3" applyFont="1" applyFill="1" applyBorder="1" applyAlignment="1">
      <alignment horizontal="center"/>
    </xf>
    <xf numFmtId="164" fontId="6" fillId="2" borderId="0" xfId="0" applyNumberFormat="1" applyFont="1" applyFill="1"/>
    <xf numFmtId="10" fontId="39" fillId="2" borderId="0" xfId="4" applyNumberFormat="1" applyFont="1" applyFill="1" applyProtection="1"/>
    <xf numFmtId="0" fontId="5" fillId="2" borderId="0" xfId="0" applyFont="1" applyFill="1" applyBorder="1" applyAlignment="1" applyProtection="1">
      <alignment horizontal="left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32" fillId="2" borderId="15" xfId="0" applyFont="1" applyFill="1" applyBorder="1" applyAlignment="1" applyProtection="1">
      <alignment horizontal="left"/>
    </xf>
    <xf numFmtId="0" fontId="32" fillId="2" borderId="16" xfId="0" applyFont="1" applyFill="1" applyBorder="1" applyAlignment="1" applyProtection="1">
      <alignment horizontal="left"/>
    </xf>
    <xf numFmtId="0" fontId="32" fillId="2" borderId="7" xfId="0" applyFont="1" applyFill="1" applyBorder="1" applyAlignment="1" applyProtection="1">
      <alignment horizontal="left"/>
    </xf>
    <xf numFmtId="0" fontId="5" fillId="2" borderId="14" xfId="0" applyFont="1" applyFill="1" applyBorder="1" applyAlignment="1" applyProtection="1">
      <alignment horizontal="left"/>
    </xf>
    <xf numFmtId="0" fontId="5" fillId="2" borderId="3" xfId="0" applyFont="1" applyFill="1" applyBorder="1" applyAlignment="1" applyProtection="1">
      <alignment horizontal="left"/>
    </xf>
    <xf numFmtId="0" fontId="5" fillId="2" borderId="4" xfId="0" applyFont="1" applyFill="1" applyBorder="1" applyAlignment="1" applyProtection="1">
      <alignment horizontal="left"/>
    </xf>
    <xf numFmtId="0" fontId="28" fillId="2" borderId="0" xfId="0" applyFont="1" applyFill="1" applyAlignment="1" applyProtection="1">
      <alignment horizontal="center"/>
    </xf>
    <xf numFmtId="0" fontId="5" fillId="2" borderId="9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0" fontId="5" fillId="2" borderId="14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9" xfId="0" applyFont="1" applyFill="1" applyBorder="1" applyAlignment="1" applyProtection="1">
      <alignment horizontal="left"/>
    </xf>
    <xf numFmtId="0" fontId="5" fillId="2" borderId="10" xfId="0" applyFont="1" applyFill="1" applyBorder="1" applyAlignment="1" applyProtection="1">
      <alignment horizontal="left"/>
    </xf>
    <xf numFmtId="0" fontId="5" fillId="2" borderId="11" xfId="0" applyFont="1" applyFill="1" applyBorder="1" applyAlignment="1" applyProtection="1">
      <alignment horizontal="left"/>
    </xf>
    <xf numFmtId="0" fontId="11" fillId="2" borderId="0" xfId="0" applyFont="1" applyFill="1" applyAlignment="1" applyProtection="1">
      <alignment horizontal="center"/>
    </xf>
    <xf numFmtId="0" fontId="13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wrapText="1"/>
    </xf>
    <xf numFmtId="0" fontId="5" fillId="3" borderId="9" xfId="0" applyFont="1" applyFill="1" applyBorder="1" applyAlignment="1" applyProtection="1">
      <alignment horizontal="left"/>
      <protection locked="0"/>
    </xf>
    <xf numFmtId="0" fontId="5" fillId="3" borderId="10" xfId="0" applyFont="1" applyFill="1" applyBorder="1" applyAlignment="1" applyProtection="1">
      <alignment horizontal="left"/>
      <protection locked="0"/>
    </xf>
    <xf numFmtId="0" fontId="5" fillId="3" borderId="11" xfId="0" applyFont="1" applyFill="1" applyBorder="1" applyAlignment="1" applyProtection="1">
      <alignment horizontal="left"/>
      <protection locked="0"/>
    </xf>
    <xf numFmtId="0" fontId="5" fillId="3" borderId="14" xfId="0" applyFont="1" applyFill="1" applyBorder="1" applyAlignment="1" applyProtection="1">
      <alignment horizontal="left" wrapText="1"/>
      <protection locked="0"/>
    </xf>
    <xf numFmtId="0" fontId="5" fillId="3" borderId="3" xfId="0" applyFont="1" applyFill="1" applyBorder="1" applyAlignment="1" applyProtection="1">
      <alignment horizontal="left"/>
      <protection locked="0"/>
    </xf>
    <xf numFmtId="0" fontId="5" fillId="3" borderId="4" xfId="0" applyFont="1" applyFill="1" applyBorder="1" applyAlignment="1" applyProtection="1">
      <alignment horizontal="left"/>
      <protection locked="0"/>
    </xf>
    <xf numFmtId="0" fontId="14" fillId="2" borderId="9" xfId="0" applyFont="1" applyFill="1" applyBorder="1" applyAlignment="1">
      <alignment horizontal="left"/>
    </xf>
    <xf numFmtId="0" fontId="14" fillId="2" borderId="10" xfId="0" applyFont="1" applyFill="1" applyBorder="1" applyAlignment="1">
      <alignment horizontal="left"/>
    </xf>
    <xf numFmtId="0" fontId="14" fillId="2" borderId="11" xfId="0" applyFont="1" applyFill="1" applyBorder="1" applyAlignment="1">
      <alignment horizontal="left"/>
    </xf>
    <xf numFmtId="18" fontId="14" fillId="2" borderId="12" xfId="0" applyNumberFormat="1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4" fillId="2" borderId="13" xfId="0" applyFont="1" applyFill="1" applyBorder="1" applyAlignment="1">
      <alignment horizontal="left"/>
    </xf>
    <xf numFmtId="0" fontId="14" fillId="2" borderId="14" xfId="0" applyFont="1" applyFill="1" applyBorder="1" applyAlignment="1">
      <alignment horizontal="left"/>
    </xf>
    <xf numFmtId="0" fontId="14" fillId="2" borderId="3" xfId="0" applyFont="1" applyFill="1" applyBorder="1" applyAlignment="1">
      <alignment horizontal="left"/>
    </xf>
    <xf numFmtId="0" fontId="14" fillId="2" borderId="4" xfId="0" applyFont="1" applyFill="1" applyBorder="1" applyAlignment="1">
      <alignment horizontal="left"/>
    </xf>
    <xf numFmtId="0" fontId="11" fillId="2" borderId="0" xfId="0" applyFont="1" applyFill="1" applyAlignment="1">
      <alignment horizontal="center"/>
    </xf>
    <xf numFmtId="0" fontId="5" fillId="3" borderId="9" xfId="0" applyNumberFormat="1" applyFont="1" applyFill="1" applyBorder="1" applyAlignment="1" applyProtection="1">
      <alignment horizontal="left"/>
      <protection locked="0"/>
    </xf>
    <xf numFmtId="0" fontId="15" fillId="0" borderId="15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5" fillId="3" borderId="14" xfId="0" applyFont="1" applyFill="1" applyBorder="1" applyAlignment="1" applyProtection="1">
      <alignment horizontal="left"/>
      <protection locked="0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left"/>
    </xf>
    <xf numFmtId="0" fontId="17" fillId="2" borderId="14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3" fillId="2" borderId="14" xfId="0" applyFont="1" applyFill="1" applyBorder="1" applyAlignment="1" applyProtection="1">
      <alignment horizontal="left"/>
    </xf>
    <xf numFmtId="0" fontId="13" fillId="2" borderId="3" xfId="0" applyFont="1" applyFill="1" applyBorder="1" applyAlignment="1" applyProtection="1">
      <alignment horizontal="left"/>
    </xf>
    <xf numFmtId="0" fontId="15" fillId="2" borderId="0" xfId="0" applyFont="1" applyFill="1" applyAlignment="1">
      <alignment horizontal="center"/>
    </xf>
    <xf numFmtId="0" fontId="5" fillId="3" borderId="9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26" fillId="2" borderId="0" xfId="0" applyFont="1" applyFill="1" applyAlignment="1">
      <alignment horizontal="center"/>
    </xf>
    <xf numFmtId="0" fontId="5" fillId="2" borderId="14" xfId="0" applyFont="1" applyFill="1" applyBorder="1" applyAlignment="1" applyProtection="1">
      <alignment horizontal="center"/>
    </xf>
    <xf numFmtId="0" fontId="5" fillId="2" borderId="4" xfId="0" applyFont="1" applyFill="1" applyBorder="1" applyAlignment="1" applyProtection="1">
      <alignment horizontal="center"/>
    </xf>
    <xf numFmtId="0" fontId="5" fillId="2" borderId="9" xfId="0" applyFont="1" applyFill="1" applyBorder="1" applyAlignment="1" applyProtection="1">
      <alignment horizontal="center"/>
    </xf>
    <xf numFmtId="0" fontId="5" fillId="2" borderId="11" xfId="0" applyFont="1" applyFill="1" applyBorder="1" applyAlignment="1" applyProtection="1">
      <alignment horizontal="center"/>
    </xf>
    <xf numFmtId="0" fontId="5" fillId="2" borderId="15" xfId="0" applyFont="1" applyFill="1" applyBorder="1" applyAlignment="1" applyProtection="1">
      <alignment horizontal="center"/>
    </xf>
    <xf numFmtId="0" fontId="5" fillId="2" borderId="7" xfId="0" applyFont="1" applyFill="1" applyBorder="1" applyAlignment="1" applyProtection="1">
      <alignment horizontal="center"/>
    </xf>
    <xf numFmtId="0" fontId="22" fillId="2" borderId="0" xfId="0" applyFont="1" applyFill="1" applyAlignment="1">
      <alignment horizontal="center"/>
    </xf>
  </cellXfs>
  <cellStyles count="6">
    <cellStyle name="Currency" xfId="1" builtinId="4"/>
    <cellStyle name="Currency 2" xfId="2" xr:uid="{00000000-0005-0000-0000-000001000000}"/>
    <cellStyle name="Normal" xfId="0" builtinId="0"/>
    <cellStyle name="Normal 2" xfId="3" xr:uid="{00000000-0005-0000-0000-000003000000}"/>
    <cellStyle name="Percent" xfId="4" builtinId="5"/>
    <cellStyle name="Percent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cid:image007.jpg@01CD0E86.3E6ED5B0" TargetMode="External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215</xdr:row>
          <xdr:rowOff>133350</xdr:rowOff>
        </xdr:from>
        <xdr:to>
          <xdr:col>6</xdr:col>
          <xdr:colOff>666750</xdr:colOff>
          <xdr:row>222</xdr:row>
          <xdr:rowOff>85725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47625</xdr:colOff>
      <xdr:row>0</xdr:row>
      <xdr:rowOff>114300</xdr:rowOff>
    </xdr:from>
    <xdr:to>
      <xdr:col>2</xdr:col>
      <xdr:colOff>38100</xdr:colOff>
      <xdr:row>3</xdr:row>
      <xdr:rowOff>19050</xdr:rowOff>
    </xdr:to>
    <xdr:pic>
      <xdr:nvPicPr>
        <xdr:cNvPr id="1525" name="Picture 2" descr="cid:image007.jpg@01CD0E86.3E6ED5B0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14300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71</xdr:row>
      <xdr:rowOff>104775</xdr:rowOff>
    </xdr:from>
    <xdr:to>
      <xdr:col>2</xdr:col>
      <xdr:colOff>66675</xdr:colOff>
      <xdr:row>74</xdr:row>
      <xdr:rowOff>9525</xdr:rowOff>
    </xdr:to>
    <xdr:pic>
      <xdr:nvPicPr>
        <xdr:cNvPr id="1526" name="Picture 2" descr="cid:image007.jpg@01CD0E86.3E6ED5B0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2477750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123</xdr:row>
      <xdr:rowOff>152400</xdr:rowOff>
    </xdr:from>
    <xdr:to>
      <xdr:col>2</xdr:col>
      <xdr:colOff>133350</xdr:colOff>
      <xdr:row>126</xdr:row>
      <xdr:rowOff>57150</xdr:rowOff>
    </xdr:to>
    <xdr:pic>
      <xdr:nvPicPr>
        <xdr:cNvPr id="1527" name="Picture 2" descr="cid:image007.jpg@01CD0E86.3E6ED5B0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1393150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676275</xdr:colOff>
      <xdr:row>186</xdr:row>
      <xdr:rowOff>28575</xdr:rowOff>
    </xdr:from>
    <xdr:to>
      <xdr:col>5</xdr:col>
      <xdr:colOff>485775</xdr:colOff>
      <xdr:row>191</xdr:row>
      <xdr:rowOff>9525</xdr:rowOff>
    </xdr:to>
    <xdr:pic>
      <xdr:nvPicPr>
        <xdr:cNvPr id="1528" name="Picture 2" descr="cid:image007.jpg@01CD0E86.3E6ED5B0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175" y="31984950"/>
          <a:ext cx="29527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104775</xdr:colOff>
      <xdr:row>231</xdr:row>
      <xdr:rowOff>133350</xdr:rowOff>
    </xdr:from>
    <xdr:to>
      <xdr:col>2</xdr:col>
      <xdr:colOff>95250</xdr:colOff>
      <xdr:row>234</xdr:row>
      <xdr:rowOff>38100</xdr:rowOff>
    </xdr:to>
    <xdr:pic>
      <xdr:nvPicPr>
        <xdr:cNvPr id="1529" name="Picture 2" descr="cid:image007.jpg@01CD0E86.3E6ED5B0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0338375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161925</xdr:colOff>
      <xdr:row>274</xdr:row>
      <xdr:rowOff>133350</xdr:rowOff>
    </xdr:from>
    <xdr:to>
      <xdr:col>2</xdr:col>
      <xdr:colOff>152400</xdr:colOff>
      <xdr:row>277</xdr:row>
      <xdr:rowOff>38100</xdr:rowOff>
    </xdr:to>
    <xdr:pic>
      <xdr:nvPicPr>
        <xdr:cNvPr id="1530" name="Picture 2" descr="cid:image007.jpg@01CD0E86.3E6ED5B0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47977425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95250</xdr:colOff>
      <xdr:row>321</xdr:row>
      <xdr:rowOff>28575</xdr:rowOff>
    </xdr:from>
    <xdr:to>
      <xdr:col>2</xdr:col>
      <xdr:colOff>85725</xdr:colOff>
      <xdr:row>323</xdr:row>
      <xdr:rowOff>95250</xdr:rowOff>
    </xdr:to>
    <xdr:pic>
      <xdr:nvPicPr>
        <xdr:cNvPr id="1531" name="Picture 2" descr="cid:image007.jpg@01CD0E86.3E6ED5B0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6435625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161925</xdr:colOff>
      <xdr:row>367</xdr:row>
      <xdr:rowOff>19050</xdr:rowOff>
    </xdr:from>
    <xdr:to>
      <xdr:col>2</xdr:col>
      <xdr:colOff>152400</xdr:colOff>
      <xdr:row>369</xdr:row>
      <xdr:rowOff>85725</xdr:rowOff>
    </xdr:to>
    <xdr:pic>
      <xdr:nvPicPr>
        <xdr:cNvPr id="1532" name="Picture 2" descr="cid:image007.jpg@01CD0E86.3E6ED5B0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64598550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412</xdr:row>
      <xdr:rowOff>133350</xdr:rowOff>
    </xdr:from>
    <xdr:to>
      <xdr:col>2</xdr:col>
      <xdr:colOff>133350</xdr:colOff>
      <xdr:row>415</xdr:row>
      <xdr:rowOff>38100</xdr:rowOff>
    </xdr:to>
    <xdr:pic>
      <xdr:nvPicPr>
        <xdr:cNvPr id="1533" name="Picture 2" descr="cid:image007.jpg@01CD0E86.3E6ED5B0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72723375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458</xdr:row>
      <xdr:rowOff>123825</xdr:rowOff>
    </xdr:from>
    <xdr:to>
      <xdr:col>2</xdr:col>
      <xdr:colOff>209550</xdr:colOff>
      <xdr:row>461</xdr:row>
      <xdr:rowOff>28575</xdr:rowOff>
    </xdr:to>
    <xdr:pic>
      <xdr:nvPicPr>
        <xdr:cNvPr id="1534" name="Picture 2" descr="cid:image007.jpg@01CD0E86.3E6ED5B0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80886300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152400</xdr:colOff>
      <xdr:row>505</xdr:row>
      <xdr:rowOff>0</xdr:rowOff>
    </xdr:from>
    <xdr:to>
      <xdr:col>2</xdr:col>
      <xdr:colOff>142875</xdr:colOff>
      <xdr:row>507</xdr:row>
      <xdr:rowOff>66675</xdr:rowOff>
    </xdr:to>
    <xdr:pic>
      <xdr:nvPicPr>
        <xdr:cNvPr id="1535" name="Picture 2" descr="cid:image007.jpg@01CD0E86.3E6ED5B0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9096850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161924</xdr:colOff>
      <xdr:row>204</xdr:row>
      <xdr:rowOff>9524</xdr:rowOff>
    </xdr:from>
    <xdr:to>
      <xdr:col>5</xdr:col>
      <xdr:colOff>1125469</xdr:colOff>
      <xdr:row>214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83F5C5-2E18-4E85-9D94-88DE858FC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4" y="35271074"/>
          <a:ext cx="4106795" cy="22669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594"/>
  <sheetViews>
    <sheetView tabSelected="1" topLeftCell="A114" zoomScaleNormal="100" zoomScaleSheetLayoutView="100" workbookViewId="0">
      <selection activeCell="F117" sqref="F117"/>
    </sheetView>
  </sheetViews>
  <sheetFormatPr defaultRowHeight="12.75" x14ac:dyDescent="0.2"/>
  <cols>
    <col min="1" max="1" width="12.28515625" style="223" bestFit="1" customWidth="1"/>
    <col min="2" max="5" width="15.7109375" style="223" customWidth="1"/>
    <col min="6" max="6" width="17.7109375" style="223" customWidth="1"/>
    <col min="7" max="7" width="15.7109375" style="223" customWidth="1"/>
    <col min="8" max="8" width="14.42578125" style="223" bestFit="1" customWidth="1"/>
    <col min="9" max="9" width="12.28515625" style="223" bestFit="1" customWidth="1"/>
    <col min="10" max="10" width="15.5703125" style="223" customWidth="1"/>
    <col min="11" max="11" width="30.7109375" style="223" customWidth="1"/>
    <col min="12" max="18" width="9.140625" style="223"/>
    <col min="19" max="19" width="9.42578125" style="223" bestFit="1" customWidth="1"/>
    <col min="20" max="45" width="9.140625" style="223"/>
    <col min="46" max="47" width="12.7109375" style="324" customWidth="1"/>
    <col min="48" max="16384" width="9.140625" style="223"/>
  </cols>
  <sheetData>
    <row r="1" spans="1:256" s="14" customFormat="1" x14ac:dyDescent="0.2">
      <c r="A1" s="1"/>
      <c r="B1" s="1"/>
      <c r="C1" s="1"/>
      <c r="D1" s="1"/>
      <c r="E1" s="1"/>
      <c r="F1" s="330"/>
      <c r="G1" s="330" t="s">
        <v>113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2"/>
      <c r="AU1" s="12"/>
      <c r="AV1" s="1"/>
      <c r="AW1" s="1"/>
      <c r="AX1" s="1"/>
      <c r="AY1" s="1"/>
      <c r="AZ1" s="1"/>
      <c r="BA1" s="1"/>
      <c r="BB1" s="1"/>
      <c r="BC1" s="1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</row>
    <row r="2" spans="1:256" s="14" customForma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2"/>
      <c r="AU2" s="12"/>
      <c r="AV2" s="1"/>
      <c r="AW2" s="1"/>
      <c r="AX2" s="1"/>
      <c r="AY2" s="1"/>
      <c r="AZ2" s="1"/>
      <c r="BA2" s="1"/>
      <c r="BB2" s="1"/>
      <c r="BC2" s="1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</row>
    <row r="3" spans="1:256" s="21" customFormat="1" ht="18" customHeight="1" x14ac:dyDescent="0.25">
      <c r="A3" s="15"/>
      <c r="B3" s="422" t="s">
        <v>302</v>
      </c>
      <c r="C3" s="422"/>
      <c r="D3" s="422"/>
      <c r="E3" s="422"/>
      <c r="F3" s="422"/>
      <c r="G3" s="422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9"/>
      <c r="AU3" s="19"/>
      <c r="AV3" s="18"/>
      <c r="AW3" s="18"/>
      <c r="AX3" s="18"/>
      <c r="AY3" s="18"/>
      <c r="AZ3" s="18"/>
      <c r="BA3" s="18"/>
      <c r="BB3" s="18"/>
      <c r="BC3" s="18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</row>
    <row r="4" spans="1:256" s="21" customFormat="1" ht="18.75" thickBot="1" x14ac:dyDescent="0.3">
      <c r="A4" s="15"/>
      <c r="B4" s="16"/>
      <c r="C4" s="17"/>
      <c r="D4" s="17"/>
      <c r="E4" s="17"/>
      <c r="F4" s="17"/>
      <c r="G4" s="17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9"/>
      <c r="AU4" s="19"/>
      <c r="AV4" s="18"/>
      <c r="AW4" s="18"/>
      <c r="AX4" s="18"/>
      <c r="AY4" s="18"/>
      <c r="AZ4" s="18"/>
      <c r="BA4" s="18"/>
      <c r="BB4" s="18"/>
      <c r="BC4" s="18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</row>
    <row r="5" spans="1:256" s="21" customFormat="1" x14ac:dyDescent="0.2">
      <c r="A5" s="15"/>
      <c r="B5" s="22" t="s">
        <v>0</v>
      </c>
      <c r="C5" s="423" t="s">
        <v>324</v>
      </c>
      <c r="D5" s="424"/>
      <c r="E5" s="425"/>
      <c r="F5" s="15"/>
      <c r="G5" s="15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9"/>
      <c r="AU5" s="19"/>
      <c r="AV5" s="18"/>
      <c r="AW5" s="18"/>
      <c r="AX5" s="18"/>
      <c r="AY5" s="18"/>
      <c r="AZ5" s="18"/>
      <c r="BA5" s="18"/>
      <c r="BB5" s="18"/>
      <c r="BC5" s="18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</row>
    <row r="6" spans="1:256" s="21" customFormat="1" ht="13.5" thickBot="1" x14ac:dyDescent="0.25">
      <c r="A6" s="15"/>
      <c r="B6" s="22" t="s">
        <v>1</v>
      </c>
      <c r="C6" s="426" t="s">
        <v>325</v>
      </c>
      <c r="D6" s="427"/>
      <c r="E6" s="428"/>
      <c r="F6" s="15"/>
      <c r="G6" s="15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9"/>
      <c r="AU6" s="19"/>
      <c r="AV6" s="18"/>
      <c r="AW6" s="18"/>
      <c r="AX6" s="18"/>
      <c r="AY6" s="18"/>
      <c r="AZ6" s="18"/>
      <c r="BA6" s="18"/>
      <c r="BB6" s="18"/>
      <c r="BC6" s="18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</row>
    <row r="7" spans="1:256" s="21" customFormat="1" x14ac:dyDescent="0.2">
      <c r="A7" s="15"/>
      <c r="B7" s="15"/>
      <c r="C7" s="15"/>
      <c r="D7" s="15"/>
      <c r="E7" s="15"/>
      <c r="F7" s="15"/>
      <c r="G7" s="23" t="s">
        <v>150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9"/>
      <c r="AU7" s="19"/>
      <c r="AV7" s="18"/>
      <c r="AW7" s="18"/>
      <c r="AX7" s="18"/>
      <c r="AY7" s="18"/>
      <c r="AZ7" s="18"/>
      <c r="BA7" s="18"/>
      <c r="BB7" s="18"/>
      <c r="BC7" s="18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</row>
    <row r="8" spans="1:256" s="21" customFormat="1" x14ac:dyDescent="0.2">
      <c r="A8" s="15"/>
      <c r="B8" s="421" t="s">
        <v>281</v>
      </c>
      <c r="C8" s="421"/>
      <c r="D8" s="421"/>
      <c r="E8" s="421"/>
      <c r="F8" s="421"/>
      <c r="G8" s="15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9"/>
      <c r="AU8" s="19"/>
      <c r="AV8" s="18"/>
      <c r="AW8" s="18"/>
      <c r="AX8" s="18"/>
      <c r="AY8" s="18"/>
      <c r="AZ8" s="18"/>
      <c r="BA8" s="18"/>
      <c r="BB8" s="18"/>
      <c r="BC8" s="18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</row>
    <row r="9" spans="1:256" s="18" customFormat="1" ht="13.5" thickBot="1" x14ac:dyDescent="0.25">
      <c r="AT9" s="19"/>
      <c r="AU9" s="19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</row>
    <row r="10" spans="1:256" s="30" customFormat="1" ht="15" thickBot="1" x14ac:dyDescent="0.25">
      <c r="A10" s="18"/>
      <c r="B10" s="25" t="s">
        <v>17</v>
      </c>
      <c r="C10" s="26" t="s">
        <v>126</v>
      </c>
      <c r="D10" s="26"/>
      <c r="E10" s="26"/>
      <c r="F10" s="26"/>
      <c r="G10" s="26" t="s">
        <v>131</v>
      </c>
      <c r="H10" s="18"/>
      <c r="I10" s="18"/>
      <c r="J10" s="18"/>
      <c r="K10" s="2"/>
      <c r="L10" s="27" t="s">
        <v>262</v>
      </c>
      <c r="M10" s="27" t="s">
        <v>263</v>
      </c>
      <c r="N10" s="27" t="s">
        <v>264</v>
      </c>
      <c r="O10" s="27" t="s">
        <v>265</v>
      </c>
      <c r="P10" s="27" t="s">
        <v>266</v>
      </c>
      <c r="Q10" s="27" t="s">
        <v>267</v>
      </c>
      <c r="R10" s="27" t="s">
        <v>268</v>
      </c>
      <c r="S10" s="27" t="s">
        <v>275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28"/>
      <c r="AU10" s="28"/>
      <c r="AV10" s="4"/>
      <c r="AW10" s="4"/>
      <c r="AX10" s="4"/>
      <c r="AY10" s="4"/>
      <c r="AZ10" s="4"/>
      <c r="BA10" s="4"/>
      <c r="BB10" s="4"/>
      <c r="BC10" s="4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29"/>
      <c r="EZ10" s="29"/>
      <c r="FA10" s="29"/>
      <c r="FB10" s="29"/>
      <c r="FC10" s="29"/>
      <c r="FD10" s="29"/>
      <c r="FE10" s="29"/>
      <c r="FF10" s="29"/>
      <c r="FG10" s="29"/>
      <c r="FH10" s="29"/>
      <c r="FI10" s="29"/>
      <c r="FJ10" s="29"/>
      <c r="FK10" s="29"/>
      <c r="FL10" s="29"/>
      <c r="FM10" s="29"/>
      <c r="FN10" s="29"/>
      <c r="FO10" s="29"/>
      <c r="FP10" s="29"/>
      <c r="FQ10" s="29"/>
      <c r="FR10" s="29"/>
      <c r="FS10" s="29"/>
      <c r="FT10" s="29"/>
      <c r="FU10" s="29"/>
      <c r="FV10" s="29"/>
      <c r="FW10" s="29"/>
      <c r="FX10" s="29"/>
      <c r="FY10" s="29"/>
      <c r="FZ10" s="29"/>
      <c r="GA10" s="29"/>
      <c r="GB10" s="29"/>
      <c r="GC10" s="29"/>
      <c r="GD10" s="29"/>
      <c r="GE10" s="29"/>
      <c r="GF10" s="29"/>
      <c r="GG10" s="29"/>
      <c r="GH10" s="29"/>
      <c r="GI10" s="29"/>
      <c r="GJ10" s="29"/>
      <c r="GK10" s="29"/>
      <c r="GL10" s="29"/>
      <c r="GM10" s="29"/>
      <c r="GN10" s="29"/>
      <c r="GO10" s="29"/>
      <c r="GP10" s="29"/>
      <c r="GQ10" s="29"/>
      <c r="GR10" s="29"/>
      <c r="GS10" s="29"/>
      <c r="GT10" s="29"/>
      <c r="GU10" s="29"/>
      <c r="GV10" s="29"/>
      <c r="GW10" s="29"/>
      <c r="GX10" s="29"/>
      <c r="GY10" s="29"/>
      <c r="GZ10" s="29"/>
      <c r="HA10" s="29"/>
      <c r="HB10" s="29"/>
      <c r="HC10" s="29"/>
      <c r="HD10" s="29"/>
      <c r="HE10" s="29"/>
      <c r="HF10" s="29"/>
      <c r="HG10" s="29"/>
      <c r="HH10" s="29"/>
      <c r="HI10" s="29"/>
      <c r="HJ10" s="29"/>
      <c r="HK10" s="29"/>
      <c r="HL10" s="29"/>
      <c r="HM10" s="29"/>
      <c r="HN10" s="29"/>
      <c r="HO10" s="29"/>
      <c r="HP10" s="29"/>
      <c r="HQ10" s="29"/>
      <c r="HR10" s="29"/>
      <c r="HS10" s="29"/>
      <c r="HT10" s="29"/>
      <c r="HU10" s="29"/>
      <c r="HV10" s="29"/>
      <c r="HW10" s="29"/>
      <c r="HX10" s="29"/>
      <c r="HY10" s="29"/>
      <c r="HZ10" s="29"/>
      <c r="IA10" s="29"/>
      <c r="IB10" s="29"/>
      <c r="IC10" s="29"/>
      <c r="ID10" s="29"/>
      <c r="IE10" s="29"/>
      <c r="IF10" s="29"/>
      <c r="IG10" s="29"/>
      <c r="IH10" s="29"/>
      <c r="II10" s="29"/>
      <c r="IJ10" s="29"/>
      <c r="IK10" s="29"/>
      <c r="IL10" s="29"/>
      <c r="IM10" s="29"/>
      <c r="IN10" s="29"/>
      <c r="IO10" s="29"/>
      <c r="IP10" s="29"/>
      <c r="IQ10" s="29"/>
      <c r="IR10" s="29"/>
      <c r="IS10" s="29"/>
      <c r="IT10" s="29"/>
      <c r="IU10" s="29"/>
      <c r="IV10" s="29"/>
    </row>
    <row r="11" spans="1:256" s="30" customFormat="1" ht="15" thickBot="1" x14ac:dyDescent="0.25">
      <c r="A11" s="4"/>
      <c r="B11" s="31" t="s">
        <v>18</v>
      </c>
      <c r="C11" s="17" t="s">
        <v>128</v>
      </c>
      <c r="D11" s="32" t="s">
        <v>127</v>
      </c>
      <c r="E11" s="17" t="s">
        <v>129</v>
      </c>
      <c r="F11" s="33" t="s">
        <v>130</v>
      </c>
      <c r="G11" s="33" t="s">
        <v>132</v>
      </c>
      <c r="H11" s="18"/>
      <c r="I11" s="18"/>
      <c r="J11" s="18"/>
      <c r="K11" s="3" t="s">
        <v>269</v>
      </c>
      <c r="L11" s="345"/>
      <c r="M11" s="345"/>
      <c r="N11" s="345">
        <v>10</v>
      </c>
      <c r="O11" s="345">
        <v>10</v>
      </c>
      <c r="P11" s="345">
        <v>10</v>
      </c>
      <c r="Q11" s="345">
        <v>10</v>
      </c>
      <c r="R11" s="345">
        <v>10</v>
      </c>
      <c r="S11" s="34">
        <f t="shared" ref="S11:S28" si="0">SUM(L11:R11)</f>
        <v>50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28"/>
      <c r="AU11" s="28"/>
      <c r="AV11" s="4"/>
      <c r="AW11" s="4"/>
      <c r="AX11" s="4"/>
      <c r="AY11" s="4"/>
      <c r="AZ11" s="4"/>
      <c r="BA11" s="4"/>
      <c r="BB11" s="4"/>
      <c r="BC11" s="4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 s="29"/>
      <c r="GL11" s="29"/>
      <c r="GM11" s="29"/>
      <c r="GN11" s="29"/>
      <c r="GO11" s="29"/>
      <c r="GP11" s="29"/>
      <c r="GQ11" s="29"/>
      <c r="GR11" s="29"/>
      <c r="GS11" s="29"/>
      <c r="GT11" s="29"/>
      <c r="GU11" s="29"/>
      <c r="GV11" s="29"/>
      <c r="GW11" s="29"/>
      <c r="GX11" s="29"/>
      <c r="GY11" s="29"/>
      <c r="GZ11" s="29"/>
      <c r="HA11" s="29"/>
      <c r="HB11" s="29"/>
      <c r="HC11" s="29"/>
      <c r="HD11" s="29"/>
      <c r="HE11" s="29"/>
      <c r="HF11" s="29"/>
      <c r="HG11" s="29"/>
      <c r="HH11" s="29"/>
      <c r="HI11" s="29"/>
      <c r="HJ11" s="29"/>
      <c r="HK11" s="29"/>
      <c r="HL11" s="29"/>
      <c r="HM11" s="29"/>
      <c r="HN11" s="29"/>
      <c r="HO11" s="29"/>
      <c r="HP11" s="29"/>
      <c r="HQ11" s="29"/>
      <c r="HR11" s="29"/>
      <c r="HS11" s="29"/>
      <c r="HT11" s="29"/>
      <c r="HU11" s="29"/>
      <c r="HV11" s="29"/>
      <c r="HW11" s="29"/>
      <c r="HX11" s="29"/>
      <c r="HY11" s="29"/>
      <c r="HZ11" s="29"/>
      <c r="IA11" s="29"/>
      <c r="IB11" s="29"/>
      <c r="IC11" s="29"/>
      <c r="ID11" s="29"/>
      <c r="IE11" s="29"/>
      <c r="IF11" s="29"/>
      <c r="IG11" s="29"/>
      <c r="IH11" s="29"/>
      <c r="II11" s="29"/>
      <c r="IJ11" s="29"/>
      <c r="IK11" s="29"/>
      <c r="IL11" s="29"/>
      <c r="IM11" s="29"/>
      <c r="IN11" s="29"/>
      <c r="IO11" s="29"/>
      <c r="IP11" s="29"/>
      <c r="IQ11" s="29"/>
      <c r="IR11" s="29"/>
      <c r="IS11" s="29"/>
      <c r="IT11" s="29"/>
      <c r="IU11" s="29"/>
      <c r="IV11" s="29"/>
    </row>
    <row r="12" spans="1:256" s="30" customFormat="1" ht="15" thickBot="1" x14ac:dyDescent="0.25">
      <c r="A12" s="4"/>
      <c r="B12" s="35"/>
      <c r="C12" s="36">
        <v>12</v>
      </c>
      <c r="D12" s="36">
        <v>12</v>
      </c>
      <c r="E12" s="36">
        <v>12</v>
      </c>
      <c r="F12" s="36">
        <v>12</v>
      </c>
      <c r="G12" s="37">
        <f>(4*$C$12)+$D$12+$E$12+$F$12</f>
        <v>84</v>
      </c>
      <c r="H12" s="401"/>
      <c r="I12" s="18"/>
      <c r="J12" s="18"/>
      <c r="K12" s="3" t="s">
        <v>270</v>
      </c>
      <c r="L12" s="345">
        <v>9</v>
      </c>
      <c r="M12" s="345">
        <v>10</v>
      </c>
      <c r="N12" s="345" t="s">
        <v>312</v>
      </c>
      <c r="O12" s="345" t="s">
        <v>312</v>
      </c>
      <c r="P12" s="345">
        <v>10</v>
      </c>
      <c r="Q12" s="345">
        <v>10</v>
      </c>
      <c r="R12" s="345">
        <v>10</v>
      </c>
      <c r="S12" s="34">
        <f t="shared" si="0"/>
        <v>49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28"/>
      <c r="AU12" s="28"/>
      <c r="AV12" s="4"/>
      <c r="AW12" s="4"/>
      <c r="AX12" s="4"/>
      <c r="AY12" s="4"/>
      <c r="AZ12" s="4"/>
      <c r="BA12" s="4"/>
      <c r="BB12" s="4"/>
      <c r="BC12" s="4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29"/>
      <c r="EZ12" s="29"/>
      <c r="FA12" s="29"/>
      <c r="FB12" s="29"/>
      <c r="FC12" s="29"/>
      <c r="FD12" s="29"/>
      <c r="FE12" s="29"/>
      <c r="FF12" s="29"/>
      <c r="FG12" s="29"/>
      <c r="FH12" s="29"/>
      <c r="FI12" s="29"/>
      <c r="FJ12" s="29"/>
      <c r="FK12" s="29"/>
      <c r="FL12" s="29"/>
      <c r="FM12" s="29"/>
      <c r="FN12" s="29"/>
      <c r="FO12" s="29"/>
      <c r="FP12" s="29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29"/>
      <c r="GB12" s="29"/>
      <c r="GC12" s="29"/>
      <c r="GD12" s="29"/>
      <c r="GE12" s="29"/>
      <c r="GF12" s="29"/>
      <c r="GG12" s="29"/>
      <c r="GH12" s="29"/>
      <c r="GI12" s="29"/>
      <c r="GJ12" s="29"/>
      <c r="GK12" s="29"/>
      <c r="GL12" s="29"/>
      <c r="GM12" s="29"/>
      <c r="GN12" s="29"/>
      <c r="GO12" s="29"/>
      <c r="GP12" s="29"/>
      <c r="GQ12" s="29"/>
      <c r="GR12" s="29"/>
      <c r="GS12" s="29"/>
      <c r="GT12" s="29"/>
      <c r="GU12" s="29"/>
      <c r="GV12" s="29"/>
      <c r="GW12" s="29"/>
      <c r="GX12" s="29"/>
      <c r="GY12" s="29"/>
      <c r="GZ12" s="29"/>
      <c r="HA12" s="29"/>
      <c r="HB12" s="29"/>
      <c r="HC12" s="29"/>
      <c r="HD12" s="29"/>
      <c r="HE12" s="29"/>
      <c r="HF12" s="29"/>
      <c r="HG12" s="29"/>
      <c r="HH12" s="29"/>
      <c r="HI12" s="29"/>
      <c r="HJ12" s="29"/>
      <c r="HK12" s="29"/>
      <c r="HL12" s="29"/>
      <c r="HM12" s="29"/>
      <c r="HN12" s="29"/>
      <c r="HO12" s="29"/>
      <c r="HP12" s="29"/>
      <c r="HQ12" s="29"/>
      <c r="HR12" s="29"/>
      <c r="HS12" s="29"/>
      <c r="HT12" s="29"/>
      <c r="HU12" s="29"/>
      <c r="HV12" s="29"/>
      <c r="HW12" s="29"/>
      <c r="HX12" s="29"/>
      <c r="HY12" s="29"/>
      <c r="HZ12" s="29"/>
      <c r="IA12" s="29"/>
      <c r="IB12" s="29"/>
      <c r="IC12" s="29"/>
      <c r="ID12" s="29"/>
      <c r="IE12" s="29"/>
      <c r="IF12" s="29"/>
      <c r="IG12" s="29"/>
      <c r="IH12" s="29"/>
      <c r="II12" s="29"/>
      <c r="IJ12" s="29"/>
      <c r="IK12" s="29"/>
      <c r="IL12" s="29"/>
      <c r="IM12" s="29"/>
      <c r="IN12" s="29"/>
      <c r="IO12" s="29"/>
      <c r="IP12" s="29"/>
      <c r="IQ12" s="29"/>
      <c r="IR12" s="29"/>
      <c r="IS12" s="29"/>
      <c r="IT12" s="29"/>
      <c r="IU12" s="29"/>
      <c r="IV12" s="29"/>
    </row>
    <row r="13" spans="1:256" s="30" customFormat="1" ht="21" customHeight="1" thickBot="1" x14ac:dyDescent="0.25">
      <c r="A13" s="4"/>
      <c r="B13" s="429" t="s">
        <v>151</v>
      </c>
      <c r="C13" s="430"/>
      <c r="D13" s="430"/>
      <c r="E13" s="430"/>
      <c r="F13" s="430"/>
      <c r="G13" s="431"/>
      <c r="H13" s="38"/>
      <c r="I13" s="38"/>
      <c r="J13" s="38"/>
      <c r="K13" s="3" t="s">
        <v>271</v>
      </c>
      <c r="L13" s="345">
        <v>9</v>
      </c>
      <c r="M13" s="345">
        <v>10</v>
      </c>
      <c r="N13" s="345">
        <v>10</v>
      </c>
      <c r="O13" s="345">
        <v>10</v>
      </c>
      <c r="P13" s="345" t="s">
        <v>312</v>
      </c>
      <c r="Q13" s="345" t="s">
        <v>312</v>
      </c>
      <c r="R13" s="345">
        <v>10</v>
      </c>
      <c r="S13" s="34">
        <f t="shared" si="0"/>
        <v>49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28"/>
      <c r="AU13" s="28"/>
      <c r="AV13" s="4"/>
      <c r="AW13" s="4"/>
      <c r="AX13" s="4"/>
      <c r="AY13" s="4"/>
      <c r="AZ13" s="4"/>
      <c r="BA13" s="4"/>
      <c r="BB13" s="4"/>
      <c r="BC13" s="4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9"/>
      <c r="GO13" s="29"/>
      <c r="GP13" s="29"/>
      <c r="GQ13" s="29"/>
      <c r="GR13" s="29"/>
      <c r="GS13" s="29"/>
      <c r="GT13" s="29"/>
      <c r="GU13" s="29"/>
      <c r="GV13" s="29"/>
      <c r="GW13" s="29"/>
      <c r="GX13" s="29"/>
      <c r="GY13" s="29"/>
      <c r="GZ13" s="29"/>
      <c r="HA13" s="29"/>
      <c r="HB13" s="29"/>
      <c r="HC13" s="29"/>
      <c r="HD13" s="29"/>
      <c r="HE13" s="29"/>
      <c r="HF13" s="29"/>
      <c r="HG13" s="29"/>
      <c r="HH13" s="29"/>
      <c r="HI13" s="29"/>
      <c r="HJ13" s="29"/>
      <c r="HK13" s="29"/>
      <c r="HL13" s="29"/>
      <c r="HM13" s="29"/>
      <c r="HN13" s="29"/>
      <c r="HO13" s="29"/>
      <c r="HP13" s="29"/>
      <c r="HQ13" s="29"/>
      <c r="HR13" s="29"/>
      <c r="HS13" s="29"/>
      <c r="HT13" s="29"/>
      <c r="HU13" s="29"/>
      <c r="HV13" s="29"/>
      <c r="HW13" s="29"/>
      <c r="HX13" s="29"/>
      <c r="HY13" s="29"/>
      <c r="HZ13" s="29"/>
      <c r="IA13" s="29"/>
      <c r="IB13" s="29"/>
      <c r="IC13" s="29"/>
      <c r="ID13" s="29"/>
      <c r="IE13" s="29"/>
      <c r="IF13" s="29"/>
      <c r="IG13" s="29"/>
      <c r="IH13" s="29"/>
      <c r="II13" s="29"/>
      <c r="IJ13" s="29"/>
      <c r="IK13" s="29"/>
      <c r="IL13" s="29"/>
      <c r="IM13" s="29"/>
      <c r="IN13" s="29"/>
      <c r="IO13" s="29"/>
      <c r="IP13" s="29"/>
      <c r="IQ13" s="29"/>
      <c r="IR13" s="29"/>
      <c r="IS13" s="29"/>
      <c r="IT13" s="29"/>
      <c r="IU13" s="29"/>
      <c r="IV13" s="29"/>
    </row>
    <row r="14" spans="1:256" s="30" customFormat="1" ht="15" thickBot="1" x14ac:dyDescent="0.25">
      <c r="A14" s="4"/>
      <c r="B14" s="432" t="s">
        <v>276</v>
      </c>
      <c r="C14" s="433"/>
      <c r="D14" s="433"/>
      <c r="E14" s="433"/>
      <c r="F14" s="433"/>
      <c r="G14" s="434"/>
      <c r="H14" s="38"/>
      <c r="I14" s="38"/>
      <c r="J14" s="38"/>
      <c r="K14" s="3" t="s">
        <v>272</v>
      </c>
      <c r="L14" s="345">
        <v>8</v>
      </c>
      <c r="M14" s="345" t="s">
        <v>312</v>
      </c>
      <c r="N14" s="345" t="s">
        <v>312</v>
      </c>
      <c r="O14" s="345">
        <v>8</v>
      </c>
      <c r="P14" s="345">
        <v>8</v>
      </c>
      <c r="Q14" s="345">
        <v>8</v>
      </c>
      <c r="R14" s="345">
        <v>8</v>
      </c>
      <c r="S14" s="34">
        <f t="shared" si="0"/>
        <v>40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28"/>
      <c r="AU14" s="28"/>
      <c r="AV14" s="4"/>
      <c r="AW14" s="4"/>
      <c r="AX14" s="4"/>
      <c r="AY14" s="4"/>
      <c r="AZ14" s="4"/>
      <c r="BA14" s="4"/>
      <c r="BB14" s="4"/>
      <c r="BC14" s="4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  <c r="IU14" s="29"/>
      <c r="IV14" s="29"/>
    </row>
    <row r="15" spans="1:256" s="30" customFormat="1" ht="15" thickBot="1" x14ac:dyDescent="0.25">
      <c r="A15" s="4"/>
      <c r="B15" s="435" t="s">
        <v>232</v>
      </c>
      <c r="C15" s="436"/>
      <c r="D15" s="436"/>
      <c r="E15" s="436"/>
      <c r="F15" s="436"/>
      <c r="G15" s="437"/>
      <c r="H15" s="38"/>
      <c r="I15" s="38"/>
      <c r="J15" s="38"/>
      <c r="K15" s="3" t="s">
        <v>273</v>
      </c>
      <c r="L15" s="345">
        <v>8</v>
      </c>
      <c r="M15" s="345">
        <v>8</v>
      </c>
      <c r="N15" s="345">
        <v>8</v>
      </c>
      <c r="O15" s="345" t="s">
        <v>312</v>
      </c>
      <c r="P15" s="345" t="s">
        <v>312</v>
      </c>
      <c r="Q15" s="345">
        <v>8</v>
      </c>
      <c r="R15" s="345">
        <v>8</v>
      </c>
      <c r="S15" s="34">
        <f t="shared" si="0"/>
        <v>40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28"/>
      <c r="AU15" s="28"/>
      <c r="AV15" s="4"/>
      <c r="AW15" s="4"/>
      <c r="AX15" s="4"/>
      <c r="AY15" s="4"/>
      <c r="AZ15" s="4"/>
      <c r="BA15" s="4"/>
      <c r="BB15" s="4"/>
      <c r="BC15" s="4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  <c r="IU15" s="29"/>
      <c r="IV15" s="29"/>
    </row>
    <row r="16" spans="1:256" s="30" customFormat="1" ht="15" thickBot="1" x14ac:dyDescent="0.25">
      <c r="A16" s="4"/>
      <c r="B16" s="25" t="s">
        <v>136</v>
      </c>
      <c r="C16" s="39"/>
      <c r="D16" s="40"/>
      <c r="E16" s="40"/>
      <c r="F16" s="41"/>
      <c r="G16" s="26" t="s">
        <v>133</v>
      </c>
      <c r="H16" s="18"/>
      <c r="I16" s="18"/>
      <c r="J16" s="18"/>
      <c r="K16" s="2" t="s">
        <v>274</v>
      </c>
      <c r="L16" s="345">
        <v>8</v>
      </c>
      <c r="M16" s="345">
        <v>8</v>
      </c>
      <c r="N16" s="345" t="s">
        <v>312</v>
      </c>
      <c r="O16" s="345" t="s">
        <v>312</v>
      </c>
      <c r="P16" s="345" t="s">
        <v>312</v>
      </c>
      <c r="Q16" s="345">
        <v>8</v>
      </c>
      <c r="R16" s="345">
        <v>8</v>
      </c>
      <c r="S16" s="34">
        <f t="shared" si="0"/>
        <v>32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28"/>
      <c r="AU16" s="28"/>
      <c r="AV16" s="4"/>
      <c r="AW16" s="4"/>
      <c r="AX16" s="4"/>
      <c r="AY16" s="4"/>
      <c r="AZ16" s="4"/>
      <c r="BA16" s="4"/>
      <c r="BB16" s="4"/>
      <c r="BC16" s="4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  <c r="IT16" s="29"/>
      <c r="IU16" s="29"/>
      <c r="IV16" s="29"/>
    </row>
    <row r="17" spans="1:256" s="21" customFormat="1" ht="13.5" thickBot="1" x14ac:dyDescent="0.25">
      <c r="A17" s="4"/>
      <c r="B17" s="31" t="s">
        <v>137</v>
      </c>
      <c r="C17" s="42"/>
      <c r="D17" s="43"/>
      <c r="E17" s="43"/>
      <c r="F17" s="44"/>
      <c r="G17" s="33" t="s">
        <v>134</v>
      </c>
      <c r="H17" s="18"/>
      <c r="I17" s="18"/>
      <c r="J17" s="18"/>
      <c r="K17" s="337" t="s">
        <v>301</v>
      </c>
      <c r="L17" s="360">
        <v>8</v>
      </c>
      <c r="M17" s="346" t="s">
        <v>312</v>
      </c>
      <c r="N17" s="346">
        <v>8</v>
      </c>
      <c r="O17" s="346" t="s">
        <v>312</v>
      </c>
      <c r="P17" s="346">
        <v>8</v>
      </c>
      <c r="Q17" s="347">
        <v>8</v>
      </c>
      <c r="R17" s="348">
        <v>8</v>
      </c>
      <c r="S17" s="344">
        <f t="shared" si="0"/>
        <v>40</v>
      </c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9"/>
      <c r="AU17" s="19"/>
      <c r="AV17" s="18"/>
      <c r="AW17" s="18"/>
      <c r="AX17" s="18"/>
      <c r="AY17" s="18"/>
      <c r="AZ17" s="18"/>
      <c r="BA17" s="18"/>
      <c r="BB17" s="18"/>
      <c r="BC17" s="18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</row>
    <row r="18" spans="1:256" s="21" customFormat="1" ht="13.5" thickBot="1" x14ac:dyDescent="0.25">
      <c r="A18" s="18"/>
      <c r="B18" s="45" t="s">
        <v>138</v>
      </c>
      <c r="C18" s="46"/>
      <c r="D18" s="47"/>
      <c r="E18" s="47"/>
      <c r="F18" s="48"/>
      <c r="G18" s="49">
        <f>SUM(S11)</f>
        <v>50</v>
      </c>
      <c r="H18" s="18"/>
      <c r="I18" s="18"/>
      <c r="J18" s="18"/>
      <c r="K18" s="341" t="s">
        <v>301</v>
      </c>
      <c r="L18" s="360">
        <v>8</v>
      </c>
      <c r="M18" s="346">
        <v>8</v>
      </c>
      <c r="N18" s="346" t="s">
        <v>312</v>
      </c>
      <c r="O18" s="346" t="s">
        <v>312</v>
      </c>
      <c r="P18" s="346">
        <v>8</v>
      </c>
      <c r="Q18" s="346">
        <v>8</v>
      </c>
      <c r="R18" s="346">
        <v>8</v>
      </c>
      <c r="S18" s="344">
        <f t="shared" si="0"/>
        <v>40</v>
      </c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9"/>
      <c r="AU18" s="19"/>
      <c r="AV18" s="18"/>
      <c r="AW18" s="18"/>
      <c r="AX18" s="18"/>
      <c r="AY18" s="18"/>
      <c r="AZ18" s="18"/>
      <c r="BA18" s="18"/>
      <c r="BB18" s="18"/>
      <c r="BC18" s="18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</row>
    <row r="19" spans="1:256" s="21" customFormat="1" ht="13.5" thickBot="1" x14ac:dyDescent="0.25">
      <c r="A19" s="18"/>
      <c r="B19" s="25" t="s">
        <v>139</v>
      </c>
      <c r="C19" s="42"/>
      <c r="D19" s="43"/>
      <c r="E19" s="43"/>
      <c r="F19" s="44"/>
      <c r="G19" s="26" t="s">
        <v>133</v>
      </c>
      <c r="H19" s="18"/>
      <c r="I19" s="18"/>
      <c r="J19" s="18"/>
      <c r="K19" s="341" t="s">
        <v>301</v>
      </c>
      <c r="L19" s="361">
        <v>8</v>
      </c>
      <c r="M19" s="349" t="s">
        <v>312</v>
      </c>
      <c r="N19" s="349">
        <v>8</v>
      </c>
      <c r="O19" s="349" t="s">
        <v>312</v>
      </c>
      <c r="P19" s="349">
        <v>8</v>
      </c>
      <c r="Q19" s="349">
        <v>8</v>
      </c>
      <c r="R19" s="349">
        <v>8</v>
      </c>
      <c r="S19" s="343">
        <f t="shared" si="0"/>
        <v>40</v>
      </c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9"/>
      <c r="AU19" s="19"/>
      <c r="AV19" s="18"/>
      <c r="AW19" s="18"/>
      <c r="AX19" s="18"/>
      <c r="AY19" s="18"/>
      <c r="AZ19" s="18"/>
      <c r="BA19" s="18"/>
      <c r="BB19" s="18"/>
      <c r="BC19" s="18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</row>
    <row r="20" spans="1:256" s="21" customFormat="1" ht="13.5" thickBot="1" x14ac:dyDescent="0.25">
      <c r="A20" s="18"/>
      <c r="B20" s="31"/>
      <c r="C20" s="42"/>
      <c r="D20" s="43"/>
      <c r="E20" s="43"/>
      <c r="F20" s="44"/>
      <c r="G20" s="33"/>
      <c r="H20" s="18"/>
      <c r="I20" s="18"/>
      <c r="J20" s="18"/>
      <c r="K20" s="341" t="s">
        <v>301</v>
      </c>
      <c r="L20" s="360">
        <v>8</v>
      </c>
      <c r="M20" s="346">
        <v>8</v>
      </c>
      <c r="N20" s="346">
        <v>8</v>
      </c>
      <c r="O20" s="346">
        <v>8</v>
      </c>
      <c r="P20" s="346" t="s">
        <v>312</v>
      </c>
      <c r="Q20" s="346" t="s">
        <v>312</v>
      </c>
      <c r="R20" s="346">
        <v>8</v>
      </c>
      <c r="S20" s="344">
        <f t="shared" si="0"/>
        <v>40</v>
      </c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9"/>
      <c r="AU20" s="19"/>
      <c r="AV20" s="18"/>
      <c r="AW20" s="18"/>
      <c r="AX20" s="18"/>
      <c r="AY20" s="18"/>
      <c r="AZ20" s="18"/>
      <c r="BA20" s="18"/>
      <c r="BB20" s="18"/>
      <c r="BC20" s="18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</row>
    <row r="21" spans="1:256" s="21" customFormat="1" ht="13.5" thickBot="1" x14ac:dyDescent="0.25">
      <c r="A21" s="18"/>
      <c r="B21" s="31" t="s">
        <v>137</v>
      </c>
      <c r="C21" s="42"/>
      <c r="D21" s="43"/>
      <c r="E21" s="43"/>
      <c r="F21" s="44"/>
      <c r="G21" s="33" t="s">
        <v>134</v>
      </c>
      <c r="H21" s="18"/>
      <c r="I21" s="18"/>
      <c r="J21" s="18"/>
      <c r="K21" s="79" t="s">
        <v>301</v>
      </c>
      <c r="L21" s="362">
        <v>8</v>
      </c>
      <c r="M21" s="346"/>
      <c r="N21" s="346"/>
      <c r="O21" s="346"/>
      <c r="P21" s="346"/>
      <c r="Q21" s="346">
        <v>8</v>
      </c>
      <c r="R21" s="346">
        <v>8</v>
      </c>
      <c r="S21" s="86">
        <f t="shared" si="0"/>
        <v>24</v>
      </c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9"/>
      <c r="AU21" s="19"/>
      <c r="AV21" s="18"/>
      <c r="AW21" s="18"/>
      <c r="AX21" s="18"/>
      <c r="AY21" s="18"/>
      <c r="AZ21" s="18"/>
      <c r="BA21" s="18"/>
      <c r="BB21" s="18"/>
      <c r="BC21" s="18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</row>
    <row r="22" spans="1:256" s="21" customFormat="1" ht="13.5" thickBot="1" x14ac:dyDescent="0.25">
      <c r="A22" s="18"/>
      <c r="B22" s="45" t="s">
        <v>138</v>
      </c>
      <c r="C22" s="46"/>
      <c r="D22" s="47"/>
      <c r="E22" s="47"/>
      <c r="F22" s="48"/>
      <c r="G22" s="49">
        <f>SUM(S12+S13)</f>
        <v>98</v>
      </c>
      <c r="H22" s="18"/>
      <c r="I22" s="18"/>
      <c r="J22" s="18"/>
      <c r="K22" s="342" t="s">
        <v>301</v>
      </c>
      <c r="L22" s="363">
        <v>8</v>
      </c>
      <c r="M22" s="349"/>
      <c r="N22" s="349"/>
      <c r="O22" s="349"/>
      <c r="P22" s="349"/>
      <c r="Q22" s="349">
        <v>8</v>
      </c>
      <c r="R22" s="349">
        <v>8</v>
      </c>
      <c r="S22" s="82">
        <f t="shared" si="0"/>
        <v>24</v>
      </c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9"/>
      <c r="AU22" s="19"/>
      <c r="AV22" s="18"/>
      <c r="AW22" s="18"/>
      <c r="AX22" s="18"/>
      <c r="AY22" s="18"/>
      <c r="AZ22" s="18"/>
      <c r="BA22" s="18"/>
      <c r="BB22" s="18"/>
      <c r="BC22" s="18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</row>
    <row r="23" spans="1:256" s="21" customFormat="1" ht="13.5" thickBot="1" x14ac:dyDescent="0.25">
      <c r="A23" s="18"/>
      <c r="B23" s="50" t="s">
        <v>194</v>
      </c>
      <c r="C23" s="42"/>
      <c r="D23" s="43"/>
      <c r="E23" s="43"/>
      <c r="F23" s="44"/>
      <c r="G23" s="41" t="s">
        <v>133</v>
      </c>
      <c r="H23" s="18"/>
      <c r="I23" s="18"/>
      <c r="J23" s="18"/>
      <c r="K23" s="79" t="s">
        <v>301</v>
      </c>
      <c r="L23" s="362">
        <v>8</v>
      </c>
      <c r="M23" s="346"/>
      <c r="N23" s="346"/>
      <c r="O23" s="346"/>
      <c r="P23" s="346">
        <v>8</v>
      </c>
      <c r="Q23" s="346"/>
      <c r="R23" s="346">
        <v>8</v>
      </c>
      <c r="S23" s="86">
        <f t="shared" si="0"/>
        <v>24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9"/>
      <c r="AU23" s="19"/>
      <c r="AV23" s="18"/>
      <c r="AW23" s="18"/>
      <c r="AX23" s="18"/>
      <c r="AY23" s="18"/>
      <c r="AZ23" s="18"/>
      <c r="BA23" s="18"/>
      <c r="BB23" s="18"/>
      <c r="BC23" s="18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</row>
    <row r="24" spans="1:256" s="21" customFormat="1" ht="13.5" thickBot="1" x14ac:dyDescent="0.25">
      <c r="A24" s="18"/>
      <c r="B24" s="31" t="s">
        <v>137</v>
      </c>
      <c r="C24" s="42"/>
      <c r="D24" s="43"/>
      <c r="E24" s="43"/>
      <c r="F24" s="44"/>
      <c r="G24" s="44" t="s">
        <v>134</v>
      </c>
      <c r="H24" s="18"/>
      <c r="I24" s="18"/>
      <c r="J24" s="18"/>
      <c r="K24" s="342" t="s">
        <v>301</v>
      </c>
      <c r="L24" s="364"/>
      <c r="M24" s="350"/>
      <c r="N24" s="350"/>
      <c r="O24" s="350"/>
      <c r="P24" s="350"/>
      <c r="Q24" s="350"/>
      <c r="R24" s="350">
        <v>8</v>
      </c>
      <c r="S24" s="78">
        <f t="shared" si="0"/>
        <v>8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9"/>
      <c r="AU24" s="19"/>
      <c r="AV24" s="18"/>
      <c r="AW24" s="18"/>
      <c r="AX24" s="18"/>
      <c r="AY24" s="18"/>
      <c r="AZ24" s="18"/>
      <c r="BA24" s="18"/>
      <c r="BB24" s="18"/>
      <c r="BC24" s="18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</row>
    <row r="25" spans="1:256" s="21" customFormat="1" ht="13.5" thickBot="1" x14ac:dyDescent="0.25">
      <c r="A25" s="18"/>
      <c r="B25" s="45" t="s">
        <v>138</v>
      </c>
      <c r="C25" s="51"/>
      <c r="D25" s="52"/>
      <c r="E25" s="52"/>
      <c r="F25" s="53"/>
      <c r="G25" s="49">
        <f>SUM(S14:S28)</f>
        <v>352</v>
      </c>
      <c r="H25" s="18"/>
      <c r="I25" s="18"/>
      <c r="J25" s="18"/>
      <c r="K25" s="342" t="s">
        <v>301</v>
      </c>
      <c r="L25" s="362"/>
      <c r="M25" s="346"/>
      <c r="N25" s="346"/>
      <c r="O25" s="346"/>
      <c r="P25" s="346"/>
      <c r="Q25" s="346"/>
      <c r="R25" s="346"/>
      <c r="S25" s="86">
        <f t="shared" si="0"/>
        <v>0</v>
      </c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9"/>
      <c r="AU25" s="19"/>
      <c r="AV25" s="18"/>
      <c r="AW25" s="18"/>
      <c r="AX25" s="18"/>
      <c r="AY25" s="18"/>
      <c r="AZ25" s="18"/>
      <c r="BA25" s="18"/>
      <c r="BB25" s="18"/>
      <c r="BC25" s="18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</row>
    <row r="26" spans="1:256" s="56" customFormat="1" ht="13.5" thickBot="1" x14ac:dyDescent="0.25">
      <c r="A26" s="18"/>
      <c r="B26" s="429" t="s">
        <v>258</v>
      </c>
      <c r="C26" s="433"/>
      <c r="D26" s="433"/>
      <c r="E26" s="433"/>
      <c r="F26" s="433"/>
      <c r="G26" s="431"/>
      <c r="H26" s="38"/>
      <c r="I26" s="38"/>
      <c r="J26" s="38"/>
      <c r="K26" s="338" t="s">
        <v>301</v>
      </c>
      <c r="L26" s="365"/>
      <c r="M26" s="351"/>
      <c r="N26" s="351"/>
      <c r="O26" s="351"/>
      <c r="P26" s="351"/>
      <c r="Q26" s="351"/>
      <c r="R26" s="351"/>
      <c r="S26" s="340">
        <f t="shared" si="0"/>
        <v>0</v>
      </c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54"/>
      <c r="AU26" s="54"/>
      <c r="AV26" s="38"/>
      <c r="AW26" s="38"/>
      <c r="AX26" s="38"/>
      <c r="AY26" s="38"/>
      <c r="AZ26" s="38"/>
      <c r="BA26" s="38"/>
      <c r="BB26" s="38"/>
      <c r="BC26" s="38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5"/>
      <c r="CP26" s="55"/>
      <c r="CQ26" s="55"/>
      <c r="CR26" s="55"/>
      <c r="CS26" s="55"/>
      <c r="CT26" s="55"/>
      <c r="CU26" s="55"/>
      <c r="CV26" s="55"/>
      <c r="CW26" s="55"/>
      <c r="CX26" s="55"/>
      <c r="CY26" s="55"/>
      <c r="CZ26" s="55"/>
      <c r="DA26" s="55"/>
      <c r="DB26" s="55"/>
      <c r="DC26" s="55"/>
      <c r="DD26" s="55"/>
      <c r="DE26" s="55"/>
      <c r="DF26" s="55"/>
      <c r="DG26" s="55"/>
      <c r="DH26" s="55"/>
      <c r="DI26" s="55"/>
      <c r="DJ26" s="55"/>
      <c r="DK26" s="55"/>
      <c r="DL26" s="55"/>
      <c r="DM26" s="55"/>
      <c r="DN26" s="55"/>
      <c r="DO26" s="55"/>
      <c r="DP26" s="55"/>
      <c r="DQ26" s="55"/>
      <c r="DR26" s="55"/>
      <c r="DS26" s="55"/>
      <c r="DT26" s="55"/>
      <c r="DU26" s="55"/>
      <c r="DV26" s="55"/>
      <c r="DW26" s="55"/>
      <c r="DX26" s="55"/>
      <c r="DY26" s="55"/>
      <c r="DZ26" s="55"/>
      <c r="EA26" s="55"/>
      <c r="EB26" s="55"/>
      <c r="EC26" s="55"/>
      <c r="ED26" s="55"/>
      <c r="EE26" s="55"/>
      <c r="EF26" s="55"/>
      <c r="EG26" s="55"/>
      <c r="EH26" s="55"/>
      <c r="EI26" s="55"/>
      <c r="EJ26" s="55"/>
      <c r="EK26" s="55"/>
      <c r="EL26" s="55"/>
      <c r="EM26" s="55"/>
      <c r="EN26" s="55"/>
      <c r="EO26" s="55"/>
      <c r="EP26" s="55"/>
      <c r="EQ26" s="55"/>
      <c r="ER26" s="55"/>
      <c r="ES26" s="55"/>
      <c r="ET26" s="55"/>
      <c r="EU26" s="55"/>
      <c r="EV26" s="55"/>
      <c r="EW26" s="55"/>
      <c r="EX26" s="55"/>
      <c r="EY26" s="55"/>
      <c r="EZ26" s="55"/>
      <c r="FA26" s="55"/>
      <c r="FB26" s="55"/>
      <c r="FC26" s="55"/>
      <c r="FD26" s="55"/>
      <c r="FE26" s="55"/>
      <c r="FF26" s="55"/>
      <c r="FG26" s="55"/>
      <c r="FH26" s="55"/>
      <c r="FI26" s="55"/>
      <c r="FJ26" s="55"/>
      <c r="FK26" s="55"/>
      <c r="FL26" s="55"/>
      <c r="FM26" s="55"/>
      <c r="FN26" s="55"/>
      <c r="FO26" s="55"/>
      <c r="FP26" s="55"/>
      <c r="FQ26" s="55"/>
      <c r="FR26" s="55"/>
      <c r="FS26" s="55"/>
      <c r="FT26" s="55"/>
      <c r="FU26" s="55"/>
      <c r="FV26" s="55"/>
      <c r="FW26" s="55"/>
      <c r="FX26" s="55"/>
      <c r="FY26" s="55"/>
      <c r="FZ26" s="55"/>
      <c r="GA26" s="55"/>
      <c r="GB26" s="55"/>
      <c r="GC26" s="55"/>
      <c r="GD26" s="55"/>
      <c r="GE26" s="55"/>
      <c r="GF26" s="55"/>
      <c r="GG26" s="55"/>
      <c r="GH26" s="55"/>
      <c r="GI26" s="55"/>
      <c r="GJ26" s="55"/>
      <c r="GK26" s="55"/>
      <c r="GL26" s="55"/>
      <c r="GM26" s="55"/>
      <c r="GN26" s="55"/>
      <c r="GO26" s="55"/>
      <c r="GP26" s="55"/>
      <c r="GQ26" s="55"/>
      <c r="GR26" s="55"/>
      <c r="GS26" s="55"/>
      <c r="GT26" s="55"/>
      <c r="GU26" s="55"/>
      <c r="GV26" s="55"/>
      <c r="GW26" s="55"/>
      <c r="GX26" s="55"/>
      <c r="GY26" s="55"/>
      <c r="GZ26" s="55"/>
      <c r="HA26" s="55"/>
      <c r="HB26" s="55"/>
      <c r="HC26" s="55"/>
      <c r="HD26" s="55"/>
      <c r="HE26" s="55"/>
      <c r="HF26" s="55"/>
      <c r="HG26" s="55"/>
      <c r="HH26" s="55"/>
      <c r="HI26" s="55"/>
      <c r="HJ26" s="55"/>
      <c r="HK26" s="55"/>
      <c r="HL26" s="55"/>
      <c r="HM26" s="55"/>
      <c r="HN26" s="55"/>
      <c r="HO26" s="55"/>
      <c r="HP26" s="55"/>
      <c r="HQ26" s="55"/>
      <c r="HR26" s="55"/>
      <c r="HS26" s="55"/>
      <c r="HT26" s="55"/>
      <c r="HU26" s="55"/>
      <c r="HV26" s="55"/>
      <c r="HW26" s="55"/>
      <c r="HX26" s="55"/>
      <c r="HY26" s="55"/>
      <c r="HZ26" s="55"/>
      <c r="IA26" s="55"/>
      <c r="IB26" s="55"/>
      <c r="IC26" s="55"/>
      <c r="ID26" s="55"/>
      <c r="IE26" s="55"/>
      <c r="IF26" s="55"/>
      <c r="IG26" s="55"/>
      <c r="IH26" s="55"/>
      <c r="II26" s="55"/>
      <c r="IJ26" s="55"/>
      <c r="IK26" s="55"/>
      <c r="IL26" s="55"/>
      <c r="IM26" s="55"/>
      <c r="IN26" s="55"/>
      <c r="IO26" s="55"/>
      <c r="IP26" s="55"/>
      <c r="IQ26" s="55"/>
      <c r="IR26" s="55"/>
      <c r="IS26" s="55"/>
      <c r="IT26" s="55"/>
      <c r="IU26" s="55"/>
      <c r="IV26" s="55"/>
    </row>
    <row r="27" spans="1:256" s="56" customFormat="1" ht="13.5" thickBot="1" x14ac:dyDescent="0.25">
      <c r="A27" s="38"/>
      <c r="B27" s="432" t="s">
        <v>282</v>
      </c>
      <c r="C27" s="433"/>
      <c r="D27" s="433"/>
      <c r="E27" s="433"/>
      <c r="F27" s="433"/>
      <c r="G27" s="434"/>
      <c r="H27" s="38"/>
      <c r="I27" s="38"/>
      <c r="J27" s="38"/>
      <c r="K27" s="77" t="s">
        <v>301</v>
      </c>
      <c r="L27" s="365"/>
      <c r="M27" s="351"/>
      <c r="N27" s="351"/>
      <c r="O27" s="351"/>
      <c r="P27" s="351"/>
      <c r="Q27" s="351"/>
      <c r="R27" s="351"/>
      <c r="S27" s="340">
        <f t="shared" si="0"/>
        <v>0</v>
      </c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54"/>
      <c r="AU27" s="54"/>
      <c r="AV27" s="38"/>
      <c r="AW27" s="38"/>
      <c r="AX27" s="38"/>
      <c r="AY27" s="38"/>
      <c r="AZ27" s="38"/>
      <c r="BA27" s="38"/>
      <c r="BB27" s="38"/>
      <c r="BC27" s="38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  <c r="EY27" s="55"/>
      <c r="EZ27" s="55"/>
      <c r="FA27" s="55"/>
      <c r="FB27" s="55"/>
      <c r="FC27" s="55"/>
      <c r="FD27" s="55"/>
      <c r="FE27" s="55"/>
      <c r="FF27" s="55"/>
      <c r="FG27" s="55"/>
      <c r="FH27" s="55"/>
      <c r="FI27" s="55"/>
      <c r="FJ27" s="55"/>
      <c r="FK27" s="55"/>
      <c r="FL27" s="55"/>
      <c r="FM27" s="55"/>
      <c r="FN27" s="55"/>
      <c r="FO27" s="55"/>
      <c r="FP27" s="55"/>
      <c r="FQ27" s="55"/>
      <c r="FR27" s="55"/>
      <c r="FS27" s="55"/>
      <c r="FT27" s="55"/>
      <c r="FU27" s="55"/>
      <c r="FV27" s="55"/>
      <c r="FW27" s="55"/>
      <c r="FX27" s="55"/>
      <c r="FY27" s="55"/>
      <c r="FZ27" s="55"/>
      <c r="GA27" s="55"/>
      <c r="GB27" s="55"/>
      <c r="GC27" s="55"/>
      <c r="GD27" s="55"/>
      <c r="GE27" s="55"/>
      <c r="GF27" s="55"/>
      <c r="GG27" s="55"/>
      <c r="GH27" s="55"/>
      <c r="GI27" s="55"/>
      <c r="GJ27" s="55"/>
      <c r="GK27" s="55"/>
      <c r="GL27" s="55"/>
      <c r="GM27" s="55"/>
      <c r="GN27" s="55"/>
      <c r="GO27" s="55"/>
      <c r="GP27" s="55"/>
      <c r="GQ27" s="55"/>
      <c r="GR27" s="55"/>
      <c r="GS27" s="55"/>
      <c r="GT27" s="55"/>
      <c r="GU27" s="55"/>
      <c r="GV27" s="55"/>
      <c r="GW27" s="55"/>
      <c r="GX27" s="55"/>
      <c r="GY27" s="55"/>
      <c r="GZ27" s="55"/>
      <c r="HA27" s="55"/>
      <c r="HB27" s="55"/>
      <c r="HC27" s="55"/>
      <c r="HD27" s="55"/>
      <c r="HE27" s="55"/>
      <c r="HF27" s="55"/>
      <c r="HG27" s="55"/>
      <c r="HH27" s="55"/>
      <c r="HI27" s="55"/>
      <c r="HJ27" s="55"/>
      <c r="HK27" s="55"/>
      <c r="HL27" s="55"/>
      <c r="HM27" s="55"/>
      <c r="HN27" s="55"/>
      <c r="HO27" s="55"/>
      <c r="HP27" s="55"/>
      <c r="HQ27" s="55"/>
      <c r="HR27" s="55"/>
      <c r="HS27" s="55"/>
      <c r="HT27" s="55"/>
      <c r="HU27" s="55"/>
      <c r="HV27" s="55"/>
      <c r="HW27" s="55"/>
      <c r="HX27" s="55"/>
      <c r="HY27" s="55"/>
      <c r="HZ27" s="55"/>
      <c r="IA27" s="55"/>
      <c r="IB27" s="55"/>
      <c r="IC27" s="55"/>
      <c r="ID27" s="55"/>
      <c r="IE27" s="55"/>
      <c r="IF27" s="55"/>
      <c r="IG27" s="55"/>
      <c r="IH27" s="55"/>
      <c r="II27" s="55"/>
      <c r="IJ27" s="55"/>
      <c r="IK27" s="55"/>
      <c r="IL27" s="55"/>
      <c r="IM27" s="55"/>
      <c r="IN27" s="55"/>
      <c r="IO27" s="55"/>
      <c r="IP27" s="55"/>
      <c r="IQ27" s="55"/>
      <c r="IR27" s="55"/>
      <c r="IS27" s="55"/>
      <c r="IT27" s="55"/>
      <c r="IU27" s="55"/>
      <c r="IV27" s="55"/>
    </row>
    <row r="28" spans="1:256" s="56" customFormat="1" ht="13.5" thickBot="1" x14ac:dyDescent="0.25">
      <c r="A28" s="38"/>
      <c r="B28" s="435" t="s">
        <v>259</v>
      </c>
      <c r="C28" s="436"/>
      <c r="D28" s="436"/>
      <c r="E28" s="436"/>
      <c r="F28" s="436"/>
      <c r="G28" s="437"/>
      <c r="H28" s="38"/>
      <c r="I28" s="38"/>
      <c r="J28" s="38"/>
      <c r="K28" s="339" t="s">
        <v>301</v>
      </c>
      <c r="L28" s="366"/>
      <c r="M28" s="352"/>
      <c r="N28" s="352"/>
      <c r="O28" s="352"/>
      <c r="P28" s="352"/>
      <c r="Q28" s="352"/>
      <c r="R28" s="353"/>
      <c r="S28" s="339">
        <f t="shared" si="0"/>
        <v>0</v>
      </c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54"/>
      <c r="AU28" s="54"/>
      <c r="AV28" s="38"/>
      <c r="AW28" s="38"/>
      <c r="AX28" s="38"/>
      <c r="AY28" s="38"/>
      <c r="AZ28" s="38"/>
      <c r="BA28" s="38"/>
      <c r="BB28" s="38"/>
      <c r="BC28" s="38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55"/>
      <c r="EX28" s="55"/>
      <c r="EY28" s="55"/>
      <c r="EZ28" s="55"/>
      <c r="FA28" s="55"/>
      <c r="FB28" s="55"/>
      <c r="FC28" s="55"/>
      <c r="FD28" s="55"/>
      <c r="FE28" s="55"/>
      <c r="FF28" s="55"/>
      <c r="FG28" s="55"/>
      <c r="FH28" s="55"/>
      <c r="FI28" s="55"/>
      <c r="FJ28" s="55"/>
      <c r="FK28" s="55"/>
      <c r="FL28" s="55"/>
      <c r="FM28" s="55"/>
      <c r="FN28" s="55"/>
      <c r="FO28" s="55"/>
      <c r="FP28" s="55"/>
      <c r="FQ28" s="55"/>
      <c r="FR28" s="55"/>
      <c r="FS28" s="55"/>
      <c r="FT28" s="55"/>
      <c r="FU28" s="55"/>
      <c r="FV28" s="55"/>
      <c r="FW28" s="55"/>
      <c r="FX28" s="55"/>
      <c r="FY28" s="55"/>
      <c r="FZ28" s="55"/>
      <c r="GA28" s="55"/>
      <c r="GB28" s="55"/>
      <c r="GC28" s="55"/>
      <c r="GD28" s="55"/>
      <c r="GE28" s="55"/>
      <c r="GF28" s="55"/>
      <c r="GG28" s="55"/>
      <c r="GH28" s="55"/>
      <c r="GI28" s="55"/>
      <c r="GJ28" s="55"/>
      <c r="GK28" s="55"/>
      <c r="GL28" s="55"/>
      <c r="GM28" s="55"/>
      <c r="GN28" s="55"/>
      <c r="GO28" s="55"/>
      <c r="GP28" s="55"/>
      <c r="GQ28" s="55"/>
      <c r="GR28" s="55"/>
      <c r="GS28" s="55"/>
      <c r="GT28" s="55"/>
      <c r="GU28" s="55"/>
      <c r="GV28" s="55"/>
      <c r="GW28" s="55"/>
      <c r="GX28" s="55"/>
      <c r="GY28" s="55"/>
      <c r="GZ28" s="55"/>
      <c r="HA28" s="55"/>
      <c r="HB28" s="55"/>
      <c r="HC28" s="55"/>
      <c r="HD28" s="55"/>
      <c r="HE28" s="55"/>
      <c r="HF28" s="55"/>
      <c r="HG28" s="55"/>
      <c r="HH28" s="55"/>
      <c r="HI28" s="55"/>
      <c r="HJ28" s="55"/>
      <c r="HK28" s="55"/>
      <c r="HL28" s="55"/>
      <c r="HM28" s="55"/>
      <c r="HN28" s="55"/>
      <c r="HO28" s="55"/>
      <c r="HP28" s="55"/>
      <c r="HQ28" s="55"/>
      <c r="HR28" s="55"/>
      <c r="HS28" s="55"/>
      <c r="HT28" s="55"/>
      <c r="HU28" s="55"/>
      <c r="HV28" s="55"/>
      <c r="HW28" s="55"/>
      <c r="HX28" s="55"/>
      <c r="HY28" s="55"/>
      <c r="HZ28" s="55"/>
      <c r="IA28" s="55"/>
      <c r="IB28" s="55"/>
      <c r="IC28" s="55"/>
      <c r="ID28" s="55"/>
      <c r="IE28" s="55"/>
      <c r="IF28" s="55"/>
      <c r="IG28" s="55"/>
      <c r="IH28" s="55"/>
      <c r="II28" s="55"/>
      <c r="IJ28" s="55"/>
      <c r="IK28" s="55"/>
      <c r="IL28" s="55"/>
      <c r="IM28" s="55"/>
      <c r="IN28" s="55"/>
      <c r="IO28" s="55"/>
      <c r="IP28" s="55"/>
      <c r="IQ28" s="55"/>
      <c r="IR28" s="55"/>
      <c r="IS28" s="55"/>
      <c r="IT28" s="55"/>
      <c r="IU28" s="55"/>
      <c r="IV28" s="55"/>
    </row>
    <row r="29" spans="1:256" s="21" customFormat="1" ht="13.5" thickBot="1" x14ac:dyDescent="0.25">
      <c r="A29" s="38"/>
      <c r="B29" s="57"/>
      <c r="C29" s="58"/>
      <c r="D29" s="59"/>
      <c r="E29" s="60" t="s">
        <v>144</v>
      </c>
      <c r="F29" s="60" t="s">
        <v>145</v>
      </c>
      <c r="G29" s="61" t="s">
        <v>146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9"/>
      <c r="AU29" s="19"/>
      <c r="AV29" s="18"/>
      <c r="AW29" s="18"/>
      <c r="AX29" s="18"/>
      <c r="AY29" s="18"/>
      <c r="AZ29" s="18"/>
      <c r="BA29" s="18"/>
      <c r="BB29" s="18"/>
      <c r="BC29" s="18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</row>
    <row r="30" spans="1:256" s="56" customFormat="1" ht="13.5" thickBot="1" x14ac:dyDescent="0.25">
      <c r="A30" s="18"/>
      <c r="B30" s="31" t="s">
        <v>141</v>
      </c>
      <c r="C30" s="440" t="s">
        <v>135</v>
      </c>
      <c r="D30" s="441"/>
      <c r="E30" s="64">
        <v>18</v>
      </c>
      <c r="F30" s="65">
        <v>0.2</v>
      </c>
      <c r="G30" s="66">
        <f>E30*(1+F30)</f>
        <v>21.599999999999998</v>
      </c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54"/>
      <c r="AU30" s="54"/>
      <c r="AV30" s="38"/>
      <c r="AW30" s="38"/>
      <c r="AX30" s="38"/>
      <c r="AY30" s="38"/>
      <c r="AZ30" s="38"/>
      <c r="BA30" s="38"/>
      <c r="BB30" s="38"/>
      <c r="BC30" s="38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5"/>
      <c r="CP30" s="55"/>
      <c r="CQ30" s="55"/>
      <c r="CR30" s="55"/>
      <c r="CS30" s="55"/>
      <c r="CT30" s="55"/>
      <c r="CU30" s="55"/>
      <c r="CV30" s="55"/>
      <c r="CW30" s="55"/>
      <c r="CX30" s="55"/>
      <c r="CY30" s="55"/>
      <c r="CZ30" s="55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5"/>
      <c r="DO30" s="55"/>
      <c r="DP30" s="55"/>
      <c r="DQ30" s="55"/>
      <c r="DR30" s="55"/>
      <c r="DS30" s="55"/>
      <c r="DT30" s="55"/>
      <c r="DU30" s="55"/>
      <c r="DV30" s="55"/>
      <c r="DW30" s="55"/>
      <c r="DX30" s="55"/>
      <c r="DY30" s="55"/>
      <c r="DZ30" s="55"/>
      <c r="EA30" s="55"/>
      <c r="EB30" s="55"/>
      <c r="EC30" s="55"/>
      <c r="ED30" s="55"/>
      <c r="EE30" s="55"/>
      <c r="EF30" s="55"/>
      <c r="EG30" s="55"/>
      <c r="EH30" s="55"/>
      <c r="EI30" s="55"/>
      <c r="EJ30" s="55"/>
      <c r="EK30" s="55"/>
      <c r="EL30" s="55"/>
      <c r="EM30" s="55"/>
      <c r="EN30" s="55"/>
      <c r="EO30" s="55"/>
      <c r="EP30" s="55"/>
      <c r="EQ30" s="55"/>
      <c r="ER30" s="55"/>
      <c r="ES30" s="55"/>
      <c r="ET30" s="55"/>
      <c r="EU30" s="55"/>
      <c r="EV30" s="55"/>
      <c r="EW30" s="55"/>
      <c r="EX30" s="55"/>
      <c r="EY30" s="55"/>
      <c r="EZ30" s="55"/>
      <c r="FA30" s="55"/>
      <c r="FB30" s="55"/>
      <c r="FC30" s="55"/>
      <c r="FD30" s="55"/>
      <c r="FE30" s="55"/>
      <c r="FF30" s="55"/>
      <c r="FG30" s="55"/>
      <c r="FH30" s="55"/>
      <c r="FI30" s="55"/>
      <c r="FJ30" s="55"/>
      <c r="FK30" s="55"/>
      <c r="FL30" s="55"/>
      <c r="FM30" s="55"/>
      <c r="FN30" s="55"/>
      <c r="FO30" s="55"/>
      <c r="FP30" s="55"/>
      <c r="FQ30" s="55"/>
      <c r="FR30" s="55"/>
      <c r="FS30" s="55"/>
      <c r="FT30" s="55"/>
      <c r="FU30" s="55"/>
      <c r="FV30" s="55"/>
      <c r="FW30" s="55"/>
      <c r="FX30" s="55"/>
      <c r="FY30" s="55"/>
      <c r="FZ30" s="55"/>
      <c r="GA30" s="55"/>
      <c r="GB30" s="55"/>
      <c r="GC30" s="55"/>
      <c r="GD30" s="55"/>
      <c r="GE30" s="55"/>
      <c r="GF30" s="55"/>
      <c r="GG30" s="55"/>
      <c r="GH30" s="55"/>
      <c r="GI30" s="55"/>
      <c r="GJ30" s="55"/>
      <c r="GK30" s="55"/>
      <c r="GL30" s="55"/>
      <c r="GM30" s="55"/>
      <c r="GN30" s="55"/>
      <c r="GO30" s="55"/>
      <c r="GP30" s="55"/>
      <c r="GQ30" s="55"/>
      <c r="GR30" s="55"/>
      <c r="GS30" s="55"/>
      <c r="GT30" s="55"/>
      <c r="GU30" s="55"/>
      <c r="GV30" s="55"/>
      <c r="GW30" s="55"/>
      <c r="GX30" s="55"/>
      <c r="GY30" s="55"/>
      <c r="GZ30" s="55"/>
      <c r="HA30" s="55"/>
      <c r="HB30" s="55"/>
      <c r="HC30" s="55"/>
      <c r="HD30" s="55"/>
      <c r="HE30" s="55"/>
      <c r="HF30" s="55"/>
      <c r="HG30" s="55"/>
      <c r="HH30" s="55"/>
      <c r="HI30" s="55"/>
      <c r="HJ30" s="55"/>
      <c r="HK30" s="55"/>
      <c r="HL30" s="55"/>
      <c r="HM30" s="55"/>
      <c r="HN30" s="55"/>
      <c r="HO30" s="55"/>
      <c r="HP30" s="55"/>
      <c r="HQ30" s="55"/>
      <c r="HR30" s="55"/>
      <c r="HS30" s="55"/>
      <c r="HT30" s="55"/>
      <c r="HU30" s="55"/>
      <c r="HV30" s="55"/>
      <c r="HW30" s="55"/>
      <c r="HX30" s="55"/>
      <c r="HY30" s="55"/>
      <c r="HZ30" s="55"/>
      <c r="IA30" s="55"/>
      <c r="IB30" s="55"/>
      <c r="IC30" s="55"/>
      <c r="ID30" s="55"/>
      <c r="IE30" s="55"/>
      <c r="IF30" s="55"/>
      <c r="IG30" s="55"/>
      <c r="IH30" s="55"/>
      <c r="II30" s="55"/>
      <c r="IJ30" s="55"/>
      <c r="IK30" s="55"/>
      <c r="IL30" s="55"/>
      <c r="IM30" s="55"/>
      <c r="IN30" s="55"/>
      <c r="IO30" s="55"/>
      <c r="IP30" s="55"/>
      <c r="IQ30" s="55"/>
      <c r="IR30" s="55"/>
      <c r="IS30" s="55"/>
      <c r="IT30" s="55"/>
      <c r="IU30" s="55"/>
      <c r="IV30" s="55"/>
    </row>
    <row r="31" spans="1:256" s="56" customFormat="1" ht="13.5" thickBot="1" x14ac:dyDescent="0.25">
      <c r="A31" s="38"/>
      <c r="B31" s="31" t="s">
        <v>142</v>
      </c>
      <c r="C31" s="62" t="s">
        <v>195</v>
      </c>
      <c r="D31" s="63"/>
      <c r="E31" s="64">
        <v>14</v>
      </c>
      <c r="F31" s="65">
        <v>0.2</v>
      </c>
      <c r="G31" s="66">
        <f>E31*(1+F31)</f>
        <v>16.8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54"/>
      <c r="AU31" s="54"/>
      <c r="AV31" s="38"/>
      <c r="AW31" s="38"/>
      <c r="AX31" s="38"/>
      <c r="AY31" s="38"/>
      <c r="AZ31" s="38"/>
      <c r="BA31" s="38"/>
      <c r="BB31" s="38"/>
      <c r="BC31" s="38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/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55"/>
      <c r="DH31" s="55"/>
      <c r="DI31" s="55"/>
      <c r="DJ31" s="55"/>
      <c r="DK31" s="55"/>
      <c r="DL31" s="55"/>
      <c r="DM31" s="55"/>
      <c r="DN31" s="55"/>
      <c r="DO31" s="55"/>
      <c r="DP31" s="55"/>
      <c r="DQ31" s="55"/>
      <c r="DR31" s="55"/>
      <c r="DS31" s="55"/>
      <c r="DT31" s="55"/>
      <c r="DU31" s="55"/>
      <c r="DV31" s="55"/>
      <c r="DW31" s="55"/>
      <c r="DX31" s="55"/>
      <c r="DY31" s="55"/>
      <c r="DZ31" s="55"/>
      <c r="EA31" s="55"/>
      <c r="EB31" s="55"/>
      <c r="EC31" s="55"/>
      <c r="ED31" s="55"/>
      <c r="EE31" s="55"/>
      <c r="EF31" s="55"/>
      <c r="EG31" s="55"/>
      <c r="EH31" s="55"/>
      <c r="EI31" s="55"/>
      <c r="EJ31" s="55"/>
      <c r="EK31" s="55"/>
      <c r="EL31" s="55"/>
      <c r="EM31" s="55"/>
      <c r="EN31" s="55"/>
      <c r="EO31" s="55"/>
      <c r="EP31" s="55"/>
      <c r="EQ31" s="55"/>
      <c r="ER31" s="55"/>
      <c r="ES31" s="55"/>
      <c r="ET31" s="55"/>
      <c r="EU31" s="55"/>
      <c r="EV31" s="55"/>
      <c r="EW31" s="55"/>
      <c r="EX31" s="55"/>
      <c r="EY31" s="55"/>
      <c r="EZ31" s="55"/>
      <c r="FA31" s="55"/>
      <c r="FB31" s="55"/>
      <c r="FC31" s="55"/>
      <c r="FD31" s="55"/>
      <c r="FE31" s="55"/>
      <c r="FF31" s="55"/>
      <c r="FG31" s="55"/>
      <c r="FH31" s="55"/>
      <c r="FI31" s="55"/>
      <c r="FJ31" s="55"/>
      <c r="FK31" s="55"/>
      <c r="FL31" s="55"/>
      <c r="FM31" s="55"/>
      <c r="FN31" s="55"/>
      <c r="FO31" s="55"/>
      <c r="FP31" s="55"/>
      <c r="FQ31" s="55"/>
      <c r="FR31" s="55"/>
      <c r="FS31" s="55"/>
      <c r="FT31" s="55"/>
      <c r="FU31" s="55"/>
      <c r="FV31" s="55"/>
      <c r="FW31" s="55"/>
      <c r="FX31" s="55"/>
      <c r="FY31" s="55"/>
      <c r="FZ31" s="55"/>
      <c r="GA31" s="55"/>
      <c r="GB31" s="55"/>
      <c r="GC31" s="55"/>
      <c r="GD31" s="55"/>
      <c r="GE31" s="55"/>
      <c r="GF31" s="55"/>
      <c r="GG31" s="55"/>
      <c r="GH31" s="55"/>
      <c r="GI31" s="55"/>
      <c r="GJ31" s="55"/>
      <c r="GK31" s="55"/>
      <c r="GL31" s="55"/>
      <c r="GM31" s="55"/>
      <c r="GN31" s="55"/>
      <c r="GO31" s="55"/>
      <c r="GP31" s="55"/>
      <c r="GQ31" s="55"/>
      <c r="GR31" s="55"/>
      <c r="GS31" s="55"/>
      <c r="GT31" s="55"/>
      <c r="GU31" s="55"/>
      <c r="GV31" s="55"/>
      <c r="GW31" s="55"/>
      <c r="GX31" s="55"/>
      <c r="GY31" s="55"/>
      <c r="GZ31" s="55"/>
      <c r="HA31" s="55"/>
      <c r="HB31" s="55"/>
      <c r="HC31" s="55"/>
      <c r="HD31" s="55"/>
      <c r="HE31" s="55"/>
      <c r="HF31" s="55"/>
      <c r="HG31" s="55"/>
      <c r="HH31" s="55"/>
      <c r="HI31" s="55"/>
      <c r="HJ31" s="55"/>
      <c r="HK31" s="55"/>
      <c r="HL31" s="55"/>
      <c r="HM31" s="55"/>
      <c r="HN31" s="55"/>
      <c r="HO31" s="55"/>
      <c r="HP31" s="55"/>
      <c r="HQ31" s="55"/>
      <c r="HR31" s="55"/>
      <c r="HS31" s="55"/>
      <c r="HT31" s="55"/>
      <c r="HU31" s="55"/>
      <c r="HV31" s="55"/>
      <c r="HW31" s="55"/>
      <c r="HX31" s="55"/>
      <c r="HY31" s="55"/>
      <c r="HZ31" s="55"/>
      <c r="IA31" s="55"/>
      <c r="IB31" s="55"/>
      <c r="IC31" s="55"/>
      <c r="ID31" s="55"/>
      <c r="IE31" s="55"/>
      <c r="IF31" s="55"/>
      <c r="IG31" s="55"/>
      <c r="IH31" s="55"/>
      <c r="II31" s="55"/>
      <c r="IJ31" s="55"/>
      <c r="IK31" s="55"/>
      <c r="IL31" s="55"/>
      <c r="IM31" s="55"/>
      <c r="IN31" s="55"/>
      <c r="IO31" s="55"/>
      <c r="IP31" s="55"/>
      <c r="IQ31" s="55"/>
      <c r="IR31" s="55"/>
      <c r="IS31" s="55"/>
      <c r="IT31" s="55"/>
      <c r="IU31" s="55"/>
      <c r="IV31" s="55"/>
    </row>
    <row r="32" spans="1:256" s="56" customFormat="1" ht="13.5" thickBot="1" x14ac:dyDescent="0.25">
      <c r="A32" s="38"/>
      <c r="B32" s="31" t="s">
        <v>143</v>
      </c>
      <c r="C32" s="62" t="s">
        <v>140</v>
      </c>
      <c r="D32" s="63"/>
      <c r="E32" s="64">
        <v>10</v>
      </c>
      <c r="F32" s="65">
        <v>0.2</v>
      </c>
      <c r="G32" s="66">
        <f>E32*(1+F32)</f>
        <v>12</v>
      </c>
      <c r="H32" s="382"/>
      <c r="I32" s="38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54"/>
      <c r="AU32" s="54"/>
      <c r="AV32" s="38"/>
      <c r="AW32" s="38"/>
      <c r="AX32" s="38"/>
      <c r="AY32" s="38"/>
      <c r="AZ32" s="38"/>
      <c r="BA32" s="38"/>
      <c r="BB32" s="38"/>
      <c r="BC32" s="38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5"/>
      <c r="CO32" s="55"/>
      <c r="CP32" s="55"/>
      <c r="CQ32" s="55"/>
      <c r="CR32" s="55"/>
      <c r="CS32" s="55"/>
      <c r="CT32" s="55"/>
      <c r="CU32" s="55"/>
      <c r="CV32" s="55"/>
      <c r="CW32" s="55"/>
      <c r="CX32" s="55"/>
      <c r="CY32" s="55"/>
      <c r="CZ32" s="55"/>
      <c r="DA32" s="55"/>
      <c r="DB32" s="55"/>
      <c r="DC32" s="55"/>
      <c r="DD32" s="55"/>
      <c r="DE32" s="55"/>
      <c r="DF32" s="55"/>
      <c r="DG32" s="55"/>
      <c r="DH32" s="55"/>
      <c r="DI32" s="55"/>
      <c r="DJ32" s="55"/>
      <c r="DK32" s="55"/>
      <c r="DL32" s="55"/>
      <c r="DM32" s="55"/>
      <c r="DN32" s="55"/>
      <c r="DO32" s="55"/>
      <c r="DP32" s="55"/>
      <c r="DQ32" s="55"/>
      <c r="DR32" s="55"/>
      <c r="DS32" s="55"/>
      <c r="DT32" s="55"/>
      <c r="DU32" s="55"/>
      <c r="DV32" s="55"/>
      <c r="DW32" s="55"/>
      <c r="DX32" s="55"/>
      <c r="DY32" s="55"/>
      <c r="DZ32" s="55"/>
      <c r="EA32" s="55"/>
      <c r="EB32" s="55"/>
      <c r="EC32" s="55"/>
      <c r="ED32" s="55"/>
      <c r="EE32" s="55"/>
      <c r="EF32" s="55"/>
      <c r="EG32" s="55"/>
      <c r="EH32" s="55"/>
      <c r="EI32" s="55"/>
      <c r="EJ32" s="55"/>
      <c r="EK32" s="55"/>
      <c r="EL32" s="55"/>
      <c r="EM32" s="55"/>
      <c r="EN32" s="55"/>
      <c r="EO32" s="55"/>
      <c r="EP32" s="55"/>
      <c r="EQ32" s="55"/>
      <c r="ER32" s="55"/>
      <c r="ES32" s="55"/>
      <c r="ET32" s="55"/>
      <c r="EU32" s="55"/>
      <c r="EV32" s="55"/>
      <c r="EW32" s="55"/>
      <c r="EX32" s="55"/>
      <c r="EY32" s="55"/>
      <c r="EZ32" s="55"/>
      <c r="FA32" s="55"/>
      <c r="FB32" s="55"/>
      <c r="FC32" s="55"/>
      <c r="FD32" s="55"/>
      <c r="FE32" s="55"/>
      <c r="FF32" s="55"/>
      <c r="FG32" s="55"/>
      <c r="FH32" s="55"/>
      <c r="FI32" s="55"/>
      <c r="FJ32" s="55"/>
      <c r="FK32" s="55"/>
      <c r="FL32" s="55"/>
      <c r="FM32" s="55"/>
      <c r="FN32" s="55"/>
      <c r="FO32" s="55"/>
      <c r="FP32" s="55"/>
      <c r="FQ32" s="55"/>
      <c r="FR32" s="55"/>
      <c r="FS32" s="55"/>
      <c r="FT32" s="55"/>
      <c r="FU32" s="55"/>
      <c r="FV32" s="55"/>
      <c r="FW32" s="55"/>
      <c r="FX32" s="55"/>
      <c r="FY32" s="55"/>
      <c r="FZ32" s="55"/>
      <c r="GA32" s="55"/>
      <c r="GB32" s="55"/>
      <c r="GC32" s="55"/>
      <c r="GD32" s="55"/>
      <c r="GE32" s="55"/>
      <c r="GF32" s="55"/>
      <c r="GG32" s="55"/>
      <c r="GH32" s="55"/>
      <c r="GI32" s="55"/>
      <c r="GJ32" s="55"/>
      <c r="GK32" s="55"/>
      <c r="GL32" s="55"/>
      <c r="GM32" s="55"/>
      <c r="GN32" s="55"/>
      <c r="GO32" s="55"/>
      <c r="GP32" s="55"/>
      <c r="GQ32" s="55"/>
      <c r="GR32" s="55"/>
      <c r="GS32" s="55"/>
      <c r="GT32" s="55"/>
      <c r="GU32" s="55"/>
      <c r="GV32" s="55"/>
      <c r="GW32" s="55"/>
      <c r="GX32" s="55"/>
      <c r="GY32" s="55"/>
      <c r="GZ32" s="55"/>
      <c r="HA32" s="55"/>
      <c r="HB32" s="55"/>
      <c r="HC32" s="55"/>
      <c r="HD32" s="55"/>
      <c r="HE32" s="55"/>
      <c r="HF32" s="55"/>
      <c r="HG32" s="55"/>
      <c r="HH32" s="55"/>
      <c r="HI32" s="55"/>
      <c r="HJ32" s="55"/>
      <c r="HK32" s="55"/>
      <c r="HL32" s="55"/>
      <c r="HM32" s="55"/>
      <c r="HN32" s="55"/>
      <c r="HO32" s="55"/>
      <c r="HP32" s="55"/>
      <c r="HQ32" s="55"/>
      <c r="HR32" s="55"/>
      <c r="HS32" s="55"/>
      <c r="HT32" s="55"/>
      <c r="HU32" s="55"/>
      <c r="HV32" s="55"/>
      <c r="HW32" s="55"/>
      <c r="HX32" s="55"/>
      <c r="HY32" s="55"/>
      <c r="HZ32" s="55"/>
      <c r="IA32" s="55"/>
      <c r="IB32" s="55"/>
      <c r="IC32" s="55"/>
      <c r="ID32" s="55"/>
      <c r="IE32" s="55"/>
      <c r="IF32" s="55"/>
      <c r="IG32" s="55"/>
      <c r="IH32" s="55"/>
      <c r="II32" s="55"/>
      <c r="IJ32" s="55"/>
      <c r="IK32" s="55"/>
      <c r="IL32" s="55"/>
      <c r="IM32" s="55"/>
      <c r="IN32" s="55"/>
      <c r="IO32" s="55"/>
      <c r="IP32" s="55"/>
      <c r="IQ32" s="55"/>
      <c r="IR32" s="55"/>
      <c r="IS32" s="55"/>
      <c r="IT32" s="55"/>
      <c r="IU32" s="55"/>
      <c r="IV32" s="55"/>
    </row>
    <row r="33" spans="1:256" s="76" customFormat="1" ht="13.5" thickBot="1" x14ac:dyDescent="0.25">
      <c r="A33" s="38"/>
      <c r="B33" s="67"/>
      <c r="C33" s="68" t="s">
        <v>204</v>
      </c>
      <c r="D33" s="69"/>
      <c r="E33" s="70"/>
      <c r="F33" s="71"/>
      <c r="G33" s="72">
        <v>0.03</v>
      </c>
      <c r="H33" s="383"/>
      <c r="I33" s="382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4"/>
      <c r="AU33" s="74"/>
      <c r="AV33" s="73"/>
      <c r="AW33" s="73"/>
      <c r="AX33" s="73"/>
      <c r="AY33" s="73"/>
      <c r="AZ33" s="73"/>
      <c r="BA33" s="73"/>
      <c r="BB33" s="73"/>
      <c r="BC33" s="73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  <c r="CT33" s="75"/>
      <c r="CU33" s="75"/>
      <c r="CV33" s="75"/>
      <c r="CW33" s="75"/>
      <c r="CX33" s="75"/>
      <c r="CY33" s="75"/>
      <c r="CZ33" s="75"/>
      <c r="DA33" s="75"/>
      <c r="DB33" s="75"/>
      <c r="DC33" s="75"/>
      <c r="DD33" s="75"/>
      <c r="DE33" s="75"/>
      <c r="DF33" s="75"/>
      <c r="DG33" s="75"/>
      <c r="DH33" s="75"/>
      <c r="DI33" s="75"/>
      <c r="DJ33" s="75"/>
      <c r="DK33" s="75"/>
      <c r="DL33" s="75"/>
      <c r="DM33" s="75"/>
      <c r="DN33" s="75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75"/>
      <c r="EC33" s="75"/>
      <c r="ED33" s="75"/>
      <c r="EE33" s="75"/>
      <c r="EF33" s="75"/>
      <c r="EG33" s="75"/>
      <c r="EH33" s="75"/>
      <c r="EI33" s="75"/>
      <c r="EJ33" s="75"/>
      <c r="EK33" s="75"/>
      <c r="EL33" s="75"/>
      <c r="EM33" s="75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75"/>
      <c r="FF33" s="75"/>
      <c r="FG33" s="75"/>
      <c r="FH33" s="75"/>
      <c r="FI33" s="75"/>
      <c r="FJ33" s="75"/>
      <c r="FK33" s="75"/>
      <c r="FL33" s="75"/>
      <c r="FM33" s="75"/>
      <c r="FN33" s="75"/>
      <c r="FO33" s="75"/>
      <c r="FP33" s="75"/>
      <c r="FQ33" s="75"/>
      <c r="FR33" s="75"/>
      <c r="FS33" s="75"/>
      <c r="FT33" s="75"/>
      <c r="FU33" s="75"/>
      <c r="FV33" s="75"/>
      <c r="FW33" s="75"/>
      <c r="FX33" s="75"/>
      <c r="FY33" s="75"/>
      <c r="FZ33" s="75"/>
      <c r="GA33" s="75"/>
      <c r="GB33" s="75"/>
      <c r="GC33" s="75"/>
      <c r="GD33" s="75"/>
      <c r="GE33" s="75"/>
      <c r="GF33" s="75"/>
      <c r="GG33" s="75"/>
      <c r="GH33" s="75"/>
      <c r="GI33" s="75"/>
      <c r="GJ33" s="75"/>
      <c r="GK33" s="75"/>
      <c r="GL33" s="75"/>
      <c r="GM33" s="75"/>
      <c r="GN33" s="75"/>
      <c r="GO33" s="75"/>
      <c r="GP33" s="75"/>
      <c r="GQ33" s="75"/>
      <c r="GR33" s="75"/>
      <c r="GS33" s="75"/>
      <c r="GT33" s="75"/>
      <c r="GU33" s="75"/>
      <c r="GV33" s="75"/>
      <c r="GW33" s="75"/>
      <c r="GX33" s="75"/>
      <c r="GY33" s="75"/>
      <c r="GZ33" s="75"/>
      <c r="HA33" s="75"/>
      <c r="HB33" s="75"/>
      <c r="HC33" s="75"/>
      <c r="HD33" s="75"/>
      <c r="HE33" s="75"/>
      <c r="HF33" s="75"/>
      <c r="HG33" s="75"/>
      <c r="HH33" s="75"/>
      <c r="HI33" s="75"/>
      <c r="HJ33" s="75"/>
      <c r="HK33" s="75"/>
      <c r="HL33" s="75"/>
      <c r="HM33" s="75"/>
      <c r="HN33" s="75"/>
      <c r="HO33" s="75"/>
      <c r="HP33" s="75"/>
      <c r="HQ33" s="75"/>
      <c r="HR33" s="75"/>
      <c r="HS33" s="75"/>
      <c r="HT33" s="75"/>
      <c r="HU33" s="75"/>
      <c r="HV33" s="75"/>
      <c r="HW33" s="75"/>
      <c r="HX33" s="75"/>
      <c r="HY33" s="75"/>
      <c r="HZ33" s="75"/>
      <c r="IA33" s="75"/>
      <c r="IB33" s="75"/>
      <c r="IC33" s="75"/>
      <c r="ID33" s="75"/>
      <c r="IE33" s="75"/>
      <c r="IF33" s="75"/>
      <c r="IG33" s="75"/>
      <c r="IH33" s="75"/>
      <c r="II33" s="75"/>
      <c r="IJ33" s="75"/>
      <c r="IK33" s="75"/>
      <c r="IL33" s="75"/>
      <c r="IM33" s="75"/>
      <c r="IN33" s="75"/>
      <c r="IO33" s="75"/>
      <c r="IP33" s="75"/>
      <c r="IQ33" s="75"/>
      <c r="IR33" s="75"/>
      <c r="IS33" s="75"/>
      <c r="IT33" s="75"/>
      <c r="IU33" s="75"/>
      <c r="IV33" s="75"/>
    </row>
    <row r="34" spans="1:256" s="56" customFormat="1" x14ac:dyDescent="0.2">
      <c r="A34" s="73"/>
      <c r="B34" s="429" t="s">
        <v>147</v>
      </c>
      <c r="C34" s="430"/>
      <c r="D34" s="430"/>
      <c r="E34" s="430"/>
      <c r="F34" s="430"/>
      <c r="G34" s="431"/>
      <c r="H34" s="382"/>
      <c r="I34" s="38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54"/>
      <c r="AU34" s="54"/>
      <c r="AV34" s="38"/>
      <c r="AW34" s="38"/>
      <c r="AX34" s="38"/>
      <c r="AY34" s="38"/>
      <c r="AZ34" s="38"/>
      <c r="BA34" s="38"/>
      <c r="BB34" s="38"/>
      <c r="BC34" s="38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5"/>
      <c r="CP34" s="55"/>
      <c r="CQ34" s="55"/>
      <c r="CR34" s="55"/>
      <c r="CS34" s="55"/>
      <c r="CT34" s="55"/>
      <c r="CU34" s="55"/>
      <c r="CV34" s="55"/>
      <c r="CW34" s="55"/>
      <c r="CX34" s="55"/>
      <c r="CY34" s="55"/>
      <c r="CZ34" s="55"/>
      <c r="DA34" s="55"/>
      <c r="DB34" s="55"/>
      <c r="DC34" s="55"/>
      <c r="DD34" s="55"/>
      <c r="DE34" s="55"/>
      <c r="DF34" s="55"/>
      <c r="DG34" s="55"/>
      <c r="DH34" s="55"/>
      <c r="DI34" s="55"/>
      <c r="DJ34" s="55"/>
      <c r="DK34" s="55"/>
      <c r="DL34" s="55"/>
      <c r="DM34" s="55"/>
      <c r="DN34" s="55"/>
      <c r="DO34" s="55"/>
      <c r="DP34" s="55"/>
      <c r="DQ34" s="55"/>
      <c r="DR34" s="55"/>
      <c r="DS34" s="55"/>
      <c r="DT34" s="55"/>
      <c r="DU34" s="55"/>
      <c r="DV34" s="55"/>
      <c r="DW34" s="55"/>
      <c r="DX34" s="55"/>
      <c r="DY34" s="55"/>
      <c r="DZ34" s="55"/>
      <c r="EA34" s="55"/>
      <c r="EB34" s="55"/>
      <c r="EC34" s="55"/>
      <c r="ED34" s="55"/>
      <c r="EE34" s="55"/>
      <c r="EF34" s="55"/>
      <c r="EG34" s="55"/>
      <c r="EH34" s="55"/>
      <c r="EI34" s="55"/>
      <c r="EJ34" s="55"/>
      <c r="EK34" s="55"/>
      <c r="EL34" s="55"/>
      <c r="EM34" s="55"/>
      <c r="EN34" s="55"/>
      <c r="EO34" s="55"/>
      <c r="EP34" s="55"/>
      <c r="EQ34" s="55"/>
      <c r="ER34" s="55"/>
      <c r="ES34" s="55"/>
      <c r="ET34" s="55"/>
      <c r="EU34" s="55"/>
      <c r="EV34" s="55"/>
      <c r="EW34" s="55"/>
      <c r="EX34" s="55"/>
      <c r="EY34" s="55"/>
      <c r="EZ34" s="55"/>
      <c r="FA34" s="55"/>
      <c r="FB34" s="55"/>
      <c r="FC34" s="55"/>
      <c r="FD34" s="55"/>
      <c r="FE34" s="55"/>
      <c r="FF34" s="55"/>
      <c r="FG34" s="55"/>
      <c r="FH34" s="55"/>
      <c r="FI34" s="55"/>
      <c r="FJ34" s="55"/>
      <c r="FK34" s="55"/>
      <c r="FL34" s="55"/>
      <c r="FM34" s="55"/>
      <c r="FN34" s="55"/>
      <c r="FO34" s="55"/>
      <c r="FP34" s="55"/>
      <c r="FQ34" s="55"/>
      <c r="FR34" s="55"/>
      <c r="FS34" s="55"/>
      <c r="FT34" s="55"/>
      <c r="FU34" s="55"/>
      <c r="FV34" s="55"/>
      <c r="FW34" s="55"/>
      <c r="FX34" s="55"/>
      <c r="FY34" s="55"/>
      <c r="FZ34" s="55"/>
      <c r="GA34" s="55"/>
      <c r="GB34" s="55"/>
      <c r="GC34" s="55"/>
      <c r="GD34" s="55"/>
      <c r="GE34" s="55"/>
      <c r="GF34" s="55"/>
      <c r="GG34" s="55"/>
      <c r="GH34" s="55"/>
      <c r="GI34" s="55"/>
      <c r="GJ34" s="55"/>
      <c r="GK34" s="55"/>
      <c r="GL34" s="55"/>
      <c r="GM34" s="55"/>
      <c r="GN34" s="55"/>
      <c r="GO34" s="55"/>
      <c r="GP34" s="55"/>
      <c r="GQ34" s="55"/>
      <c r="GR34" s="55"/>
      <c r="GS34" s="55"/>
      <c r="GT34" s="55"/>
      <c r="GU34" s="55"/>
      <c r="GV34" s="55"/>
      <c r="GW34" s="55"/>
      <c r="GX34" s="55"/>
      <c r="GY34" s="55"/>
      <c r="GZ34" s="55"/>
      <c r="HA34" s="55"/>
      <c r="HB34" s="55"/>
      <c r="HC34" s="55"/>
      <c r="HD34" s="55"/>
      <c r="HE34" s="55"/>
      <c r="HF34" s="55"/>
      <c r="HG34" s="55"/>
      <c r="HH34" s="55"/>
      <c r="HI34" s="55"/>
      <c r="HJ34" s="55"/>
      <c r="HK34" s="55"/>
      <c r="HL34" s="55"/>
      <c r="HM34" s="55"/>
      <c r="HN34" s="55"/>
      <c r="HO34" s="55"/>
      <c r="HP34" s="55"/>
      <c r="HQ34" s="55"/>
      <c r="HR34" s="55"/>
      <c r="HS34" s="55"/>
      <c r="HT34" s="55"/>
      <c r="HU34" s="55"/>
      <c r="HV34" s="55"/>
      <c r="HW34" s="55"/>
      <c r="HX34" s="55"/>
      <c r="HY34" s="55"/>
      <c r="HZ34" s="55"/>
      <c r="IA34" s="55"/>
      <c r="IB34" s="55"/>
      <c r="IC34" s="55"/>
      <c r="ID34" s="55"/>
      <c r="IE34" s="55"/>
      <c r="IF34" s="55"/>
      <c r="IG34" s="55"/>
      <c r="IH34" s="55"/>
      <c r="II34" s="55"/>
      <c r="IJ34" s="55"/>
      <c r="IK34" s="55"/>
      <c r="IL34" s="55"/>
      <c r="IM34" s="55"/>
      <c r="IN34" s="55"/>
      <c r="IO34" s="55"/>
      <c r="IP34" s="55"/>
      <c r="IQ34" s="55"/>
      <c r="IR34" s="55"/>
      <c r="IS34" s="55"/>
      <c r="IT34" s="55"/>
      <c r="IU34" s="55"/>
      <c r="IV34" s="55"/>
    </row>
    <row r="35" spans="1:256" s="56" customFormat="1" x14ac:dyDescent="0.2">
      <c r="A35" s="38"/>
      <c r="B35" s="432" t="s">
        <v>149</v>
      </c>
      <c r="C35" s="433"/>
      <c r="D35" s="433"/>
      <c r="E35" s="433"/>
      <c r="F35" s="433"/>
      <c r="G35" s="434"/>
      <c r="H35" s="382"/>
      <c r="I35" s="38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54"/>
      <c r="AU35" s="54"/>
      <c r="AV35" s="38"/>
      <c r="AW35" s="38"/>
      <c r="AX35" s="38"/>
      <c r="AY35" s="38"/>
      <c r="AZ35" s="38"/>
      <c r="BA35" s="38"/>
      <c r="BB35" s="38"/>
      <c r="BC35" s="38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/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55"/>
      <c r="DH35" s="55"/>
      <c r="DI35" s="55"/>
      <c r="DJ35" s="55"/>
      <c r="DK35" s="55"/>
      <c r="DL35" s="55"/>
      <c r="DM35" s="55"/>
      <c r="DN35" s="55"/>
      <c r="DO35" s="55"/>
      <c r="DP35" s="55"/>
      <c r="DQ35" s="55"/>
      <c r="DR35" s="55"/>
      <c r="DS35" s="55"/>
      <c r="DT35" s="55"/>
      <c r="DU35" s="55"/>
      <c r="DV35" s="55"/>
      <c r="DW35" s="55"/>
      <c r="DX35" s="55"/>
      <c r="DY35" s="55"/>
      <c r="DZ35" s="55"/>
      <c r="EA35" s="55"/>
      <c r="EB35" s="55"/>
      <c r="EC35" s="55"/>
      <c r="ED35" s="55"/>
      <c r="EE35" s="55"/>
      <c r="EF35" s="55"/>
      <c r="EG35" s="55"/>
      <c r="EH35" s="55"/>
      <c r="EI35" s="55"/>
      <c r="EJ35" s="55"/>
      <c r="EK35" s="55"/>
      <c r="EL35" s="55"/>
      <c r="EM35" s="55"/>
      <c r="EN35" s="55"/>
      <c r="EO35" s="55"/>
      <c r="EP35" s="55"/>
      <c r="EQ35" s="55"/>
      <c r="ER35" s="55"/>
      <c r="ES35" s="55"/>
      <c r="ET35" s="55"/>
      <c r="EU35" s="55"/>
      <c r="EV35" s="55"/>
      <c r="EW35" s="55"/>
      <c r="EX35" s="55"/>
      <c r="EY35" s="55"/>
      <c r="EZ35" s="55"/>
      <c r="FA35" s="55"/>
      <c r="FB35" s="55"/>
      <c r="FC35" s="55"/>
      <c r="FD35" s="55"/>
      <c r="FE35" s="55"/>
      <c r="FF35" s="55"/>
      <c r="FG35" s="55"/>
      <c r="FH35" s="55"/>
      <c r="FI35" s="55"/>
      <c r="FJ35" s="55"/>
      <c r="FK35" s="55"/>
      <c r="FL35" s="55"/>
      <c r="FM35" s="55"/>
      <c r="FN35" s="55"/>
      <c r="FO35" s="55"/>
      <c r="FP35" s="55"/>
      <c r="FQ35" s="55"/>
      <c r="FR35" s="55"/>
      <c r="FS35" s="55"/>
      <c r="FT35" s="55"/>
      <c r="FU35" s="55"/>
      <c r="FV35" s="55"/>
      <c r="FW35" s="55"/>
      <c r="FX35" s="55"/>
      <c r="FY35" s="55"/>
      <c r="FZ35" s="55"/>
      <c r="GA35" s="55"/>
      <c r="GB35" s="55"/>
      <c r="GC35" s="55"/>
      <c r="GD35" s="55"/>
      <c r="GE35" s="55"/>
      <c r="GF35" s="55"/>
      <c r="GG35" s="55"/>
      <c r="GH35" s="55"/>
      <c r="GI35" s="55"/>
      <c r="GJ35" s="55"/>
      <c r="GK35" s="55"/>
      <c r="GL35" s="55"/>
      <c r="GM35" s="55"/>
      <c r="GN35" s="55"/>
      <c r="GO35" s="55"/>
      <c r="GP35" s="55"/>
      <c r="GQ35" s="55"/>
      <c r="GR35" s="55"/>
      <c r="GS35" s="55"/>
      <c r="GT35" s="55"/>
      <c r="GU35" s="55"/>
      <c r="GV35" s="55"/>
      <c r="GW35" s="55"/>
      <c r="GX35" s="55"/>
      <c r="GY35" s="55"/>
      <c r="GZ35" s="55"/>
      <c r="HA35" s="55"/>
      <c r="HB35" s="55"/>
      <c r="HC35" s="55"/>
      <c r="HD35" s="55"/>
      <c r="HE35" s="55"/>
      <c r="HF35" s="55"/>
      <c r="HG35" s="55"/>
      <c r="HH35" s="55"/>
      <c r="HI35" s="55"/>
      <c r="HJ35" s="55"/>
      <c r="HK35" s="55"/>
      <c r="HL35" s="55"/>
      <c r="HM35" s="55"/>
      <c r="HN35" s="55"/>
      <c r="HO35" s="55"/>
      <c r="HP35" s="55"/>
      <c r="HQ35" s="55"/>
      <c r="HR35" s="55"/>
      <c r="HS35" s="55"/>
      <c r="HT35" s="55"/>
      <c r="HU35" s="55"/>
      <c r="HV35" s="55"/>
      <c r="HW35" s="55"/>
      <c r="HX35" s="55"/>
      <c r="HY35" s="55"/>
      <c r="HZ35" s="55"/>
      <c r="IA35" s="55"/>
      <c r="IB35" s="55"/>
      <c r="IC35" s="55"/>
      <c r="ID35" s="55"/>
      <c r="IE35" s="55"/>
      <c r="IF35" s="55"/>
      <c r="IG35" s="55"/>
      <c r="IH35" s="55"/>
      <c r="II35" s="55"/>
      <c r="IJ35" s="55"/>
      <c r="IK35" s="55"/>
      <c r="IL35" s="55"/>
      <c r="IM35" s="55"/>
      <c r="IN35" s="55"/>
      <c r="IO35" s="55"/>
      <c r="IP35" s="55"/>
      <c r="IQ35" s="55"/>
      <c r="IR35" s="55"/>
      <c r="IS35" s="55"/>
      <c r="IT35" s="55"/>
      <c r="IU35" s="55"/>
      <c r="IV35" s="55"/>
    </row>
    <row r="36" spans="1:256" s="56" customFormat="1" ht="13.5" thickBot="1" x14ac:dyDescent="0.25">
      <c r="A36" s="38"/>
      <c r="B36" s="435" t="s">
        <v>148</v>
      </c>
      <c r="C36" s="436"/>
      <c r="D36" s="436"/>
      <c r="E36" s="436"/>
      <c r="F36" s="436"/>
      <c r="G36" s="437"/>
      <c r="H36" s="382"/>
      <c r="I36" s="38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54"/>
      <c r="AU36" s="54"/>
      <c r="AV36" s="38"/>
      <c r="AW36" s="38"/>
      <c r="AX36" s="38"/>
      <c r="AY36" s="38"/>
      <c r="AZ36" s="38"/>
      <c r="BA36" s="38"/>
      <c r="BB36" s="38"/>
      <c r="BC36" s="38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  <c r="DW36" s="55"/>
      <c r="DX36" s="55"/>
      <c r="DY36" s="55"/>
      <c r="DZ36" s="55"/>
      <c r="EA36" s="55"/>
      <c r="EB36" s="55"/>
      <c r="EC36" s="55"/>
      <c r="ED36" s="55"/>
      <c r="EE36" s="55"/>
      <c r="EF36" s="55"/>
      <c r="EG36" s="55"/>
      <c r="EH36" s="55"/>
      <c r="EI36" s="55"/>
      <c r="EJ36" s="55"/>
      <c r="EK36" s="55"/>
      <c r="EL36" s="55"/>
      <c r="EM36" s="55"/>
      <c r="EN36" s="55"/>
      <c r="EO36" s="55"/>
      <c r="EP36" s="55"/>
      <c r="EQ36" s="55"/>
      <c r="ER36" s="55"/>
      <c r="ES36" s="55"/>
      <c r="ET36" s="55"/>
      <c r="EU36" s="55"/>
      <c r="EV36" s="55"/>
      <c r="EW36" s="55"/>
      <c r="EX36" s="55"/>
      <c r="EY36" s="55"/>
      <c r="EZ36" s="55"/>
      <c r="FA36" s="55"/>
      <c r="FB36" s="55"/>
      <c r="FC36" s="55"/>
      <c r="FD36" s="55"/>
      <c r="FE36" s="55"/>
      <c r="FF36" s="55"/>
      <c r="FG36" s="55"/>
      <c r="FH36" s="55"/>
      <c r="FI36" s="55"/>
      <c r="FJ36" s="55"/>
      <c r="FK36" s="55"/>
      <c r="FL36" s="55"/>
      <c r="FM36" s="55"/>
      <c r="FN36" s="55"/>
      <c r="FO36" s="55"/>
      <c r="FP36" s="55"/>
      <c r="FQ36" s="55"/>
      <c r="FR36" s="55"/>
      <c r="FS36" s="55"/>
      <c r="FT36" s="55"/>
      <c r="FU36" s="55"/>
      <c r="FV36" s="55"/>
      <c r="FW36" s="55"/>
      <c r="FX36" s="55"/>
      <c r="FY36" s="55"/>
      <c r="FZ36" s="55"/>
      <c r="GA36" s="55"/>
      <c r="GB36" s="55"/>
      <c r="GC36" s="55"/>
      <c r="GD36" s="55"/>
      <c r="GE36" s="55"/>
      <c r="GF36" s="55"/>
      <c r="GG36" s="55"/>
      <c r="GH36" s="55"/>
      <c r="GI36" s="55"/>
      <c r="GJ36" s="55"/>
      <c r="GK36" s="55"/>
      <c r="GL36" s="55"/>
      <c r="GM36" s="55"/>
      <c r="GN36" s="55"/>
      <c r="GO36" s="55"/>
      <c r="GP36" s="55"/>
      <c r="GQ36" s="55"/>
      <c r="GR36" s="55"/>
      <c r="GS36" s="55"/>
      <c r="GT36" s="55"/>
      <c r="GU36" s="55"/>
      <c r="GV36" s="55"/>
      <c r="GW36" s="55"/>
      <c r="GX36" s="55"/>
      <c r="GY36" s="55"/>
      <c r="GZ36" s="55"/>
      <c r="HA36" s="55"/>
      <c r="HB36" s="55"/>
      <c r="HC36" s="55"/>
      <c r="HD36" s="55"/>
      <c r="HE36" s="55"/>
      <c r="HF36" s="55"/>
      <c r="HG36" s="55"/>
      <c r="HH36" s="55"/>
      <c r="HI36" s="55"/>
      <c r="HJ36" s="55"/>
      <c r="HK36" s="55"/>
      <c r="HL36" s="55"/>
      <c r="HM36" s="55"/>
      <c r="HN36" s="55"/>
      <c r="HO36" s="55"/>
      <c r="HP36" s="55"/>
      <c r="HQ36" s="55"/>
      <c r="HR36" s="55"/>
      <c r="HS36" s="55"/>
      <c r="HT36" s="55"/>
      <c r="HU36" s="55"/>
      <c r="HV36" s="55"/>
      <c r="HW36" s="55"/>
      <c r="HX36" s="55"/>
      <c r="HY36" s="55"/>
      <c r="HZ36" s="55"/>
      <c r="IA36" s="55"/>
      <c r="IB36" s="55"/>
      <c r="IC36" s="55"/>
      <c r="ID36" s="55"/>
      <c r="IE36" s="55"/>
      <c r="IF36" s="55"/>
      <c r="IG36" s="55"/>
      <c r="IH36" s="55"/>
      <c r="II36" s="55"/>
      <c r="IJ36" s="55"/>
      <c r="IK36" s="55"/>
      <c r="IL36" s="55"/>
      <c r="IM36" s="55"/>
      <c r="IN36" s="55"/>
      <c r="IO36" s="55"/>
      <c r="IP36" s="55"/>
      <c r="IQ36" s="55"/>
      <c r="IR36" s="55"/>
      <c r="IS36" s="55"/>
      <c r="IT36" s="55"/>
      <c r="IU36" s="55"/>
      <c r="IV36" s="55"/>
    </row>
    <row r="37" spans="1:256" s="21" customFormat="1" x14ac:dyDescent="0.2">
      <c r="A37" s="38"/>
      <c r="B37" s="77"/>
      <c r="C37" s="443" t="s">
        <v>70</v>
      </c>
      <c r="D37" s="444"/>
      <c r="E37" s="78"/>
      <c r="F37" s="26" t="s">
        <v>63</v>
      </c>
      <c r="G37" s="26" t="s">
        <v>65</v>
      </c>
      <c r="H37" s="382"/>
      <c r="I37" s="382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9"/>
      <c r="AU37" s="19"/>
      <c r="AV37" s="18"/>
      <c r="AW37" s="18"/>
      <c r="AX37" s="18"/>
      <c r="AY37" s="18"/>
      <c r="AZ37" s="18"/>
      <c r="BA37" s="18"/>
      <c r="BB37" s="18"/>
      <c r="BC37" s="18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</row>
    <row r="38" spans="1:256" s="21" customFormat="1" ht="13.5" thickBot="1" x14ac:dyDescent="0.25">
      <c r="A38" s="18"/>
      <c r="B38" s="79"/>
      <c r="C38" s="445" t="s">
        <v>67</v>
      </c>
      <c r="D38" s="446"/>
      <c r="E38" s="82"/>
      <c r="F38" s="32" t="s">
        <v>64</v>
      </c>
      <c r="G38" s="32" t="s">
        <v>66</v>
      </c>
      <c r="H38" s="386"/>
      <c r="I38" s="382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9"/>
      <c r="AU38" s="19"/>
      <c r="AV38" s="18"/>
      <c r="AW38" s="18"/>
      <c r="AX38" s="18"/>
      <c r="AY38" s="18"/>
      <c r="AZ38" s="18"/>
      <c r="BA38" s="18"/>
      <c r="BB38" s="18"/>
      <c r="BC38" s="18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</row>
    <row r="39" spans="1:256" s="21" customFormat="1" ht="13.5" thickBot="1" x14ac:dyDescent="0.25">
      <c r="A39" s="18"/>
      <c r="B39" s="83"/>
      <c r="C39" s="84" t="s">
        <v>119</v>
      </c>
      <c r="D39" s="85"/>
      <c r="E39" s="86"/>
      <c r="F39" s="87">
        <v>10</v>
      </c>
      <c r="G39" s="88">
        <v>0.2</v>
      </c>
      <c r="H39" s="387">
        <f>G39*G242*F39</f>
        <v>8210.4653973725508</v>
      </c>
      <c r="I39" s="382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9"/>
      <c r="AU39" s="19"/>
      <c r="AV39" s="18"/>
      <c r="AW39" s="18"/>
      <c r="AX39" s="18"/>
      <c r="AY39" s="18"/>
      <c r="AZ39" s="18"/>
      <c r="BA39" s="18"/>
      <c r="BB39" s="18"/>
      <c r="BC39" s="18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</row>
    <row r="40" spans="1:256" s="21" customFormat="1" ht="13.5" thickBot="1" x14ac:dyDescent="0.25">
      <c r="A40" s="18"/>
      <c r="B40" s="83" t="s">
        <v>188</v>
      </c>
      <c r="C40" s="84" t="s">
        <v>68</v>
      </c>
      <c r="D40" s="85"/>
      <c r="E40" s="86"/>
      <c r="F40" s="87">
        <v>15</v>
      </c>
      <c r="G40" s="88">
        <v>0.3</v>
      </c>
      <c r="H40" s="387">
        <f>G40*G242*F40</f>
        <v>18473.547144088232</v>
      </c>
      <c r="I40" s="382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9"/>
      <c r="AU40" s="19"/>
      <c r="AV40" s="18"/>
      <c r="AW40" s="18"/>
      <c r="AX40" s="18"/>
      <c r="AY40" s="18"/>
      <c r="AZ40" s="18"/>
      <c r="BA40" s="18"/>
      <c r="BB40" s="18"/>
      <c r="BC40" s="18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</row>
    <row r="41" spans="1:256" s="21" customFormat="1" ht="13.5" thickBot="1" x14ac:dyDescent="0.25">
      <c r="A41" s="18"/>
      <c r="B41" s="83" t="s">
        <v>189</v>
      </c>
      <c r="C41" s="84" t="s">
        <v>69</v>
      </c>
      <c r="D41" s="85"/>
      <c r="E41" s="86"/>
      <c r="F41" s="87">
        <v>17</v>
      </c>
      <c r="G41" s="88">
        <v>0.35</v>
      </c>
      <c r="H41" s="387">
        <f>G41*G242*F41</f>
        <v>24426.13455718333</v>
      </c>
      <c r="I41" s="382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9"/>
      <c r="AU41" s="19"/>
      <c r="AV41" s="18"/>
      <c r="AW41" s="18"/>
      <c r="AX41" s="18"/>
      <c r="AY41" s="18"/>
      <c r="AZ41" s="18"/>
      <c r="BA41" s="18"/>
      <c r="BB41" s="18"/>
      <c r="BC41" s="18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</row>
    <row r="42" spans="1:256" s="21" customFormat="1" ht="13.5" thickBot="1" x14ac:dyDescent="0.25">
      <c r="A42" s="82"/>
      <c r="B42" s="83" t="s">
        <v>190</v>
      </c>
      <c r="C42" s="89" t="s">
        <v>260</v>
      </c>
      <c r="D42" s="90"/>
      <c r="E42" s="91"/>
      <c r="F42" s="92">
        <v>22</v>
      </c>
      <c r="G42" s="93">
        <v>0.15</v>
      </c>
      <c r="H42" s="387">
        <f>G42*G242*F42</f>
        <v>13547.267905664705</v>
      </c>
      <c r="I42" s="382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9"/>
      <c r="AU42" s="19"/>
      <c r="AV42" s="18"/>
      <c r="AW42" s="18"/>
      <c r="AX42" s="18"/>
      <c r="AY42" s="18"/>
      <c r="AZ42" s="18"/>
      <c r="BA42" s="18"/>
      <c r="BB42" s="18"/>
      <c r="BC42" s="18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</row>
    <row r="43" spans="1:256" s="21" customFormat="1" ht="13.5" thickBot="1" x14ac:dyDescent="0.25">
      <c r="A43" s="379"/>
      <c r="B43" s="380"/>
      <c r="C43" s="89" t="s">
        <v>313</v>
      </c>
      <c r="D43" s="90"/>
      <c r="E43" s="91"/>
      <c r="F43" s="92">
        <v>0</v>
      </c>
      <c r="G43" s="93"/>
      <c r="H43" s="387">
        <f>G43*G242*F43</f>
        <v>0</v>
      </c>
      <c r="I43" s="382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9"/>
      <c r="AU43" s="19"/>
      <c r="AV43" s="18"/>
      <c r="AW43" s="18"/>
      <c r="AX43" s="18"/>
      <c r="AY43" s="18"/>
      <c r="AZ43" s="18"/>
      <c r="BA43" s="18"/>
      <c r="BB43" s="18"/>
      <c r="BC43" s="18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</row>
    <row r="44" spans="1:256" s="56" customFormat="1" ht="13.5" thickBot="1" x14ac:dyDescent="0.25">
      <c r="A44" s="18"/>
      <c r="B44" s="94"/>
      <c r="C44" s="95" t="s">
        <v>287</v>
      </c>
      <c r="D44" s="96"/>
      <c r="E44" s="97"/>
      <c r="F44" s="367">
        <v>15</v>
      </c>
      <c r="G44" s="368">
        <v>0.2</v>
      </c>
      <c r="H44" s="387">
        <f>H39+H40+H41+H42+H43</f>
        <v>64657.415004308816</v>
      </c>
      <c r="I44" s="38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54"/>
      <c r="AU44" s="54"/>
      <c r="AV44" s="38"/>
      <c r="AW44" s="38"/>
      <c r="AX44" s="38"/>
      <c r="AY44" s="38"/>
      <c r="AZ44" s="38"/>
      <c r="BA44" s="38"/>
      <c r="BB44" s="38"/>
      <c r="BC44" s="38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  <c r="DV44" s="55"/>
      <c r="DW44" s="55"/>
      <c r="DX44" s="55"/>
      <c r="DY44" s="55"/>
      <c r="DZ44" s="55"/>
      <c r="EA44" s="55"/>
      <c r="EB44" s="55"/>
      <c r="EC44" s="55"/>
      <c r="ED44" s="55"/>
      <c r="EE44" s="55"/>
      <c r="EF44" s="55"/>
      <c r="EG44" s="55"/>
      <c r="EH44" s="55"/>
      <c r="EI44" s="55"/>
      <c r="EJ44" s="55"/>
      <c r="EK44" s="55"/>
      <c r="EL44" s="55"/>
      <c r="EM44" s="55"/>
      <c r="EN44" s="55"/>
      <c r="EO44" s="55"/>
      <c r="EP44" s="55"/>
      <c r="EQ44" s="55"/>
      <c r="ER44" s="55"/>
      <c r="ES44" s="55"/>
      <c r="ET44" s="55"/>
      <c r="EU44" s="55"/>
      <c r="EV44" s="55"/>
      <c r="EW44" s="55"/>
      <c r="EX44" s="55"/>
      <c r="EY44" s="55"/>
      <c r="EZ44" s="55"/>
      <c r="FA44" s="55"/>
      <c r="FB44" s="55"/>
      <c r="FC44" s="55"/>
      <c r="FD44" s="55"/>
      <c r="FE44" s="55"/>
      <c r="FF44" s="55"/>
      <c r="FG44" s="55"/>
      <c r="FH44" s="55"/>
      <c r="FI44" s="55"/>
      <c r="FJ44" s="55"/>
      <c r="FK44" s="55"/>
      <c r="FL44" s="55"/>
      <c r="FM44" s="55"/>
      <c r="FN44" s="55"/>
      <c r="FO44" s="55"/>
      <c r="FP44" s="55"/>
      <c r="FQ44" s="55"/>
      <c r="FR44" s="55"/>
      <c r="FS44" s="55"/>
      <c r="FT44" s="55"/>
      <c r="FU44" s="55"/>
      <c r="FV44" s="55"/>
      <c r="FW44" s="55"/>
      <c r="FX44" s="55"/>
      <c r="FY44" s="55"/>
      <c r="FZ44" s="55"/>
      <c r="GA44" s="55"/>
      <c r="GB44" s="55"/>
      <c r="GC44" s="55"/>
      <c r="GD44" s="55"/>
      <c r="GE44" s="55"/>
      <c r="GF44" s="55"/>
      <c r="GG44" s="55"/>
      <c r="GH44" s="55"/>
      <c r="GI44" s="55"/>
      <c r="GJ44" s="55"/>
      <c r="GK44" s="55"/>
      <c r="GL44" s="55"/>
      <c r="GM44" s="55"/>
      <c r="GN44" s="55"/>
      <c r="GO44" s="55"/>
      <c r="GP44" s="55"/>
      <c r="GQ44" s="55"/>
      <c r="GR44" s="55"/>
      <c r="GS44" s="55"/>
      <c r="GT44" s="55"/>
      <c r="GU44" s="55"/>
      <c r="GV44" s="55"/>
      <c r="GW44" s="55"/>
      <c r="GX44" s="55"/>
      <c r="GY44" s="55"/>
      <c r="GZ44" s="55"/>
      <c r="HA44" s="55"/>
      <c r="HB44" s="55"/>
      <c r="HC44" s="55"/>
      <c r="HD44" s="55"/>
      <c r="HE44" s="55"/>
      <c r="HF44" s="55"/>
      <c r="HG44" s="55"/>
      <c r="HH44" s="55"/>
      <c r="HI44" s="55"/>
      <c r="HJ44" s="55"/>
      <c r="HK44" s="55"/>
      <c r="HL44" s="55"/>
      <c r="HM44" s="55"/>
      <c r="HN44" s="55"/>
      <c r="HO44" s="55"/>
      <c r="HP44" s="55"/>
      <c r="HQ44" s="55"/>
      <c r="HR44" s="55"/>
      <c r="HS44" s="55"/>
      <c r="HT44" s="55"/>
      <c r="HU44" s="55"/>
      <c r="HV44" s="55"/>
      <c r="HW44" s="55"/>
      <c r="HX44" s="55"/>
      <c r="HY44" s="55"/>
      <c r="HZ44" s="55"/>
      <c r="IA44" s="55"/>
      <c r="IB44" s="55"/>
      <c r="IC44" s="55"/>
      <c r="ID44" s="55"/>
      <c r="IE44" s="55"/>
      <c r="IF44" s="55"/>
      <c r="IG44" s="55"/>
      <c r="IH44" s="55"/>
      <c r="II44" s="55"/>
      <c r="IJ44" s="55"/>
      <c r="IK44" s="55"/>
      <c r="IL44" s="55"/>
      <c r="IM44" s="55"/>
      <c r="IN44" s="55"/>
      <c r="IO44" s="55"/>
      <c r="IP44" s="55"/>
      <c r="IQ44" s="55"/>
      <c r="IR44" s="55"/>
      <c r="IS44" s="55"/>
      <c r="IT44" s="55"/>
      <c r="IU44" s="55"/>
      <c r="IV44" s="55"/>
    </row>
    <row r="45" spans="1:256" s="21" customFormat="1" ht="13.5" thickBot="1" x14ac:dyDescent="0.25">
      <c r="A45" s="38"/>
      <c r="B45" s="98"/>
      <c r="C45" s="99" t="s">
        <v>288</v>
      </c>
      <c r="D45" s="100"/>
      <c r="E45" s="101"/>
      <c r="F45" s="369">
        <v>49</v>
      </c>
      <c r="G45" s="368">
        <v>0.05</v>
      </c>
      <c r="H45" s="382"/>
      <c r="I45" s="382"/>
      <c r="J45" s="38"/>
      <c r="K45" s="5"/>
      <c r="L45" s="5"/>
      <c r="M45" s="5"/>
      <c r="N45" s="5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9"/>
      <c r="AU45" s="19"/>
      <c r="AV45" s="18"/>
      <c r="AW45" s="18"/>
      <c r="AX45" s="18"/>
      <c r="AY45" s="18"/>
      <c r="AZ45" s="18"/>
      <c r="BA45" s="18"/>
      <c r="BB45" s="18"/>
      <c r="BC45" s="18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</row>
    <row r="46" spans="1:256" s="21" customFormat="1" x14ac:dyDescent="0.2">
      <c r="A46" s="18"/>
      <c r="B46" s="102" t="s">
        <v>303</v>
      </c>
      <c r="C46" s="103"/>
      <c r="D46" s="103"/>
      <c r="E46" s="103"/>
      <c r="F46" s="104"/>
      <c r="G46" s="105"/>
      <c r="H46" s="382"/>
      <c r="I46" s="382"/>
      <c r="J46" s="38"/>
      <c r="K46" s="5"/>
      <c r="L46" s="5"/>
      <c r="M46" s="106"/>
      <c r="N46" s="107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9"/>
      <c r="AU46" s="19"/>
      <c r="AV46" s="18"/>
      <c r="AW46" s="18"/>
      <c r="AX46" s="18"/>
      <c r="AY46" s="18"/>
      <c r="AZ46" s="18"/>
      <c r="BA46" s="18"/>
      <c r="BB46" s="18"/>
      <c r="BC46" s="18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</row>
    <row r="47" spans="1:256" s="21" customFormat="1" x14ac:dyDescent="0.2">
      <c r="A47" s="18"/>
      <c r="B47" s="102" t="s">
        <v>304</v>
      </c>
      <c r="C47" s="354"/>
      <c r="D47" s="354"/>
      <c r="E47" s="354"/>
      <c r="F47" s="355"/>
      <c r="G47" s="356"/>
      <c r="H47" s="38"/>
      <c r="I47" s="38"/>
      <c r="J47" s="38"/>
      <c r="K47" s="5"/>
      <c r="L47" s="5"/>
      <c r="M47" s="106"/>
      <c r="N47" s="107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9"/>
      <c r="AU47" s="19"/>
      <c r="AV47" s="18"/>
      <c r="AW47" s="18"/>
      <c r="AX47" s="18"/>
      <c r="AY47" s="18"/>
      <c r="AZ47" s="18"/>
      <c r="BA47" s="18"/>
      <c r="BB47" s="18"/>
      <c r="BC47" s="18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</row>
    <row r="48" spans="1:256" s="21" customFormat="1" x14ac:dyDescent="0.2">
      <c r="A48" s="18"/>
      <c r="B48" s="102" t="s">
        <v>307</v>
      </c>
      <c r="C48" s="354"/>
      <c r="D48" s="354"/>
      <c r="E48" s="354"/>
      <c r="F48" s="355"/>
      <c r="G48" s="356"/>
      <c r="H48" s="38"/>
      <c r="I48" s="38"/>
      <c r="J48" s="38"/>
      <c r="K48" s="5"/>
      <c r="L48" s="5"/>
      <c r="M48" s="106"/>
      <c r="N48" s="107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9"/>
      <c r="AU48" s="19"/>
      <c r="AV48" s="18"/>
      <c r="AW48" s="18"/>
      <c r="AX48" s="18"/>
      <c r="AY48" s="18"/>
      <c r="AZ48" s="18"/>
      <c r="BA48" s="18"/>
      <c r="BB48" s="18"/>
      <c r="BC48" s="18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</row>
    <row r="49" spans="1:256" s="21" customFormat="1" ht="13.5" thickBot="1" x14ac:dyDescent="0.25">
      <c r="A49" s="18"/>
      <c r="B49" s="435" t="s">
        <v>305</v>
      </c>
      <c r="C49" s="436"/>
      <c r="D49" s="436"/>
      <c r="E49" s="436"/>
      <c r="F49" s="436"/>
      <c r="G49" s="437"/>
      <c r="H49" s="38"/>
      <c r="I49" s="38"/>
      <c r="J49" s="38"/>
      <c r="K49" s="6"/>
      <c r="L49" s="5"/>
      <c r="M49" s="5"/>
      <c r="N49" s="5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9"/>
      <c r="AU49" s="19"/>
      <c r="AV49" s="18"/>
      <c r="AW49" s="18"/>
      <c r="AX49" s="18"/>
      <c r="AY49" s="18"/>
      <c r="AZ49" s="18"/>
      <c r="BA49" s="18"/>
      <c r="BB49" s="18"/>
      <c r="BC49" s="18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</row>
    <row r="50" spans="1:256" s="21" customFormat="1" ht="13.5" thickBot="1" x14ac:dyDescent="0.25">
      <c r="A50" s="18"/>
      <c r="B50" s="83" t="s">
        <v>63</v>
      </c>
      <c r="C50" s="73"/>
      <c r="D50" s="108" t="s">
        <v>152</v>
      </c>
      <c r="E50" s="108" t="s">
        <v>152</v>
      </c>
      <c r="F50" s="108" t="s">
        <v>152</v>
      </c>
      <c r="G50" s="108" t="s">
        <v>152</v>
      </c>
      <c r="H50" s="73"/>
      <c r="I50" s="73"/>
      <c r="J50" s="109" t="s">
        <v>280</v>
      </c>
      <c r="K50" s="7"/>
      <c r="L50" s="404" t="s">
        <v>160</v>
      </c>
      <c r="M50" s="405"/>
      <c r="N50" s="404" t="s">
        <v>252</v>
      </c>
      <c r="O50" s="405"/>
      <c r="P50" s="404" t="s">
        <v>255</v>
      </c>
      <c r="Q50" s="405"/>
      <c r="R50" s="404" t="s">
        <v>256</v>
      </c>
      <c r="S50" s="405"/>
      <c r="T50" s="404" t="s">
        <v>257</v>
      </c>
      <c r="U50" s="405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9"/>
      <c r="AU50" s="19"/>
      <c r="AV50" s="18"/>
      <c r="AW50" s="18"/>
      <c r="AX50" s="18"/>
      <c r="AY50" s="18"/>
      <c r="AZ50" s="18"/>
      <c r="BA50" s="18"/>
      <c r="BB50" s="18"/>
      <c r="BC50" s="18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</row>
    <row r="51" spans="1:256" s="11" customFormat="1" ht="13.5" thickBot="1" x14ac:dyDescent="0.25">
      <c r="A51" s="18"/>
      <c r="B51" s="83" t="s">
        <v>161</v>
      </c>
      <c r="C51" s="73"/>
      <c r="D51" s="110" t="s">
        <v>153</v>
      </c>
      <c r="E51" s="110" t="s">
        <v>154</v>
      </c>
      <c r="F51" s="110" t="s">
        <v>155</v>
      </c>
      <c r="G51" s="110" t="s">
        <v>156</v>
      </c>
      <c r="H51" s="73"/>
      <c r="J51" s="111" t="s">
        <v>277</v>
      </c>
      <c r="K51" s="112" t="s">
        <v>251</v>
      </c>
      <c r="L51" s="113" t="s">
        <v>253</v>
      </c>
      <c r="M51" s="114" t="s">
        <v>254</v>
      </c>
      <c r="N51" s="113" t="s">
        <v>253</v>
      </c>
      <c r="O51" s="114" t="s">
        <v>254</v>
      </c>
      <c r="P51" s="113" t="s">
        <v>253</v>
      </c>
      <c r="Q51" s="114" t="s">
        <v>254</v>
      </c>
      <c r="R51" s="113" t="s">
        <v>253</v>
      </c>
      <c r="S51" s="114" t="s">
        <v>254</v>
      </c>
      <c r="T51" s="113" t="s">
        <v>253</v>
      </c>
      <c r="U51" s="114" t="s">
        <v>254</v>
      </c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115"/>
      <c r="AU51" s="115"/>
      <c r="AV51" s="9"/>
      <c r="AW51" s="9"/>
      <c r="AX51" s="9"/>
      <c r="AY51" s="9"/>
      <c r="AZ51" s="9"/>
      <c r="BA51" s="9"/>
      <c r="BB51" s="9"/>
      <c r="BC51" s="9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  <c r="HU51" s="10"/>
      <c r="HV51" s="10"/>
      <c r="HW51" s="10"/>
      <c r="HX51" s="10"/>
      <c r="HY51" s="10"/>
      <c r="HZ51" s="10"/>
      <c r="IA51" s="10"/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  <c r="IM51" s="10"/>
      <c r="IN51" s="10"/>
      <c r="IO51" s="10"/>
      <c r="IP51" s="10"/>
      <c r="IQ51" s="10"/>
      <c r="IR51" s="10"/>
      <c r="IS51" s="10"/>
      <c r="IT51" s="10"/>
      <c r="IU51" s="10"/>
      <c r="IV51" s="10"/>
    </row>
    <row r="52" spans="1:256" s="11" customFormat="1" ht="13.5" thickBot="1" x14ac:dyDescent="0.25">
      <c r="A52" s="9"/>
      <c r="B52" s="83" t="s">
        <v>196</v>
      </c>
      <c r="C52" s="116" t="s">
        <v>160</v>
      </c>
      <c r="D52" s="87">
        <v>10</v>
      </c>
      <c r="E52" s="87">
        <v>10</v>
      </c>
      <c r="F52" s="87">
        <v>10</v>
      </c>
      <c r="G52" s="87">
        <v>10</v>
      </c>
      <c r="H52" s="18"/>
      <c r="I52" s="18"/>
      <c r="J52" s="117">
        <v>0.03</v>
      </c>
      <c r="K52" s="375" t="s">
        <v>237</v>
      </c>
      <c r="L52" s="118">
        <v>1</v>
      </c>
      <c r="M52" s="119">
        <f t="shared" ref="M52:M62" si="1">J52*L52</f>
        <v>0.03</v>
      </c>
      <c r="N52" s="118">
        <v>1</v>
      </c>
      <c r="O52" s="119">
        <f t="shared" ref="O52:O63" si="2">N52*$J52</f>
        <v>0.03</v>
      </c>
      <c r="P52" s="118">
        <v>1</v>
      </c>
      <c r="Q52" s="119">
        <f t="shared" ref="Q52:Q68" si="3">J52*P52</f>
        <v>0.03</v>
      </c>
      <c r="R52" s="118">
        <v>1</v>
      </c>
      <c r="S52" s="119">
        <f t="shared" ref="S52:S68" si="4">J52*R52</f>
        <v>0.03</v>
      </c>
      <c r="T52" s="118">
        <v>1</v>
      </c>
      <c r="U52" s="119">
        <f>J52*T52</f>
        <v>0.03</v>
      </c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115"/>
      <c r="AU52" s="115"/>
      <c r="AV52" s="9"/>
      <c r="AW52" s="9"/>
      <c r="AX52" s="9"/>
      <c r="AY52" s="9"/>
      <c r="AZ52" s="9"/>
      <c r="BA52" s="9"/>
      <c r="BB52" s="9"/>
      <c r="BC52" s="9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  <c r="HE52" s="10"/>
      <c r="HF52" s="10"/>
      <c r="HG52" s="10"/>
      <c r="HH52" s="10"/>
      <c r="HI52" s="10"/>
      <c r="HJ52" s="10"/>
      <c r="HK52" s="10"/>
      <c r="HL52" s="10"/>
      <c r="HM52" s="10"/>
      <c r="HN52" s="10"/>
      <c r="HO52" s="10"/>
      <c r="HP52" s="10"/>
      <c r="HQ52" s="10"/>
      <c r="HR52" s="10"/>
      <c r="HS52" s="10"/>
      <c r="HT52" s="10"/>
      <c r="HU52" s="10"/>
      <c r="HV52" s="10"/>
      <c r="HW52" s="10"/>
      <c r="HX52" s="10"/>
      <c r="HY52" s="10"/>
      <c r="HZ52" s="10"/>
      <c r="IA52" s="10"/>
      <c r="IB52" s="10"/>
      <c r="IC52" s="10"/>
      <c r="ID52" s="10"/>
      <c r="IE52" s="10"/>
      <c r="IF52" s="10"/>
      <c r="IG52" s="10"/>
      <c r="IH52" s="10"/>
      <c r="II52" s="10"/>
      <c r="IJ52" s="10"/>
      <c r="IK52" s="10"/>
      <c r="IL52" s="10"/>
      <c r="IM52" s="10"/>
      <c r="IN52" s="10"/>
      <c r="IO52" s="10"/>
      <c r="IP52" s="10"/>
      <c r="IQ52" s="10"/>
      <c r="IR52" s="10"/>
      <c r="IS52" s="10"/>
      <c r="IT52" s="10"/>
      <c r="IU52" s="10"/>
      <c r="IV52" s="10"/>
    </row>
    <row r="53" spans="1:256" s="11" customFormat="1" ht="13.5" thickBot="1" x14ac:dyDescent="0.25">
      <c r="A53" s="9"/>
      <c r="B53" s="83" t="s">
        <v>162</v>
      </c>
      <c r="C53" s="116" t="s">
        <v>157</v>
      </c>
      <c r="D53" s="87">
        <v>15</v>
      </c>
      <c r="E53" s="87">
        <v>15</v>
      </c>
      <c r="F53" s="87">
        <v>15</v>
      </c>
      <c r="G53" s="87">
        <v>15</v>
      </c>
      <c r="H53" s="18"/>
      <c r="I53" s="18"/>
      <c r="J53" s="117">
        <v>0.03</v>
      </c>
      <c r="K53" s="376" t="s">
        <v>238</v>
      </c>
      <c r="L53" s="118">
        <v>1</v>
      </c>
      <c r="M53" s="119">
        <f t="shared" si="1"/>
        <v>0.03</v>
      </c>
      <c r="N53" s="118">
        <v>1</v>
      </c>
      <c r="O53" s="119">
        <f t="shared" si="2"/>
        <v>0.03</v>
      </c>
      <c r="P53" s="118">
        <v>1</v>
      </c>
      <c r="Q53" s="119">
        <f t="shared" si="3"/>
        <v>0.03</v>
      </c>
      <c r="R53" s="118">
        <v>1</v>
      </c>
      <c r="S53" s="119">
        <f t="shared" si="4"/>
        <v>0.03</v>
      </c>
      <c r="T53" s="118">
        <v>1</v>
      </c>
      <c r="U53" s="119">
        <f>J53*T53</f>
        <v>0.03</v>
      </c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115"/>
      <c r="AU53" s="115"/>
      <c r="AV53" s="9"/>
      <c r="AW53" s="9"/>
      <c r="AX53" s="9"/>
      <c r="AY53" s="9"/>
      <c r="AZ53" s="9"/>
      <c r="BA53" s="9"/>
      <c r="BB53" s="9"/>
      <c r="BC53" s="9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  <c r="HE53" s="10"/>
      <c r="HF53" s="10"/>
      <c r="HG53" s="10"/>
      <c r="HH53" s="10"/>
      <c r="HI53" s="10"/>
      <c r="HJ53" s="10"/>
      <c r="HK53" s="10"/>
      <c r="HL53" s="10"/>
      <c r="HM53" s="10"/>
      <c r="HN53" s="10"/>
      <c r="HO53" s="10"/>
      <c r="HP53" s="10"/>
      <c r="HQ53" s="10"/>
      <c r="HR53" s="10"/>
      <c r="HS53" s="10"/>
      <c r="HT53" s="10"/>
      <c r="HU53" s="10"/>
      <c r="HV53" s="10"/>
      <c r="HW53" s="10"/>
      <c r="HX53" s="10"/>
      <c r="HY53" s="10"/>
      <c r="HZ53" s="10"/>
      <c r="IA53" s="10"/>
      <c r="IB53" s="10"/>
      <c r="IC53" s="10"/>
      <c r="ID53" s="10"/>
      <c r="IE53" s="10"/>
      <c r="IF53" s="10"/>
      <c r="IG53" s="10"/>
      <c r="IH53" s="10"/>
      <c r="II53" s="10"/>
      <c r="IJ53" s="10"/>
      <c r="IK53" s="10"/>
      <c r="IL53" s="10"/>
      <c r="IM53" s="10"/>
      <c r="IN53" s="10"/>
      <c r="IO53" s="10"/>
      <c r="IP53" s="10"/>
      <c r="IQ53" s="10"/>
      <c r="IR53" s="10"/>
      <c r="IS53" s="10"/>
      <c r="IT53" s="10"/>
      <c r="IU53" s="10"/>
      <c r="IV53" s="10"/>
    </row>
    <row r="54" spans="1:256" s="11" customFormat="1" ht="13.5" thickBot="1" x14ac:dyDescent="0.25">
      <c r="A54" s="9"/>
      <c r="B54" s="83" t="s">
        <v>163</v>
      </c>
      <c r="C54" s="116" t="s">
        <v>158</v>
      </c>
      <c r="D54" s="87">
        <v>17</v>
      </c>
      <c r="E54" s="87">
        <v>17</v>
      </c>
      <c r="F54" s="87">
        <v>17</v>
      </c>
      <c r="G54" s="87">
        <v>17</v>
      </c>
      <c r="H54" s="18"/>
      <c r="I54" s="18"/>
      <c r="J54" s="117">
        <v>0.03</v>
      </c>
      <c r="K54" s="376" t="s">
        <v>239</v>
      </c>
      <c r="L54" s="118">
        <v>1</v>
      </c>
      <c r="M54" s="119">
        <f t="shared" si="1"/>
        <v>0.03</v>
      </c>
      <c r="N54" s="118">
        <v>1</v>
      </c>
      <c r="O54" s="119">
        <f t="shared" si="2"/>
        <v>0.03</v>
      </c>
      <c r="P54" s="118">
        <v>1</v>
      </c>
      <c r="Q54" s="119">
        <f t="shared" si="3"/>
        <v>0.03</v>
      </c>
      <c r="R54" s="118">
        <v>1</v>
      </c>
      <c r="S54" s="119">
        <f t="shared" si="4"/>
        <v>0.03</v>
      </c>
      <c r="T54" s="118">
        <v>1</v>
      </c>
      <c r="U54" s="119">
        <f>J54*T54</f>
        <v>0.03</v>
      </c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115"/>
      <c r="AU54" s="115"/>
      <c r="AV54" s="9"/>
      <c r="AW54" s="9"/>
      <c r="AX54" s="9"/>
      <c r="AY54" s="9"/>
      <c r="AZ54" s="9"/>
      <c r="BA54" s="9"/>
      <c r="BB54" s="9"/>
      <c r="BC54" s="9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  <c r="HE54" s="10"/>
      <c r="HF54" s="10"/>
      <c r="HG54" s="10"/>
      <c r="HH54" s="10"/>
      <c r="HI54" s="10"/>
      <c r="HJ54" s="10"/>
      <c r="HK54" s="10"/>
      <c r="HL54" s="10"/>
      <c r="HM54" s="10"/>
      <c r="HN54" s="10"/>
      <c r="HO54" s="10"/>
      <c r="HP54" s="10"/>
      <c r="HQ54" s="10"/>
      <c r="HR54" s="10"/>
      <c r="HS54" s="10"/>
      <c r="HT54" s="10"/>
      <c r="HU54" s="10"/>
      <c r="HV54" s="10"/>
      <c r="HW54" s="10"/>
      <c r="HX54" s="10"/>
      <c r="HY54" s="10"/>
      <c r="HZ54" s="10"/>
      <c r="IA54" s="10"/>
      <c r="IB54" s="10"/>
      <c r="IC54" s="10"/>
      <c r="ID54" s="10"/>
      <c r="IE54" s="10"/>
      <c r="IF54" s="10"/>
      <c r="IG54" s="10"/>
      <c r="IH54" s="10"/>
      <c r="II54" s="10"/>
      <c r="IJ54" s="10"/>
      <c r="IK54" s="10"/>
      <c r="IL54" s="10"/>
      <c r="IM54" s="10"/>
      <c r="IN54" s="10"/>
      <c r="IO54" s="10"/>
      <c r="IP54" s="10"/>
      <c r="IQ54" s="10"/>
      <c r="IR54" s="10"/>
      <c r="IS54" s="10"/>
      <c r="IT54" s="10"/>
      <c r="IU54" s="10"/>
      <c r="IV54" s="10"/>
    </row>
    <row r="55" spans="1:256" s="11" customFormat="1" ht="13.5" thickBot="1" x14ac:dyDescent="0.25">
      <c r="A55" s="9"/>
      <c r="B55" s="83"/>
      <c r="C55" s="121" t="s">
        <v>159</v>
      </c>
      <c r="D55" s="87">
        <v>22</v>
      </c>
      <c r="E55" s="87">
        <v>22</v>
      </c>
      <c r="F55" s="87">
        <v>22</v>
      </c>
      <c r="G55" s="87">
        <v>22</v>
      </c>
      <c r="H55" s="18"/>
      <c r="I55" s="18"/>
      <c r="J55" s="117"/>
      <c r="K55" s="376"/>
      <c r="L55" s="118"/>
      <c r="M55" s="119"/>
      <c r="N55" s="118"/>
      <c r="O55" s="119"/>
      <c r="P55" s="118"/>
      <c r="Q55" s="119"/>
      <c r="R55" s="118"/>
      <c r="S55" s="119"/>
      <c r="T55" s="118"/>
      <c r="U55" s="11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115"/>
      <c r="AU55" s="115"/>
      <c r="AV55" s="9"/>
      <c r="AW55" s="9"/>
      <c r="AX55" s="9"/>
      <c r="AY55" s="9"/>
      <c r="AZ55" s="9"/>
      <c r="BA55" s="9"/>
      <c r="BB55" s="9"/>
      <c r="BC55" s="9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  <c r="HE55" s="10"/>
      <c r="HF55" s="10"/>
      <c r="HG55" s="10"/>
      <c r="HH55" s="10"/>
      <c r="HI55" s="10"/>
      <c r="HJ55" s="10"/>
      <c r="HK55" s="10"/>
      <c r="HL55" s="10"/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"/>
      <c r="HX55" s="10"/>
      <c r="HY55" s="10"/>
      <c r="HZ55" s="10"/>
      <c r="IA55" s="10"/>
      <c r="IB55" s="10"/>
      <c r="IC55" s="10"/>
      <c r="ID55" s="10"/>
      <c r="IE55" s="10"/>
      <c r="IF55" s="10"/>
      <c r="IG55" s="10"/>
      <c r="IH55" s="10"/>
      <c r="II55" s="10"/>
      <c r="IJ55" s="10"/>
      <c r="IK55" s="10"/>
      <c r="IL55" s="10"/>
      <c r="IM55" s="10"/>
      <c r="IN55" s="10"/>
      <c r="IO55" s="10"/>
      <c r="IP55" s="10"/>
      <c r="IQ55" s="10"/>
      <c r="IR55" s="10"/>
      <c r="IS55" s="10"/>
      <c r="IT55" s="10"/>
      <c r="IU55" s="10"/>
      <c r="IV55" s="10"/>
    </row>
    <row r="56" spans="1:256" s="11" customFormat="1" ht="13.5" thickBot="1" x14ac:dyDescent="0.25">
      <c r="A56" s="9"/>
      <c r="B56" s="120"/>
      <c r="C56" s="381" t="s">
        <v>314</v>
      </c>
      <c r="D56" s="87">
        <v>0</v>
      </c>
      <c r="E56" s="87">
        <v>0</v>
      </c>
      <c r="F56" s="87">
        <v>0</v>
      </c>
      <c r="G56" s="87">
        <v>0</v>
      </c>
      <c r="H56" s="9"/>
      <c r="I56" s="9"/>
      <c r="J56" s="117">
        <v>0.03</v>
      </c>
      <c r="K56" s="376" t="s">
        <v>240</v>
      </c>
      <c r="L56" s="118">
        <v>1</v>
      </c>
      <c r="M56" s="119">
        <f t="shared" si="1"/>
        <v>0.03</v>
      </c>
      <c r="N56" s="118">
        <v>1</v>
      </c>
      <c r="O56" s="119">
        <f t="shared" si="2"/>
        <v>0.03</v>
      </c>
      <c r="P56" s="118">
        <v>1</v>
      </c>
      <c r="Q56" s="119">
        <f t="shared" si="3"/>
        <v>0.03</v>
      </c>
      <c r="R56" s="118">
        <v>1</v>
      </c>
      <c r="S56" s="119">
        <f t="shared" si="4"/>
        <v>0.03</v>
      </c>
      <c r="T56" s="118">
        <v>1</v>
      </c>
      <c r="U56" s="119">
        <f t="shared" ref="U56:U68" si="5">J56*T56</f>
        <v>0.03</v>
      </c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115"/>
      <c r="AU56" s="115"/>
      <c r="AV56" s="9"/>
      <c r="AW56" s="9"/>
      <c r="AX56" s="9"/>
      <c r="AY56" s="9"/>
      <c r="AZ56" s="9"/>
      <c r="BA56" s="9"/>
      <c r="BB56" s="9"/>
      <c r="BC56" s="9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  <c r="HE56" s="10"/>
      <c r="HF56" s="10"/>
      <c r="HG56" s="10"/>
      <c r="HH56" s="10"/>
      <c r="HI56" s="10"/>
      <c r="HJ56" s="10"/>
      <c r="HK56" s="10"/>
      <c r="HL56" s="10"/>
      <c r="HM56" s="10"/>
      <c r="HN56" s="10"/>
      <c r="HO56" s="10"/>
      <c r="HP56" s="10"/>
      <c r="HQ56" s="10"/>
      <c r="HR56" s="10"/>
      <c r="HS56" s="10"/>
      <c r="HT56" s="10"/>
      <c r="HU56" s="10"/>
      <c r="HV56" s="10"/>
      <c r="HW56" s="10"/>
      <c r="HX56" s="10"/>
      <c r="HY56" s="10"/>
      <c r="HZ56" s="10"/>
      <c r="IA56" s="10"/>
      <c r="IB56" s="10"/>
      <c r="IC56" s="10"/>
      <c r="ID56" s="10"/>
      <c r="IE56" s="10"/>
      <c r="IF56" s="10"/>
      <c r="IG56" s="10"/>
      <c r="IH56" s="10"/>
      <c r="II56" s="10"/>
      <c r="IJ56" s="10"/>
      <c r="IK56" s="10"/>
      <c r="IL56" s="10"/>
      <c r="IM56" s="10"/>
      <c r="IN56" s="10"/>
      <c r="IO56" s="10"/>
      <c r="IP56" s="10"/>
      <c r="IQ56" s="10"/>
      <c r="IR56" s="10"/>
      <c r="IS56" s="10"/>
      <c r="IT56" s="10"/>
      <c r="IU56" s="10"/>
      <c r="IV56" s="10"/>
    </row>
    <row r="57" spans="1:256" s="11" customFormat="1" ht="13.5" thickBot="1" x14ac:dyDescent="0.25">
      <c r="A57" s="9"/>
      <c r="B57" s="429" t="s">
        <v>164</v>
      </c>
      <c r="C57" s="430"/>
      <c r="D57" s="430"/>
      <c r="E57" s="430"/>
      <c r="F57" s="430"/>
      <c r="G57" s="431"/>
      <c r="H57" s="38"/>
      <c r="I57" s="38"/>
      <c r="J57" s="117">
        <v>0.03</v>
      </c>
      <c r="K57" s="376" t="s">
        <v>241</v>
      </c>
      <c r="L57" s="118">
        <v>1</v>
      </c>
      <c r="M57" s="119">
        <f t="shared" si="1"/>
        <v>0.03</v>
      </c>
      <c r="N57" s="118">
        <v>1</v>
      </c>
      <c r="O57" s="119">
        <f t="shared" si="2"/>
        <v>0.03</v>
      </c>
      <c r="P57" s="118">
        <v>1</v>
      </c>
      <c r="Q57" s="119">
        <f t="shared" si="3"/>
        <v>0.03</v>
      </c>
      <c r="R57" s="118">
        <v>1</v>
      </c>
      <c r="S57" s="119">
        <f t="shared" si="4"/>
        <v>0.03</v>
      </c>
      <c r="T57" s="118">
        <v>1</v>
      </c>
      <c r="U57" s="119">
        <f t="shared" si="5"/>
        <v>0.03</v>
      </c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115"/>
      <c r="AU57" s="115"/>
      <c r="AV57" s="9"/>
      <c r="AW57" s="9"/>
      <c r="AX57" s="9"/>
      <c r="AY57" s="9"/>
      <c r="AZ57" s="9"/>
      <c r="BA57" s="9"/>
      <c r="BB57" s="9"/>
      <c r="BC57" s="9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"/>
      <c r="HX57" s="10"/>
      <c r="HY57" s="10"/>
      <c r="HZ57" s="10"/>
      <c r="IA57" s="10"/>
      <c r="IB57" s="10"/>
      <c r="IC57" s="10"/>
      <c r="ID57" s="10"/>
      <c r="IE57" s="10"/>
      <c r="IF57" s="10"/>
      <c r="IG57" s="10"/>
      <c r="IH57" s="10"/>
      <c r="II57" s="10"/>
      <c r="IJ57" s="10"/>
      <c r="IK57" s="10"/>
      <c r="IL57" s="10"/>
      <c r="IM57" s="10"/>
      <c r="IN57" s="10"/>
      <c r="IO57" s="10"/>
      <c r="IP57" s="10"/>
      <c r="IQ57" s="10"/>
      <c r="IR57" s="10"/>
      <c r="IS57" s="10"/>
      <c r="IT57" s="10"/>
      <c r="IU57" s="10"/>
      <c r="IV57" s="10"/>
    </row>
    <row r="58" spans="1:256" s="11" customFormat="1" ht="13.5" thickBot="1" x14ac:dyDescent="0.25">
      <c r="A58" s="9"/>
      <c r="B58" s="432" t="s">
        <v>165</v>
      </c>
      <c r="C58" s="433"/>
      <c r="D58" s="433"/>
      <c r="E58" s="433"/>
      <c r="F58" s="433"/>
      <c r="G58" s="434"/>
      <c r="H58" s="38"/>
      <c r="I58" s="38"/>
      <c r="J58" s="117">
        <v>0.04</v>
      </c>
      <c r="K58" s="376" t="s">
        <v>242</v>
      </c>
      <c r="L58" s="118"/>
      <c r="M58" s="119">
        <f t="shared" si="1"/>
        <v>0</v>
      </c>
      <c r="N58" s="118">
        <v>1</v>
      </c>
      <c r="O58" s="119">
        <f t="shared" si="2"/>
        <v>0.04</v>
      </c>
      <c r="P58" s="118">
        <v>1</v>
      </c>
      <c r="Q58" s="119">
        <f t="shared" si="3"/>
        <v>0.04</v>
      </c>
      <c r="R58" s="118">
        <v>1</v>
      </c>
      <c r="S58" s="119">
        <f t="shared" si="4"/>
        <v>0.04</v>
      </c>
      <c r="T58" s="118">
        <v>1</v>
      </c>
      <c r="U58" s="119">
        <f t="shared" si="5"/>
        <v>0.04</v>
      </c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115"/>
      <c r="AU58" s="115"/>
      <c r="AV58" s="9"/>
      <c r="AW58" s="9"/>
      <c r="AX58" s="9"/>
      <c r="AY58" s="9"/>
      <c r="AZ58" s="9"/>
      <c r="BA58" s="9"/>
      <c r="BB58" s="9"/>
      <c r="BC58" s="9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  <c r="HO58" s="10"/>
      <c r="HP58" s="10"/>
      <c r="HQ58" s="10"/>
      <c r="HR58" s="10"/>
      <c r="HS58" s="10"/>
      <c r="HT58" s="10"/>
      <c r="HU58" s="10"/>
      <c r="HV58" s="10"/>
      <c r="HW58" s="10"/>
      <c r="HX58" s="10"/>
      <c r="HY58" s="10"/>
      <c r="HZ58" s="10"/>
      <c r="IA58" s="10"/>
      <c r="IB58" s="10"/>
      <c r="IC58" s="10"/>
      <c r="ID58" s="10"/>
      <c r="IE58" s="10"/>
      <c r="IF58" s="10"/>
      <c r="IG58" s="10"/>
      <c r="IH58" s="10"/>
      <c r="II58" s="10"/>
      <c r="IJ58" s="10"/>
      <c r="IK58" s="10"/>
      <c r="IL58" s="10"/>
      <c r="IM58" s="10"/>
      <c r="IN58" s="10"/>
      <c r="IO58" s="10"/>
      <c r="IP58" s="10"/>
      <c r="IQ58" s="10"/>
      <c r="IR58" s="10"/>
      <c r="IS58" s="10"/>
      <c r="IT58" s="10"/>
      <c r="IU58" s="10"/>
      <c r="IV58" s="10"/>
    </row>
    <row r="59" spans="1:256" s="11" customFormat="1" ht="13.5" thickBot="1" x14ac:dyDescent="0.25">
      <c r="A59" s="9"/>
      <c r="B59" s="435" t="s">
        <v>166</v>
      </c>
      <c r="C59" s="436"/>
      <c r="D59" s="436"/>
      <c r="E59" s="436"/>
      <c r="F59" s="436"/>
      <c r="G59" s="437"/>
      <c r="H59" s="38"/>
      <c r="I59" s="38"/>
      <c r="J59" s="117">
        <v>0.02</v>
      </c>
      <c r="K59" s="376" t="s">
        <v>243</v>
      </c>
      <c r="L59" s="118"/>
      <c r="M59" s="119">
        <f t="shared" si="1"/>
        <v>0</v>
      </c>
      <c r="N59" s="118"/>
      <c r="O59" s="119">
        <f t="shared" si="2"/>
        <v>0</v>
      </c>
      <c r="P59" s="118">
        <v>1</v>
      </c>
      <c r="Q59" s="119">
        <f t="shared" si="3"/>
        <v>0.02</v>
      </c>
      <c r="R59" s="118">
        <v>1</v>
      </c>
      <c r="S59" s="119">
        <f t="shared" si="4"/>
        <v>0.02</v>
      </c>
      <c r="T59" s="118">
        <v>1</v>
      </c>
      <c r="U59" s="119">
        <f t="shared" si="5"/>
        <v>0.02</v>
      </c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115"/>
      <c r="AU59" s="115"/>
      <c r="AV59" s="9"/>
      <c r="AW59" s="9"/>
      <c r="AX59" s="9"/>
      <c r="AY59" s="9"/>
      <c r="AZ59" s="9"/>
      <c r="BA59" s="9"/>
      <c r="BB59" s="9"/>
      <c r="BC59" s="9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10"/>
      <c r="GX59" s="10"/>
      <c r="GY59" s="10"/>
      <c r="GZ59" s="10"/>
      <c r="HA59" s="10"/>
      <c r="HB59" s="10"/>
      <c r="HC59" s="10"/>
      <c r="HD59" s="10"/>
      <c r="HE59" s="10"/>
      <c r="HF59" s="10"/>
      <c r="HG59" s="10"/>
      <c r="HH59" s="10"/>
      <c r="HI59" s="10"/>
      <c r="HJ59" s="10"/>
      <c r="HK59" s="10"/>
      <c r="HL59" s="10"/>
      <c r="HM59" s="10"/>
      <c r="HN59" s="10"/>
      <c r="HO59" s="10"/>
      <c r="HP59" s="10"/>
      <c r="HQ59" s="10"/>
      <c r="HR59" s="10"/>
      <c r="HS59" s="10"/>
      <c r="HT59" s="10"/>
      <c r="HU59" s="10"/>
      <c r="HV59" s="10"/>
      <c r="HW59" s="10"/>
      <c r="HX59" s="10"/>
      <c r="HY59" s="10"/>
      <c r="HZ59" s="10"/>
      <c r="IA59" s="10"/>
      <c r="IB59" s="10"/>
      <c r="IC59" s="10"/>
      <c r="ID59" s="10"/>
      <c r="IE59" s="10"/>
      <c r="IF59" s="10"/>
      <c r="IG59" s="10"/>
      <c r="IH59" s="10"/>
      <c r="II59" s="10"/>
      <c r="IJ59" s="10"/>
      <c r="IK59" s="10"/>
      <c r="IL59" s="10"/>
      <c r="IM59" s="10"/>
      <c r="IN59" s="10"/>
      <c r="IO59" s="10"/>
      <c r="IP59" s="10"/>
      <c r="IQ59" s="10"/>
      <c r="IR59" s="10"/>
      <c r="IS59" s="10"/>
      <c r="IT59" s="10"/>
      <c r="IU59" s="10"/>
      <c r="IV59" s="10"/>
    </row>
    <row r="60" spans="1:256" s="11" customFormat="1" ht="13.5" thickBot="1" x14ac:dyDescent="0.25">
      <c r="A60" s="9"/>
      <c r="B60" s="122" t="s">
        <v>234</v>
      </c>
      <c r="C60" s="123" t="s">
        <v>152</v>
      </c>
      <c r="D60" s="123" t="s">
        <v>152</v>
      </c>
      <c r="E60" s="123" t="s">
        <v>152</v>
      </c>
      <c r="F60" s="123" t="s">
        <v>152</v>
      </c>
      <c r="G60" s="123" t="s">
        <v>152</v>
      </c>
      <c r="H60" s="9"/>
      <c r="I60" s="9"/>
      <c r="J60" s="117">
        <v>0.05</v>
      </c>
      <c r="K60" s="376" t="s">
        <v>244</v>
      </c>
      <c r="L60" s="118"/>
      <c r="M60" s="119">
        <f t="shared" si="1"/>
        <v>0</v>
      </c>
      <c r="N60" s="118"/>
      <c r="O60" s="119">
        <f t="shared" si="2"/>
        <v>0</v>
      </c>
      <c r="P60" s="118">
        <v>1</v>
      </c>
      <c r="Q60" s="119">
        <f t="shared" si="3"/>
        <v>0.05</v>
      </c>
      <c r="R60" s="118">
        <v>1</v>
      </c>
      <c r="S60" s="119">
        <f t="shared" si="4"/>
        <v>0.05</v>
      </c>
      <c r="T60" s="118">
        <v>1</v>
      </c>
      <c r="U60" s="119">
        <f t="shared" si="5"/>
        <v>0.05</v>
      </c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115"/>
      <c r="AU60" s="115"/>
      <c r="AV60" s="9"/>
      <c r="AW60" s="9"/>
      <c r="AX60" s="9"/>
      <c r="AY60" s="9"/>
      <c r="AZ60" s="9"/>
      <c r="BA60" s="9"/>
      <c r="BB60" s="9"/>
      <c r="BC60" s="9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0"/>
      <c r="GZ60" s="10"/>
      <c r="HA60" s="10"/>
      <c r="HB60" s="10"/>
      <c r="HC60" s="10"/>
      <c r="HD60" s="10"/>
      <c r="HE60" s="10"/>
      <c r="HF60" s="10"/>
      <c r="HG60" s="10"/>
      <c r="HH60" s="10"/>
      <c r="HI60" s="10"/>
      <c r="HJ60" s="10"/>
      <c r="HK60" s="10"/>
      <c r="HL60" s="10"/>
      <c r="HM60" s="10"/>
      <c r="HN60" s="10"/>
      <c r="HO60" s="10"/>
      <c r="HP60" s="10"/>
      <c r="HQ60" s="10"/>
      <c r="HR60" s="10"/>
      <c r="HS60" s="10"/>
      <c r="HT60" s="10"/>
      <c r="HU60" s="10"/>
      <c r="HV60" s="10"/>
      <c r="HW60" s="10"/>
      <c r="HX60" s="10"/>
      <c r="HY60" s="10"/>
      <c r="HZ60" s="10"/>
      <c r="IA60" s="10"/>
      <c r="IB60" s="10"/>
      <c r="IC60" s="10"/>
      <c r="ID60" s="10"/>
      <c r="IE60" s="10"/>
      <c r="IF60" s="10"/>
      <c r="IG60" s="10"/>
      <c r="IH60" s="10"/>
      <c r="II60" s="10"/>
      <c r="IJ60" s="10"/>
      <c r="IK60" s="10"/>
      <c r="IL60" s="10"/>
      <c r="IM60" s="10"/>
      <c r="IN60" s="10"/>
      <c r="IO60" s="10"/>
      <c r="IP60" s="10"/>
      <c r="IQ60" s="10"/>
      <c r="IR60" s="10"/>
      <c r="IS60" s="10"/>
      <c r="IT60" s="10"/>
      <c r="IU60" s="10"/>
      <c r="IV60" s="10"/>
    </row>
    <row r="61" spans="1:256" s="11" customFormat="1" ht="12.75" customHeight="1" thickBot="1" x14ac:dyDescent="0.25">
      <c r="A61" s="9"/>
      <c r="B61" s="124" t="s">
        <v>235</v>
      </c>
      <c r="C61" s="125" t="s">
        <v>236</v>
      </c>
      <c r="D61" s="125" t="s">
        <v>153</v>
      </c>
      <c r="E61" s="125" t="s">
        <v>154</v>
      </c>
      <c r="F61" s="125" t="s">
        <v>155</v>
      </c>
      <c r="G61" s="125" t="s">
        <v>156</v>
      </c>
      <c r="H61" s="9"/>
      <c r="I61" s="9"/>
      <c r="J61" s="117">
        <v>0.11</v>
      </c>
      <c r="K61" s="376" t="s">
        <v>245</v>
      </c>
      <c r="L61" s="118"/>
      <c r="M61" s="119">
        <f t="shared" si="1"/>
        <v>0</v>
      </c>
      <c r="N61" s="118">
        <v>1</v>
      </c>
      <c r="O61" s="119">
        <f t="shared" si="2"/>
        <v>0.11</v>
      </c>
      <c r="P61" s="118">
        <v>1</v>
      </c>
      <c r="Q61" s="119">
        <f t="shared" si="3"/>
        <v>0.11</v>
      </c>
      <c r="R61" s="118">
        <v>1</v>
      </c>
      <c r="S61" s="119">
        <f t="shared" si="4"/>
        <v>0.11</v>
      </c>
      <c r="T61" s="118">
        <v>1</v>
      </c>
      <c r="U61" s="119">
        <f t="shared" si="5"/>
        <v>0.11</v>
      </c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115"/>
      <c r="AU61" s="115"/>
      <c r="AV61" s="9"/>
      <c r="AW61" s="9"/>
      <c r="AX61" s="9"/>
      <c r="AY61" s="9"/>
      <c r="AZ61" s="9"/>
      <c r="BA61" s="9"/>
      <c r="BB61" s="9"/>
      <c r="BC61" s="9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  <c r="GP61" s="10"/>
      <c r="GQ61" s="10"/>
      <c r="GR61" s="10"/>
      <c r="GS61" s="10"/>
      <c r="GT61" s="10"/>
      <c r="GU61" s="10"/>
      <c r="GV61" s="10"/>
      <c r="GW61" s="10"/>
      <c r="GX61" s="10"/>
      <c r="GY61" s="10"/>
      <c r="GZ61" s="10"/>
      <c r="HA61" s="10"/>
      <c r="HB61" s="10"/>
      <c r="HC61" s="10"/>
      <c r="HD61" s="10"/>
      <c r="HE61" s="10"/>
      <c r="HF61" s="10"/>
      <c r="HG61" s="10"/>
      <c r="HH61" s="10"/>
      <c r="HI61" s="10"/>
      <c r="HJ61" s="10"/>
      <c r="HK61" s="10"/>
      <c r="HL61" s="10"/>
      <c r="HM61" s="10"/>
      <c r="HN61" s="10"/>
      <c r="HO61" s="10"/>
      <c r="HP61" s="10"/>
      <c r="HQ61" s="10"/>
      <c r="HR61" s="10"/>
      <c r="HS61" s="10"/>
      <c r="HT61" s="10"/>
      <c r="HU61" s="10"/>
      <c r="HV61" s="10"/>
      <c r="HW61" s="10"/>
      <c r="HX61" s="10"/>
      <c r="HY61" s="10"/>
      <c r="HZ61" s="10"/>
      <c r="IA61" s="10"/>
      <c r="IB61" s="10"/>
      <c r="IC61" s="10"/>
      <c r="ID61" s="10"/>
      <c r="IE61" s="10"/>
      <c r="IF61" s="10"/>
      <c r="IG61" s="10"/>
      <c r="IH61" s="10"/>
      <c r="II61" s="10"/>
      <c r="IJ61" s="10"/>
      <c r="IK61" s="10"/>
      <c r="IL61" s="10"/>
      <c r="IM61" s="10"/>
      <c r="IN61" s="10"/>
      <c r="IO61" s="10"/>
      <c r="IP61" s="10"/>
      <c r="IQ61" s="10"/>
      <c r="IR61" s="10"/>
      <c r="IS61" s="10"/>
      <c r="IT61" s="10"/>
      <c r="IU61" s="10"/>
      <c r="IV61" s="10"/>
    </row>
    <row r="62" spans="1:256" s="11" customFormat="1" ht="13.5" thickBot="1" x14ac:dyDescent="0.25">
      <c r="B62" s="121" t="s">
        <v>160</v>
      </c>
      <c r="C62" s="126">
        <f>M69</f>
        <v>0.30000000000000004</v>
      </c>
      <c r="D62" s="126">
        <f>C62*1.02</f>
        <v>0.30600000000000005</v>
      </c>
      <c r="E62" s="126">
        <f>D62*1.02</f>
        <v>0.31212000000000006</v>
      </c>
      <c r="F62" s="126">
        <f>E62*1.02</f>
        <v>0.31836240000000005</v>
      </c>
      <c r="G62" s="126">
        <f>F62*1.02</f>
        <v>0.32472964800000004</v>
      </c>
      <c r="H62" s="18"/>
      <c r="I62" s="18"/>
      <c r="J62" s="117">
        <v>0.15</v>
      </c>
      <c r="K62" s="376" t="s">
        <v>246</v>
      </c>
      <c r="L62" s="118"/>
      <c r="M62" s="119">
        <f t="shared" si="1"/>
        <v>0</v>
      </c>
      <c r="N62" s="118">
        <v>1</v>
      </c>
      <c r="O62" s="119">
        <f t="shared" si="2"/>
        <v>0.15</v>
      </c>
      <c r="P62" s="118">
        <v>1</v>
      </c>
      <c r="Q62" s="119">
        <f t="shared" si="3"/>
        <v>0.15</v>
      </c>
      <c r="R62" s="118">
        <v>1</v>
      </c>
      <c r="S62" s="119">
        <f t="shared" si="4"/>
        <v>0.15</v>
      </c>
      <c r="T62" s="118">
        <v>1</v>
      </c>
      <c r="U62" s="119">
        <f t="shared" si="5"/>
        <v>0.15</v>
      </c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115"/>
      <c r="AU62" s="115"/>
      <c r="AV62" s="9"/>
      <c r="AW62" s="9"/>
      <c r="AX62" s="9"/>
      <c r="AY62" s="9"/>
      <c r="AZ62" s="9"/>
      <c r="BA62" s="9"/>
      <c r="BB62" s="9"/>
      <c r="BC62" s="9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  <c r="HE62" s="10"/>
      <c r="HF62" s="10"/>
      <c r="HG62" s="10"/>
      <c r="HH62" s="10"/>
      <c r="HI62" s="10"/>
      <c r="HJ62" s="10"/>
      <c r="HK62" s="10"/>
      <c r="HL62" s="10"/>
      <c r="HM62" s="10"/>
      <c r="HN62" s="10"/>
      <c r="HO62" s="10"/>
      <c r="HP62" s="10"/>
      <c r="HQ62" s="10"/>
      <c r="HR62" s="10"/>
      <c r="HS62" s="10"/>
      <c r="HT62" s="10"/>
      <c r="HU62" s="10"/>
      <c r="HV62" s="10"/>
      <c r="HW62" s="10"/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10"/>
      <c r="IK62" s="10"/>
      <c r="IL62" s="10"/>
      <c r="IM62" s="10"/>
      <c r="IN62" s="10"/>
      <c r="IO62" s="10"/>
      <c r="IP62" s="10"/>
      <c r="IQ62" s="10"/>
      <c r="IR62" s="10"/>
      <c r="IS62" s="10"/>
      <c r="IT62" s="10"/>
      <c r="IU62" s="10"/>
      <c r="IV62" s="10"/>
    </row>
    <row r="63" spans="1:256" s="11" customFormat="1" ht="13.5" thickBot="1" x14ac:dyDescent="0.25">
      <c r="A63" s="9"/>
      <c r="B63" s="121" t="s">
        <v>157</v>
      </c>
      <c r="C63" s="126">
        <f>O69</f>
        <v>0.6</v>
      </c>
      <c r="D63" s="126">
        <f>C63*1.02</f>
        <v>0.61199999999999999</v>
      </c>
      <c r="E63" s="126">
        <f t="shared" ref="D63:G66" si="6">D63*1.02</f>
        <v>0.62424000000000002</v>
      </c>
      <c r="F63" s="126">
        <f t="shared" si="6"/>
        <v>0.63672479999999998</v>
      </c>
      <c r="G63" s="126">
        <f t="shared" si="6"/>
        <v>0.64945929599999996</v>
      </c>
      <c r="H63" s="18"/>
      <c r="I63" s="18"/>
      <c r="J63" s="117">
        <v>0.04</v>
      </c>
      <c r="K63" s="376" t="s">
        <v>247</v>
      </c>
      <c r="L63" s="118">
        <v>1</v>
      </c>
      <c r="M63" s="119">
        <f t="shared" ref="M63:M68" si="7">J63*L63</f>
        <v>0.04</v>
      </c>
      <c r="N63" s="118">
        <v>1</v>
      </c>
      <c r="O63" s="119">
        <f t="shared" si="2"/>
        <v>0.04</v>
      </c>
      <c r="P63" s="118">
        <v>1</v>
      </c>
      <c r="Q63" s="119">
        <f t="shared" si="3"/>
        <v>0.04</v>
      </c>
      <c r="R63" s="118">
        <v>1</v>
      </c>
      <c r="S63" s="119">
        <f t="shared" si="4"/>
        <v>0.04</v>
      </c>
      <c r="T63" s="118">
        <v>1</v>
      </c>
      <c r="U63" s="119">
        <f t="shared" si="5"/>
        <v>0.04</v>
      </c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115"/>
      <c r="AU63" s="115"/>
      <c r="AV63" s="9"/>
      <c r="AW63" s="9"/>
      <c r="AX63" s="9"/>
      <c r="AY63" s="9"/>
      <c r="AZ63" s="9"/>
      <c r="BA63" s="9"/>
      <c r="BB63" s="9"/>
      <c r="BC63" s="9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  <c r="GP63" s="10"/>
      <c r="GQ63" s="10"/>
      <c r="GR63" s="10"/>
      <c r="GS63" s="10"/>
      <c r="GT63" s="10"/>
      <c r="GU63" s="10"/>
      <c r="GV63" s="10"/>
      <c r="GW63" s="10"/>
      <c r="GX63" s="10"/>
      <c r="GY63" s="10"/>
      <c r="GZ63" s="10"/>
      <c r="HA63" s="10"/>
      <c r="HB63" s="10"/>
      <c r="HC63" s="10"/>
      <c r="HD63" s="10"/>
      <c r="HE63" s="10"/>
      <c r="HF63" s="10"/>
      <c r="HG63" s="10"/>
      <c r="HH63" s="10"/>
      <c r="HI63" s="10"/>
      <c r="HJ63" s="10"/>
      <c r="HK63" s="10"/>
      <c r="HL63" s="10"/>
      <c r="HM63" s="10"/>
      <c r="HN63" s="10"/>
      <c r="HO63" s="10"/>
      <c r="HP63" s="10"/>
      <c r="HQ63" s="10"/>
      <c r="HR63" s="10"/>
      <c r="HS63" s="10"/>
      <c r="HT63" s="10"/>
      <c r="HU63" s="10"/>
      <c r="HV63" s="10"/>
      <c r="HW63" s="10"/>
      <c r="HX63" s="10"/>
      <c r="HY63" s="10"/>
      <c r="HZ63" s="10"/>
      <c r="IA63" s="10"/>
      <c r="IB63" s="10"/>
      <c r="IC63" s="10"/>
      <c r="ID63" s="10"/>
      <c r="IE63" s="10"/>
      <c r="IF63" s="10"/>
      <c r="IG63" s="10"/>
      <c r="IH63" s="10"/>
      <c r="II63" s="10"/>
      <c r="IJ63" s="10"/>
      <c r="IK63" s="10"/>
      <c r="IL63" s="10"/>
      <c r="IM63" s="10"/>
      <c r="IN63" s="10"/>
      <c r="IO63" s="10"/>
      <c r="IP63" s="10"/>
      <c r="IQ63" s="10"/>
      <c r="IR63" s="10"/>
      <c r="IS63" s="10"/>
      <c r="IT63" s="10"/>
      <c r="IU63" s="10"/>
      <c r="IV63" s="10"/>
    </row>
    <row r="64" spans="1:256" s="11" customFormat="1" ht="13.5" thickBot="1" x14ac:dyDescent="0.25">
      <c r="A64" s="9"/>
      <c r="B64" s="121" t="s">
        <v>158</v>
      </c>
      <c r="C64" s="126">
        <f>Q69</f>
        <v>0.7400000000000001</v>
      </c>
      <c r="D64" s="126">
        <f t="shared" si="6"/>
        <v>0.75480000000000014</v>
      </c>
      <c r="E64" s="126">
        <f t="shared" si="6"/>
        <v>0.76989600000000014</v>
      </c>
      <c r="F64" s="126">
        <f t="shared" si="6"/>
        <v>0.7852939200000002</v>
      </c>
      <c r="G64" s="126">
        <f t="shared" si="6"/>
        <v>0.80099979840000024</v>
      </c>
      <c r="H64" s="18"/>
      <c r="I64" s="18"/>
      <c r="J64" s="117">
        <v>7.0000000000000007E-2</v>
      </c>
      <c r="K64" s="376" t="s">
        <v>261</v>
      </c>
      <c r="L64" s="118"/>
      <c r="M64" s="119">
        <f t="shared" si="7"/>
        <v>0</v>
      </c>
      <c r="N64" s="118"/>
      <c r="O64" s="119">
        <f>N64*J64</f>
        <v>0</v>
      </c>
      <c r="P64" s="118">
        <v>1</v>
      </c>
      <c r="Q64" s="119">
        <f t="shared" si="3"/>
        <v>7.0000000000000007E-2</v>
      </c>
      <c r="R64" s="118">
        <v>1</v>
      </c>
      <c r="S64" s="119">
        <f t="shared" si="4"/>
        <v>7.0000000000000007E-2</v>
      </c>
      <c r="T64" s="118">
        <v>1</v>
      </c>
      <c r="U64" s="119">
        <f t="shared" si="5"/>
        <v>7.0000000000000007E-2</v>
      </c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115"/>
      <c r="AU64" s="115"/>
      <c r="AV64" s="9"/>
      <c r="AW64" s="9"/>
      <c r="AX64" s="9"/>
      <c r="AY64" s="9"/>
      <c r="AZ64" s="9"/>
      <c r="BA64" s="9"/>
      <c r="BB64" s="9"/>
      <c r="BC64" s="9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10"/>
      <c r="GX64" s="10"/>
      <c r="GY64" s="10"/>
      <c r="GZ64" s="10"/>
      <c r="HA64" s="10"/>
      <c r="HB64" s="10"/>
      <c r="HC64" s="10"/>
      <c r="HD64" s="10"/>
      <c r="HE64" s="10"/>
      <c r="HF64" s="10"/>
      <c r="HG64" s="10"/>
      <c r="HH64" s="10"/>
      <c r="HI64" s="10"/>
      <c r="HJ64" s="10"/>
      <c r="HK64" s="10"/>
      <c r="HL64" s="10"/>
      <c r="HM64" s="10"/>
      <c r="HN64" s="10"/>
      <c r="HO64" s="10"/>
      <c r="HP64" s="10"/>
      <c r="HQ64" s="10"/>
      <c r="HR64" s="10"/>
      <c r="HS64" s="10"/>
      <c r="HT64" s="10"/>
      <c r="HU64" s="10"/>
      <c r="HV64" s="10"/>
      <c r="HW64" s="10"/>
      <c r="HX64" s="10"/>
      <c r="HY64" s="10"/>
      <c r="HZ64" s="10"/>
      <c r="IA64" s="10"/>
      <c r="IB64" s="10"/>
      <c r="IC64" s="10"/>
      <c r="ID64" s="10"/>
      <c r="IE64" s="10"/>
      <c r="IF64" s="10"/>
      <c r="IG64" s="10"/>
      <c r="IH64" s="10"/>
      <c r="II64" s="10"/>
      <c r="IJ64" s="10"/>
      <c r="IK64" s="10"/>
      <c r="IL64" s="10"/>
      <c r="IM64" s="10"/>
      <c r="IN64" s="10"/>
      <c r="IO64" s="10"/>
      <c r="IP64" s="10"/>
      <c r="IQ64" s="10"/>
      <c r="IR64" s="10"/>
      <c r="IS64" s="10"/>
      <c r="IT64" s="10"/>
      <c r="IU64" s="10"/>
      <c r="IV64" s="10"/>
    </row>
    <row r="65" spans="1:256" s="11" customFormat="1" ht="13.5" thickBot="1" x14ac:dyDescent="0.25">
      <c r="A65" s="9"/>
      <c r="B65" s="121" t="s">
        <v>159</v>
      </c>
      <c r="C65" s="127">
        <f>S69</f>
        <v>1.35</v>
      </c>
      <c r="D65" s="126">
        <f>C65*1.02</f>
        <v>1.3770000000000002</v>
      </c>
      <c r="E65" s="126">
        <f>D65*1.02</f>
        <v>1.4045400000000003</v>
      </c>
      <c r="F65" s="126">
        <f>E65*1.02</f>
        <v>1.4326308000000003</v>
      </c>
      <c r="G65" s="126">
        <f>F65*1.02</f>
        <v>1.4612834160000003</v>
      </c>
      <c r="H65" s="18"/>
      <c r="I65" s="18"/>
      <c r="J65" s="117">
        <v>0.43</v>
      </c>
      <c r="K65" s="376"/>
      <c r="L65" s="118"/>
      <c r="M65" s="119">
        <f t="shared" si="7"/>
        <v>0</v>
      </c>
      <c r="N65" s="118"/>
      <c r="O65" s="119">
        <f>N65*J65</f>
        <v>0</v>
      </c>
      <c r="P65" s="118"/>
      <c r="Q65" s="119"/>
      <c r="R65" s="118"/>
      <c r="S65" s="119"/>
      <c r="T65" s="118">
        <v>1</v>
      </c>
      <c r="U65" s="119">
        <f t="shared" si="5"/>
        <v>0.43</v>
      </c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115"/>
      <c r="AU65" s="115"/>
      <c r="AV65" s="9"/>
      <c r="AW65" s="9"/>
      <c r="AX65" s="9"/>
      <c r="AY65" s="9"/>
      <c r="AZ65" s="9"/>
      <c r="BA65" s="9"/>
      <c r="BB65" s="9"/>
      <c r="BC65" s="9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0"/>
      <c r="GZ65" s="10"/>
      <c r="HA65" s="10"/>
      <c r="HB65" s="10"/>
      <c r="HC65" s="10"/>
      <c r="HD65" s="10"/>
      <c r="HE65" s="10"/>
      <c r="HF65" s="10"/>
      <c r="HG65" s="10"/>
      <c r="HH65" s="10"/>
      <c r="HI65" s="10"/>
      <c r="HJ65" s="10"/>
      <c r="HK65" s="10"/>
      <c r="HL65" s="10"/>
      <c r="HM65" s="10"/>
      <c r="HN65" s="10"/>
      <c r="HO65" s="10"/>
      <c r="HP65" s="10"/>
      <c r="HQ65" s="10"/>
      <c r="HR65" s="10"/>
      <c r="HS65" s="10"/>
      <c r="HT65" s="10"/>
      <c r="HU65" s="10"/>
      <c r="HV65" s="10"/>
      <c r="HW65" s="10"/>
      <c r="HX65" s="10"/>
      <c r="HY65" s="10"/>
      <c r="HZ65" s="10"/>
      <c r="IA65" s="10"/>
      <c r="IB65" s="10"/>
      <c r="IC65" s="10"/>
      <c r="ID65" s="10"/>
      <c r="IE65" s="10"/>
      <c r="IF65" s="10"/>
      <c r="IG65" s="10"/>
      <c r="IH65" s="10"/>
      <c r="II65" s="10"/>
      <c r="IJ65" s="10"/>
      <c r="IK65" s="10"/>
      <c r="IL65" s="10"/>
      <c r="IM65" s="10"/>
      <c r="IN65" s="10"/>
      <c r="IO65" s="10"/>
      <c r="IP65" s="10"/>
      <c r="IQ65" s="10"/>
      <c r="IR65" s="10"/>
      <c r="IS65" s="10"/>
      <c r="IT65" s="10"/>
      <c r="IU65" s="10"/>
      <c r="IV65" s="10"/>
    </row>
    <row r="66" spans="1:256" s="11" customFormat="1" ht="13.5" thickBot="1" x14ac:dyDescent="0.25">
      <c r="A66" s="9"/>
      <c r="B66" s="381" t="s">
        <v>314</v>
      </c>
      <c r="C66" s="127">
        <f>U69</f>
        <v>1.78</v>
      </c>
      <c r="D66" s="126">
        <f t="shared" si="6"/>
        <v>1.8156000000000001</v>
      </c>
      <c r="E66" s="126">
        <f t="shared" si="6"/>
        <v>1.8519120000000002</v>
      </c>
      <c r="F66" s="126">
        <f t="shared" si="6"/>
        <v>1.8889502400000002</v>
      </c>
      <c r="G66" s="126">
        <f t="shared" si="6"/>
        <v>1.9267292448000002</v>
      </c>
      <c r="H66" s="18"/>
      <c r="I66" s="18"/>
      <c r="J66" s="128">
        <v>0.1</v>
      </c>
      <c r="K66" s="377" t="s">
        <v>248</v>
      </c>
      <c r="L66" s="118">
        <v>1</v>
      </c>
      <c r="M66" s="119">
        <f t="shared" si="7"/>
        <v>0.1</v>
      </c>
      <c r="N66" s="118">
        <v>1</v>
      </c>
      <c r="O66" s="119">
        <f>N66*$J66</f>
        <v>0.1</v>
      </c>
      <c r="P66" s="118">
        <v>1</v>
      </c>
      <c r="Q66" s="119">
        <f t="shared" si="3"/>
        <v>0.1</v>
      </c>
      <c r="R66" s="118">
        <v>1</v>
      </c>
      <c r="S66" s="119">
        <f t="shared" si="4"/>
        <v>0.1</v>
      </c>
      <c r="T66" s="118">
        <v>1</v>
      </c>
      <c r="U66" s="119">
        <f t="shared" si="5"/>
        <v>0.1</v>
      </c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115"/>
      <c r="AU66" s="115"/>
      <c r="AV66" s="9"/>
      <c r="AW66" s="9"/>
      <c r="AX66" s="9"/>
      <c r="AY66" s="9"/>
      <c r="AZ66" s="9"/>
      <c r="BA66" s="9"/>
      <c r="BB66" s="9"/>
      <c r="BC66" s="9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  <c r="HE66" s="10"/>
      <c r="HF66" s="10"/>
      <c r="HG66" s="10"/>
      <c r="HH66" s="10"/>
      <c r="HI66" s="10"/>
      <c r="HJ66" s="10"/>
      <c r="HK66" s="10"/>
      <c r="HL66" s="10"/>
      <c r="HM66" s="10"/>
      <c r="HN66" s="10"/>
      <c r="HO66" s="10"/>
      <c r="HP66" s="10"/>
      <c r="HQ66" s="10"/>
      <c r="HR66" s="10"/>
      <c r="HS66" s="10"/>
      <c r="HT66" s="10"/>
      <c r="HU66" s="10"/>
      <c r="HV66" s="10"/>
      <c r="HW66" s="10"/>
      <c r="HX66" s="10"/>
      <c r="HY66" s="10"/>
      <c r="HZ66" s="10"/>
      <c r="IA66" s="10"/>
      <c r="IB66" s="10"/>
      <c r="IC66" s="10"/>
      <c r="ID66" s="10"/>
      <c r="IE66" s="10"/>
      <c r="IF66" s="10"/>
      <c r="IG66" s="10"/>
      <c r="IH66" s="10"/>
      <c r="II66" s="10"/>
      <c r="IJ66" s="10"/>
      <c r="IK66" s="10"/>
      <c r="IL66" s="10"/>
      <c r="IM66" s="10"/>
      <c r="IN66" s="10"/>
      <c r="IO66" s="10"/>
      <c r="IP66" s="10"/>
      <c r="IQ66" s="10"/>
      <c r="IR66" s="10"/>
      <c r="IS66" s="10"/>
      <c r="IT66" s="10"/>
      <c r="IU66" s="10"/>
      <c r="IV66" s="10"/>
    </row>
    <row r="67" spans="1:256" s="11" customFormat="1" ht="13.5" thickBot="1" x14ac:dyDescent="0.25">
      <c r="A67" s="9"/>
      <c r="B67" s="429" t="s">
        <v>283</v>
      </c>
      <c r="C67" s="430"/>
      <c r="D67" s="430"/>
      <c r="E67" s="430"/>
      <c r="F67" s="430"/>
      <c r="G67" s="431"/>
      <c r="H67" s="38"/>
      <c r="I67" s="38"/>
      <c r="J67" s="128">
        <v>0.61</v>
      </c>
      <c r="K67" s="377" t="s">
        <v>250</v>
      </c>
      <c r="L67" s="118"/>
      <c r="M67" s="119">
        <f t="shared" si="7"/>
        <v>0</v>
      </c>
      <c r="N67" s="118"/>
      <c r="O67" s="119">
        <f>N67*$J67</f>
        <v>0</v>
      </c>
      <c r="P67" s="118"/>
      <c r="Q67" s="119">
        <f t="shared" si="3"/>
        <v>0</v>
      </c>
      <c r="R67" s="118">
        <v>1</v>
      </c>
      <c r="S67" s="119">
        <f t="shared" si="4"/>
        <v>0.61</v>
      </c>
      <c r="T67" s="118">
        <v>1</v>
      </c>
      <c r="U67" s="119">
        <f t="shared" si="5"/>
        <v>0.61</v>
      </c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115"/>
      <c r="AU67" s="115"/>
      <c r="AV67" s="9"/>
      <c r="AW67" s="9"/>
      <c r="AX67" s="9"/>
      <c r="AY67" s="9"/>
      <c r="AZ67" s="9"/>
      <c r="BA67" s="9"/>
      <c r="BB67" s="9"/>
      <c r="BC67" s="9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/>
      <c r="HC67" s="10"/>
      <c r="HD67" s="10"/>
      <c r="HE67" s="10"/>
      <c r="HF67" s="10"/>
      <c r="HG67" s="10"/>
      <c r="HH67" s="10"/>
      <c r="HI67" s="10"/>
      <c r="HJ67" s="10"/>
      <c r="HK67" s="10"/>
      <c r="HL67" s="10"/>
      <c r="HM67" s="10"/>
      <c r="HN67" s="10"/>
      <c r="HO67" s="10"/>
      <c r="HP67" s="10"/>
      <c r="HQ67" s="10"/>
      <c r="HR67" s="10"/>
      <c r="HS67" s="10"/>
      <c r="HT67" s="10"/>
      <c r="HU67" s="10"/>
      <c r="HV67" s="10"/>
      <c r="HW67" s="10"/>
      <c r="HX67" s="10"/>
      <c r="HY67" s="10"/>
      <c r="HZ67" s="10"/>
      <c r="IA67" s="10"/>
      <c r="IB67" s="10"/>
      <c r="IC67" s="10"/>
      <c r="ID67" s="10"/>
      <c r="IE67" s="10"/>
      <c r="IF67" s="10"/>
      <c r="IG67" s="10"/>
      <c r="IH67" s="10"/>
      <c r="II67" s="10"/>
      <c r="IJ67" s="10"/>
      <c r="IK67" s="10"/>
      <c r="IL67" s="10"/>
      <c r="IM67" s="10"/>
      <c r="IN67" s="10"/>
      <c r="IO67" s="10"/>
      <c r="IP67" s="10"/>
      <c r="IQ67" s="10"/>
      <c r="IR67" s="10"/>
      <c r="IS67" s="10"/>
      <c r="IT67" s="10"/>
      <c r="IU67" s="10"/>
      <c r="IV67" s="10"/>
    </row>
    <row r="68" spans="1:256" s="11" customFormat="1" ht="13.5" thickBot="1" x14ac:dyDescent="0.25">
      <c r="A68" s="9"/>
      <c r="B68" s="432" t="s">
        <v>278</v>
      </c>
      <c r="C68" s="433"/>
      <c r="D68" s="433"/>
      <c r="E68" s="433"/>
      <c r="F68" s="433"/>
      <c r="G68" s="434"/>
      <c r="H68" s="38"/>
      <c r="I68" s="38"/>
      <c r="J68" s="129">
        <v>0.01</v>
      </c>
      <c r="K68" s="378" t="s">
        <v>284</v>
      </c>
      <c r="L68" s="118">
        <v>1</v>
      </c>
      <c r="M68" s="119">
        <f t="shared" si="7"/>
        <v>0.01</v>
      </c>
      <c r="N68" s="118">
        <v>1</v>
      </c>
      <c r="O68" s="119">
        <f>N68*$J68</f>
        <v>0.01</v>
      </c>
      <c r="P68" s="118">
        <v>1</v>
      </c>
      <c r="Q68" s="119">
        <f t="shared" si="3"/>
        <v>0.01</v>
      </c>
      <c r="R68" s="118">
        <v>1</v>
      </c>
      <c r="S68" s="119">
        <f t="shared" si="4"/>
        <v>0.01</v>
      </c>
      <c r="T68" s="118">
        <v>1</v>
      </c>
      <c r="U68" s="119">
        <f t="shared" si="5"/>
        <v>0.01</v>
      </c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115"/>
      <c r="AU68" s="115"/>
      <c r="AV68" s="9"/>
      <c r="AW68" s="9"/>
      <c r="AX68" s="9"/>
      <c r="AY68" s="9"/>
      <c r="AZ68" s="9"/>
      <c r="BA68" s="9"/>
      <c r="BB68" s="9"/>
      <c r="BC68" s="9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0"/>
      <c r="GZ68" s="10"/>
      <c r="HA68" s="10"/>
      <c r="HB68" s="10"/>
      <c r="HC68" s="10"/>
      <c r="HD68" s="10"/>
      <c r="HE68" s="10"/>
      <c r="HF68" s="10"/>
      <c r="HG68" s="10"/>
      <c r="HH68" s="10"/>
      <c r="HI68" s="10"/>
      <c r="HJ68" s="10"/>
      <c r="HK68" s="10"/>
      <c r="HL68" s="10"/>
      <c r="HM68" s="10"/>
      <c r="HN68" s="10"/>
      <c r="HO68" s="10"/>
      <c r="HP68" s="10"/>
      <c r="HQ68" s="10"/>
      <c r="HR68" s="10"/>
      <c r="HS68" s="10"/>
      <c r="HT68" s="10"/>
      <c r="HU68" s="10"/>
      <c r="HV68" s="10"/>
      <c r="HW68" s="10"/>
      <c r="HX68" s="10"/>
      <c r="HY68" s="10"/>
      <c r="HZ68" s="10"/>
      <c r="IA68" s="10"/>
      <c r="IB68" s="10"/>
      <c r="IC68" s="10"/>
      <c r="ID68" s="10"/>
      <c r="IE68" s="10"/>
      <c r="IF68" s="10"/>
      <c r="IG68" s="10"/>
      <c r="IH68" s="10"/>
      <c r="II68" s="10"/>
      <c r="IJ68" s="10"/>
      <c r="IK68" s="10"/>
      <c r="IL68" s="10"/>
      <c r="IM68" s="10"/>
      <c r="IN68" s="10"/>
      <c r="IO68" s="10"/>
      <c r="IP68" s="10"/>
      <c r="IQ68" s="10"/>
      <c r="IR68" s="10"/>
      <c r="IS68" s="10"/>
      <c r="IT68" s="10"/>
      <c r="IU68" s="10"/>
      <c r="IV68" s="10"/>
    </row>
    <row r="69" spans="1:256" s="11" customFormat="1" ht="13.5" thickBot="1" x14ac:dyDescent="0.25">
      <c r="A69" s="9"/>
      <c r="B69" s="435" t="s">
        <v>279</v>
      </c>
      <c r="C69" s="436"/>
      <c r="D69" s="436"/>
      <c r="E69" s="436"/>
      <c r="F69" s="436"/>
      <c r="G69" s="437"/>
      <c r="H69" s="38"/>
      <c r="I69" s="38"/>
      <c r="J69" s="130"/>
      <c r="K69" s="8" t="s">
        <v>249</v>
      </c>
      <c r="L69" s="131"/>
      <c r="M69" s="132">
        <f>SUM(M52:M68)</f>
        <v>0.30000000000000004</v>
      </c>
      <c r="N69" s="131"/>
      <c r="O69" s="132">
        <f>SUM(O52:O68)</f>
        <v>0.6</v>
      </c>
      <c r="P69" s="131"/>
      <c r="Q69" s="132">
        <f>SUM(Q52:Q68)</f>
        <v>0.7400000000000001</v>
      </c>
      <c r="R69" s="131"/>
      <c r="S69" s="132">
        <f>SUM(S52:S68)</f>
        <v>1.35</v>
      </c>
      <c r="T69" s="131"/>
      <c r="U69" s="132">
        <f>SUM(U52:U68)</f>
        <v>1.78</v>
      </c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115"/>
      <c r="AU69" s="115"/>
      <c r="AV69" s="9"/>
      <c r="AW69" s="9"/>
      <c r="AX69" s="9"/>
      <c r="AY69" s="9"/>
      <c r="AZ69" s="9"/>
      <c r="BA69" s="9"/>
      <c r="BB69" s="9"/>
      <c r="BC69" s="9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</row>
    <row r="70" spans="1:256" s="11" customFormat="1" x14ac:dyDescent="0.2">
      <c r="A70" s="9"/>
      <c r="B70" s="133"/>
      <c r="C70" s="133"/>
      <c r="D70" s="134"/>
      <c r="E70" s="134"/>
      <c r="F70" s="134"/>
      <c r="G70" s="134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115"/>
      <c r="AU70" s="115"/>
      <c r="AV70" s="9"/>
      <c r="AW70" s="9"/>
      <c r="AX70" s="9"/>
      <c r="AY70" s="9"/>
      <c r="AZ70" s="9"/>
      <c r="BA70" s="9"/>
      <c r="BB70" s="9"/>
      <c r="BC70" s="9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  <c r="IV70" s="10"/>
    </row>
    <row r="71" spans="1:256" s="11" customFormat="1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115"/>
      <c r="AU71" s="115"/>
      <c r="AV71" s="9"/>
      <c r="AW71" s="9"/>
      <c r="AX71" s="9"/>
      <c r="AY71" s="9"/>
      <c r="AZ71" s="9"/>
      <c r="BA71" s="9"/>
      <c r="BB71" s="9"/>
      <c r="BC71" s="9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  <c r="HE71" s="10"/>
      <c r="HF71" s="10"/>
      <c r="HG71" s="10"/>
      <c r="HH71" s="10"/>
      <c r="HI71" s="10"/>
      <c r="HJ71" s="10"/>
      <c r="HK71" s="10"/>
      <c r="HL71" s="10"/>
      <c r="HM71" s="10"/>
      <c r="HN71" s="10"/>
      <c r="HO71" s="10"/>
      <c r="HP71" s="10"/>
      <c r="HQ71" s="10"/>
      <c r="HR71" s="10"/>
      <c r="HS71" s="10"/>
      <c r="HT71" s="10"/>
      <c r="HU71" s="10"/>
      <c r="HV71" s="10"/>
      <c r="HW71" s="10"/>
      <c r="HX71" s="10"/>
      <c r="HY71" s="10"/>
      <c r="HZ71" s="10"/>
      <c r="IA71" s="10"/>
      <c r="IB71" s="10"/>
      <c r="IC71" s="10"/>
      <c r="ID71" s="10"/>
      <c r="IE71" s="10"/>
      <c r="IF71" s="10"/>
      <c r="IG71" s="10"/>
      <c r="IH71" s="10"/>
      <c r="II71" s="10"/>
      <c r="IJ71" s="10"/>
      <c r="IK71" s="10"/>
      <c r="IL71" s="10"/>
      <c r="IM71" s="10"/>
      <c r="IN71" s="10"/>
      <c r="IO71" s="10"/>
      <c r="IP71" s="10"/>
      <c r="IQ71" s="10"/>
      <c r="IR71" s="10"/>
      <c r="IS71" s="10"/>
      <c r="IT71" s="10"/>
      <c r="IU71" s="10"/>
      <c r="IV71" s="10"/>
    </row>
    <row r="72" spans="1:256" s="11" customFormat="1" x14ac:dyDescent="0.2">
      <c r="A72" s="9"/>
      <c r="B72" s="9"/>
      <c r="C72" s="9"/>
      <c r="D72" s="9"/>
      <c r="E72" s="9"/>
      <c r="F72" s="9"/>
      <c r="G72" s="330" t="s">
        <v>113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115"/>
      <c r="AU72" s="115"/>
      <c r="AV72" s="9"/>
      <c r="AW72" s="9"/>
      <c r="AX72" s="9"/>
      <c r="AY72" s="9"/>
      <c r="AZ72" s="9"/>
      <c r="BA72" s="9"/>
      <c r="BB72" s="9"/>
      <c r="BC72" s="9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10"/>
      <c r="GX72" s="10"/>
      <c r="GY72" s="10"/>
      <c r="GZ72" s="10"/>
      <c r="HA72" s="10"/>
      <c r="HB72" s="10"/>
      <c r="HC72" s="10"/>
      <c r="HD72" s="10"/>
      <c r="HE72" s="10"/>
      <c r="HF72" s="10"/>
      <c r="HG72" s="10"/>
      <c r="HH72" s="10"/>
      <c r="HI72" s="10"/>
      <c r="HJ72" s="10"/>
      <c r="HK72" s="10"/>
      <c r="HL72" s="10"/>
      <c r="HM72" s="10"/>
      <c r="HN72" s="10"/>
      <c r="HO72" s="10"/>
      <c r="HP72" s="10"/>
      <c r="HQ72" s="10"/>
      <c r="HR72" s="10"/>
      <c r="HS72" s="10"/>
      <c r="HT72" s="10"/>
      <c r="HU72" s="10"/>
      <c r="HV72" s="10"/>
      <c r="HW72" s="10"/>
      <c r="HX72" s="10"/>
      <c r="HY72" s="10"/>
      <c r="HZ72" s="10"/>
      <c r="IA72" s="10"/>
      <c r="IB72" s="10"/>
      <c r="IC72" s="10"/>
      <c r="ID72" s="10"/>
      <c r="IE72" s="10"/>
      <c r="IF72" s="10"/>
      <c r="IG72" s="10"/>
      <c r="IH72" s="10"/>
      <c r="II72" s="10"/>
      <c r="IJ72" s="10"/>
      <c r="IK72" s="10"/>
      <c r="IL72" s="10"/>
      <c r="IM72" s="10"/>
      <c r="IN72" s="10"/>
      <c r="IO72" s="10"/>
      <c r="IP72" s="10"/>
      <c r="IQ72" s="10"/>
      <c r="IR72" s="10"/>
      <c r="IS72" s="10"/>
      <c r="IT72" s="10"/>
      <c r="IU72" s="10"/>
      <c r="IV72" s="10"/>
    </row>
    <row r="73" spans="1:256" s="11" customFormat="1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115"/>
      <c r="AU73" s="115"/>
      <c r="AV73" s="9"/>
      <c r="AW73" s="9"/>
      <c r="AX73" s="9"/>
      <c r="AY73" s="9"/>
      <c r="AZ73" s="9"/>
      <c r="BA73" s="9"/>
      <c r="BB73" s="9"/>
      <c r="BC73" s="9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  <c r="GP73" s="10"/>
      <c r="GQ73" s="10"/>
      <c r="GR73" s="10"/>
      <c r="GS73" s="10"/>
      <c r="GT73" s="10"/>
      <c r="GU73" s="10"/>
      <c r="GV73" s="10"/>
      <c r="GW73" s="10"/>
      <c r="GX73" s="10"/>
      <c r="GY73" s="10"/>
      <c r="GZ73" s="10"/>
      <c r="HA73" s="10"/>
      <c r="HB73" s="10"/>
      <c r="HC73" s="10"/>
      <c r="HD73" s="10"/>
      <c r="HE73" s="10"/>
      <c r="HF73" s="10"/>
      <c r="HG73" s="10"/>
      <c r="HH73" s="10"/>
      <c r="HI73" s="10"/>
      <c r="HJ73" s="10"/>
      <c r="HK73" s="10"/>
      <c r="HL73" s="10"/>
      <c r="HM73" s="10"/>
      <c r="HN73" s="10"/>
      <c r="HO73" s="10"/>
      <c r="HP73" s="10"/>
      <c r="HQ73" s="10"/>
      <c r="HR73" s="10"/>
      <c r="HS73" s="10"/>
      <c r="HT73" s="10"/>
      <c r="HU73" s="10"/>
      <c r="HV73" s="10"/>
      <c r="HW73" s="10"/>
      <c r="HX73" s="10"/>
      <c r="HY73" s="10"/>
      <c r="HZ73" s="10"/>
      <c r="IA73" s="10"/>
      <c r="IB73" s="10"/>
      <c r="IC73" s="10"/>
      <c r="ID73" s="10"/>
      <c r="IE73" s="10"/>
      <c r="IF73" s="10"/>
      <c r="IG73" s="10"/>
      <c r="IH73" s="10"/>
      <c r="II73" s="10"/>
      <c r="IJ73" s="10"/>
      <c r="IK73" s="10"/>
      <c r="IL73" s="10"/>
      <c r="IM73" s="10"/>
      <c r="IN73" s="10"/>
      <c r="IO73" s="10"/>
      <c r="IP73" s="10"/>
      <c r="IQ73" s="10"/>
      <c r="IR73" s="10"/>
      <c r="IS73" s="10"/>
      <c r="IT73" s="10"/>
      <c r="IU73" s="10"/>
      <c r="IV73" s="10"/>
    </row>
    <row r="74" spans="1:256" s="21" customFormat="1" ht="18" x14ac:dyDescent="0.25">
      <c r="A74" s="15"/>
      <c r="B74" s="438" t="s">
        <v>316</v>
      </c>
      <c r="C74" s="438"/>
      <c r="D74" s="438"/>
      <c r="E74" s="438"/>
      <c r="F74" s="438"/>
      <c r="G74" s="43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9"/>
      <c r="AU74" s="19"/>
      <c r="AV74" s="18"/>
      <c r="AW74" s="18"/>
      <c r="AX74" s="18"/>
      <c r="AY74" s="18"/>
      <c r="AZ74" s="18"/>
      <c r="BA74" s="18"/>
      <c r="BB74" s="18"/>
      <c r="BC74" s="18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</row>
    <row r="75" spans="1:256" s="21" customFormat="1" ht="18.75" thickBot="1" x14ac:dyDescent="0.3">
      <c r="A75" s="15"/>
      <c r="B75" s="16"/>
      <c r="C75" s="17"/>
      <c r="D75" s="17"/>
      <c r="E75" s="17"/>
      <c r="F75" s="17"/>
      <c r="G75" s="17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9"/>
      <c r="AU75" s="19"/>
      <c r="AV75" s="18"/>
      <c r="AW75" s="18"/>
      <c r="AX75" s="18"/>
      <c r="AY75" s="18"/>
      <c r="AZ75" s="18"/>
      <c r="BA75" s="18"/>
      <c r="BB75" s="18"/>
      <c r="BC75" s="18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</row>
    <row r="76" spans="1:256" s="21" customFormat="1" x14ac:dyDescent="0.2">
      <c r="A76" s="15"/>
      <c r="B76" s="22" t="s">
        <v>0</v>
      </c>
      <c r="C76" s="439" t="str">
        <f>CUSTOMER</f>
        <v>Evergreen Car Wash</v>
      </c>
      <c r="D76" s="424"/>
      <c r="E76" s="425"/>
      <c r="F76" s="15"/>
      <c r="G76" s="15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9"/>
      <c r="AU76" s="19"/>
      <c r="AV76" s="18"/>
      <c r="AW76" s="18"/>
      <c r="AX76" s="18"/>
      <c r="AY76" s="18"/>
      <c r="AZ76" s="18"/>
      <c r="BA76" s="18"/>
      <c r="BB76" s="18"/>
      <c r="BC76" s="18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</row>
    <row r="77" spans="1:256" s="21" customFormat="1" ht="13.5" thickBot="1" x14ac:dyDescent="0.25">
      <c r="A77" s="15"/>
      <c r="B77" s="22" t="s">
        <v>1</v>
      </c>
      <c r="C77" s="442" t="str">
        <f>ADDRESS</f>
        <v>29002 Crossroads Ln., Evergreen, CO 80439</v>
      </c>
      <c r="D77" s="427"/>
      <c r="E77" s="428"/>
      <c r="F77" s="15"/>
      <c r="G77" s="15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9"/>
      <c r="AU77" s="19"/>
      <c r="AV77" s="18"/>
      <c r="AW77" s="18"/>
      <c r="AX77" s="18"/>
      <c r="AY77" s="18"/>
      <c r="AZ77" s="18"/>
      <c r="BA77" s="18"/>
      <c r="BB77" s="18"/>
      <c r="BC77" s="18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</row>
    <row r="78" spans="1:256" s="21" customFormat="1" x14ac:dyDescent="0.2">
      <c r="A78" s="15"/>
      <c r="B78" s="15"/>
      <c r="C78" s="15"/>
      <c r="D78" s="15"/>
      <c r="E78" s="15"/>
      <c r="F78" s="15"/>
      <c r="G78" s="23" t="s">
        <v>167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9"/>
      <c r="AU78" s="19"/>
      <c r="AV78" s="18"/>
      <c r="AW78" s="18"/>
      <c r="AX78" s="18"/>
      <c r="AY78" s="18"/>
      <c r="AZ78" s="18"/>
      <c r="BA78" s="18"/>
      <c r="BB78" s="18"/>
      <c r="BC78" s="18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</row>
    <row r="79" spans="1:256" s="21" customFormat="1" x14ac:dyDescent="0.2">
      <c r="A79" s="15"/>
      <c r="B79" s="421" t="s">
        <v>51</v>
      </c>
      <c r="C79" s="421"/>
      <c r="D79" s="421"/>
      <c r="E79" s="421"/>
      <c r="F79" s="421"/>
      <c r="G79" s="15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9"/>
      <c r="AU79" s="19"/>
      <c r="AV79" s="18"/>
      <c r="AW79" s="18"/>
      <c r="AX79" s="18"/>
      <c r="AY79" s="18"/>
      <c r="AZ79" s="18"/>
      <c r="BA79" s="18"/>
      <c r="BB79" s="18"/>
      <c r="BC79" s="18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</row>
    <row r="80" spans="1:256" s="21" customFormat="1" ht="13.5" thickBot="1" x14ac:dyDescent="0.25">
      <c r="A80" s="15"/>
      <c r="B80" s="448" t="s">
        <v>4</v>
      </c>
      <c r="C80" s="448"/>
      <c r="D80" s="448"/>
      <c r="E80" s="448"/>
      <c r="F80" s="448"/>
      <c r="G80" s="15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9"/>
      <c r="AU80" s="19"/>
      <c r="AV80" s="18"/>
      <c r="AW80" s="18"/>
      <c r="AX80" s="18"/>
      <c r="AY80" s="18"/>
      <c r="AZ80" s="18"/>
      <c r="BA80" s="18"/>
      <c r="BB80" s="18"/>
      <c r="BC80" s="18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</row>
    <row r="81" spans="1:256" s="21" customFormat="1" x14ac:dyDescent="0.2">
      <c r="A81" s="331">
        <f>C83*0.15</f>
        <v>0.15</v>
      </c>
      <c r="B81" s="136" t="s">
        <v>2</v>
      </c>
      <c r="C81" s="33" t="s">
        <v>5</v>
      </c>
      <c r="D81" s="33" t="s">
        <v>6</v>
      </c>
      <c r="E81" s="33" t="s">
        <v>7</v>
      </c>
      <c r="F81" s="33" t="s">
        <v>8</v>
      </c>
      <c r="G81" s="137" t="s">
        <v>9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9"/>
      <c r="AU81" s="19"/>
      <c r="AV81" s="18"/>
      <c r="AW81" s="18"/>
      <c r="AX81" s="18"/>
      <c r="AY81" s="18"/>
      <c r="AZ81" s="18"/>
      <c r="BA81" s="18"/>
      <c r="BB81" s="18"/>
      <c r="BC81" s="18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</row>
    <row r="82" spans="1:256" s="21" customFormat="1" ht="13.5" thickBot="1" x14ac:dyDescent="0.25">
      <c r="A82" s="331">
        <f>D83*0.1</f>
        <v>0</v>
      </c>
      <c r="B82" s="136" t="s">
        <v>3</v>
      </c>
      <c r="C82" s="15"/>
      <c r="D82" s="138"/>
      <c r="E82" s="15"/>
      <c r="F82" s="33"/>
      <c r="G82" s="139" t="s">
        <v>10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9"/>
      <c r="AU82" s="19"/>
      <c r="AV82" s="18"/>
      <c r="AW82" s="18"/>
      <c r="AX82" s="18"/>
      <c r="AY82" s="18"/>
      <c r="AZ82" s="18"/>
      <c r="BA82" s="18"/>
      <c r="BB82" s="18"/>
      <c r="BC82" s="18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</row>
    <row r="83" spans="1:256" s="21" customFormat="1" ht="13.5" thickBot="1" x14ac:dyDescent="0.25">
      <c r="A83" s="331">
        <f>0.05*E83</f>
        <v>0</v>
      </c>
      <c r="B83" s="35"/>
      <c r="C83" s="140">
        <v>1</v>
      </c>
      <c r="D83" s="140"/>
      <c r="E83" s="140"/>
      <c r="F83" s="140"/>
      <c r="G83" s="141">
        <f>SUM(A81:A83)</f>
        <v>0.15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9"/>
      <c r="AU83" s="19"/>
      <c r="AV83" s="18"/>
      <c r="AW83" s="18"/>
      <c r="AX83" s="18"/>
      <c r="AY83" s="18"/>
      <c r="AZ83" s="18"/>
      <c r="BA83" s="18"/>
      <c r="BB83" s="18"/>
      <c r="BC83" s="18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</row>
    <row r="84" spans="1:256" s="21" customFormat="1" x14ac:dyDescent="0.2">
      <c r="A84" s="332"/>
      <c r="B84" s="136" t="s">
        <v>13</v>
      </c>
      <c r="C84" s="400" t="s">
        <v>321</v>
      </c>
      <c r="D84" s="400" t="s">
        <v>322</v>
      </c>
      <c r="E84" s="400" t="s">
        <v>321</v>
      </c>
      <c r="F84" s="400" t="s">
        <v>323</v>
      </c>
      <c r="G84" s="139" t="s">
        <v>9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9"/>
      <c r="AU84" s="19"/>
      <c r="AV84" s="18"/>
      <c r="AW84" s="18"/>
      <c r="AX84" s="18"/>
      <c r="AY84" s="18"/>
      <c r="AZ84" s="18"/>
      <c r="BA84" s="18"/>
      <c r="BB84" s="18"/>
      <c r="BC84" s="18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</row>
    <row r="85" spans="1:256" s="21" customFormat="1" ht="13.5" thickBot="1" x14ac:dyDescent="0.25">
      <c r="A85" s="331">
        <f>C86*0.15</f>
        <v>0.15</v>
      </c>
      <c r="B85" s="136" t="s">
        <v>12</v>
      </c>
      <c r="C85" s="399" t="s">
        <v>15</v>
      </c>
      <c r="D85" s="399" t="s">
        <v>15</v>
      </c>
      <c r="E85" s="399" t="s">
        <v>16</v>
      </c>
      <c r="F85" s="399" t="s">
        <v>16</v>
      </c>
      <c r="G85" s="139" t="s">
        <v>10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9"/>
      <c r="AU85" s="19"/>
      <c r="AV85" s="18"/>
      <c r="AW85" s="18"/>
      <c r="AX85" s="18"/>
      <c r="AY85" s="18"/>
      <c r="AZ85" s="18"/>
      <c r="BA85" s="18"/>
      <c r="BB85" s="18"/>
      <c r="BC85" s="18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</row>
    <row r="86" spans="1:256" s="21" customFormat="1" ht="13.5" thickBot="1" x14ac:dyDescent="0.25">
      <c r="A86" s="331">
        <f>D86*0.125</f>
        <v>0</v>
      </c>
      <c r="B86" s="35"/>
      <c r="C86" s="142">
        <v>1</v>
      </c>
      <c r="D86" s="142"/>
      <c r="E86" s="142"/>
      <c r="F86" s="142"/>
      <c r="G86" s="141">
        <f>SUM(A85:A88)</f>
        <v>0.15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9"/>
      <c r="AU86" s="19"/>
      <c r="AV86" s="18"/>
      <c r="AW86" s="18"/>
      <c r="AX86" s="18"/>
      <c r="AY86" s="18"/>
      <c r="AZ86" s="18"/>
      <c r="BA86" s="18"/>
      <c r="BB86" s="18"/>
      <c r="BC86" s="18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</row>
    <row r="87" spans="1:256" s="21" customFormat="1" x14ac:dyDescent="0.2">
      <c r="A87" s="331">
        <f>0.075*E86</f>
        <v>0</v>
      </c>
      <c r="B87" s="143" t="s">
        <v>19</v>
      </c>
      <c r="C87" s="33" t="s">
        <v>20</v>
      </c>
      <c r="D87" s="33" t="s">
        <v>20</v>
      </c>
      <c r="E87" s="33" t="s">
        <v>20</v>
      </c>
      <c r="F87" s="33" t="s">
        <v>14</v>
      </c>
      <c r="G87" s="139" t="s">
        <v>9</v>
      </c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9"/>
      <c r="AU87" s="19"/>
      <c r="AV87" s="18"/>
      <c r="AW87" s="18"/>
      <c r="AX87" s="18"/>
      <c r="AY87" s="18"/>
      <c r="AZ87" s="18"/>
      <c r="BA87" s="18"/>
      <c r="BB87" s="18"/>
      <c r="BC87" s="18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</row>
    <row r="88" spans="1:256" s="21" customFormat="1" ht="13.5" thickBot="1" x14ac:dyDescent="0.25">
      <c r="A88" s="332">
        <f>F86*-0.025</f>
        <v>0</v>
      </c>
      <c r="B88" s="136" t="s">
        <v>17</v>
      </c>
      <c r="C88" s="17" t="s">
        <v>21</v>
      </c>
      <c r="D88" s="32">
        <v>65</v>
      </c>
      <c r="E88" s="32">
        <v>60</v>
      </c>
      <c r="F88" s="17" t="s">
        <v>22</v>
      </c>
      <c r="G88" s="139" t="s">
        <v>10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9"/>
      <c r="AU88" s="19"/>
      <c r="AV88" s="18"/>
      <c r="AW88" s="18"/>
      <c r="AX88" s="18"/>
      <c r="AY88" s="18"/>
      <c r="AZ88" s="18"/>
      <c r="BA88" s="18"/>
      <c r="BB88" s="18"/>
      <c r="BC88" s="18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</row>
    <row r="89" spans="1:256" s="21" customFormat="1" ht="13.5" thickBot="1" x14ac:dyDescent="0.25">
      <c r="A89" s="331">
        <f>C89*0.15</f>
        <v>0.15</v>
      </c>
      <c r="B89" s="136" t="s">
        <v>18</v>
      </c>
      <c r="C89" s="144">
        <v>1</v>
      </c>
      <c r="D89" s="144"/>
      <c r="E89" s="144"/>
      <c r="F89" s="144"/>
      <c r="G89" s="141">
        <f>SUM(A89:A91)</f>
        <v>0.15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9"/>
      <c r="AU89" s="19"/>
      <c r="AV89" s="18"/>
      <c r="AW89" s="18"/>
      <c r="AX89" s="18"/>
      <c r="AY89" s="18"/>
      <c r="AZ89" s="18"/>
      <c r="BA89" s="18"/>
      <c r="BB89" s="18"/>
      <c r="BC89" s="18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</row>
    <row r="90" spans="1:256" s="21" customFormat="1" x14ac:dyDescent="0.2">
      <c r="A90" s="331">
        <f>D89*0.1</f>
        <v>0</v>
      </c>
      <c r="B90" s="143" t="s">
        <v>11</v>
      </c>
      <c r="C90" s="33" t="s">
        <v>23</v>
      </c>
      <c r="D90" s="33" t="s">
        <v>23</v>
      </c>
      <c r="E90" s="33" t="s">
        <v>26</v>
      </c>
      <c r="F90" s="33" t="s">
        <v>26</v>
      </c>
      <c r="G90" s="139" t="s">
        <v>9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9"/>
      <c r="AU90" s="19"/>
      <c r="AV90" s="18"/>
      <c r="AW90" s="18"/>
      <c r="AX90" s="18"/>
      <c r="AY90" s="18"/>
      <c r="AZ90" s="18"/>
      <c r="BA90" s="18"/>
      <c r="BB90" s="18"/>
      <c r="BC90" s="18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</row>
    <row r="91" spans="1:256" s="21" customFormat="1" ht="13.5" thickBot="1" x14ac:dyDescent="0.25">
      <c r="A91" s="331">
        <f>0.025*E89</f>
        <v>0</v>
      </c>
      <c r="B91" s="136" t="s">
        <v>9</v>
      </c>
      <c r="C91" s="17" t="s">
        <v>24</v>
      </c>
      <c r="D91" s="32" t="s">
        <v>25</v>
      </c>
      <c r="E91" s="17" t="s">
        <v>27</v>
      </c>
      <c r="F91" s="32" t="s">
        <v>28</v>
      </c>
      <c r="G91" s="139" t="s">
        <v>10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9"/>
      <c r="AU91" s="19"/>
      <c r="AV91" s="18"/>
      <c r="AW91" s="18"/>
      <c r="AX91" s="18"/>
      <c r="AY91" s="18"/>
      <c r="AZ91" s="18"/>
      <c r="BA91" s="18"/>
      <c r="BB91" s="18"/>
      <c r="BC91" s="18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</row>
    <row r="92" spans="1:256" s="21" customFormat="1" ht="13.5" thickBot="1" x14ac:dyDescent="0.25">
      <c r="A92" s="332"/>
      <c r="B92" s="35"/>
      <c r="C92" s="144"/>
      <c r="D92" s="144"/>
      <c r="E92" s="144">
        <v>1</v>
      </c>
      <c r="F92" s="144"/>
      <c r="G92" s="141">
        <f>SUM(A93:A95)</f>
        <v>7.4999999999999997E-2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9"/>
      <c r="AU92" s="19"/>
      <c r="AV92" s="18"/>
      <c r="AW92" s="18"/>
      <c r="AX92" s="18"/>
      <c r="AY92" s="18"/>
      <c r="AZ92" s="18"/>
      <c r="BA92" s="18"/>
      <c r="BB92" s="18"/>
      <c r="BC92" s="18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</row>
    <row r="93" spans="1:256" s="21" customFormat="1" x14ac:dyDescent="0.2">
      <c r="A93" s="331">
        <f>C92*0.15</f>
        <v>0</v>
      </c>
      <c r="B93" s="143"/>
      <c r="C93" s="26"/>
      <c r="D93" s="33" t="s">
        <v>33</v>
      </c>
      <c r="E93" s="26" t="s">
        <v>32</v>
      </c>
      <c r="F93" s="26" t="s">
        <v>37</v>
      </c>
      <c r="G93" s="137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9"/>
      <c r="AU93" s="19"/>
      <c r="AV93" s="18"/>
      <c r="AW93" s="18"/>
      <c r="AX93" s="18"/>
      <c r="AY93" s="18"/>
      <c r="AZ93" s="18"/>
      <c r="BA93" s="18"/>
      <c r="BB93" s="18"/>
      <c r="BC93" s="18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</row>
    <row r="94" spans="1:256" s="21" customFormat="1" x14ac:dyDescent="0.2">
      <c r="A94" s="331">
        <f>D92*0.125</f>
        <v>0</v>
      </c>
      <c r="B94" s="136" t="s">
        <v>9</v>
      </c>
      <c r="C94" s="33" t="s">
        <v>30</v>
      </c>
      <c r="D94" s="17" t="s">
        <v>34</v>
      </c>
      <c r="E94" s="33" t="s">
        <v>31</v>
      </c>
      <c r="F94" s="33" t="s">
        <v>38</v>
      </c>
      <c r="G94" s="139" t="s">
        <v>9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9"/>
      <c r="AU94" s="19"/>
      <c r="AV94" s="18"/>
      <c r="AW94" s="18"/>
      <c r="AX94" s="18"/>
      <c r="AY94" s="18"/>
      <c r="AZ94" s="18"/>
      <c r="BA94" s="18"/>
      <c r="BB94" s="18"/>
      <c r="BC94" s="18"/>
    </row>
    <row r="95" spans="1:256" s="21" customFormat="1" ht="13.5" thickBot="1" x14ac:dyDescent="0.25">
      <c r="A95" s="331">
        <f>0.075*E92</f>
        <v>7.4999999999999997E-2</v>
      </c>
      <c r="B95" s="136" t="s">
        <v>29</v>
      </c>
      <c r="C95" s="17" t="s">
        <v>31</v>
      </c>
      <c r="D95" s="145" t="s">
        <v>35</v>
      </c>
      <c r="E95" s="146" t="s">
        <v>36</v>
      </c>
      <c r="F95" s="33" t="s">
        <v>39</v>
      </c>
      <c r="G95" s="139" t="s">
        <v>10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9"/>
      <c r="AU95" s="19"/>
      <c r="AV95" s="18"/>
      <c r="AW95" s="18"/>
      <c r="AX95" s="18"/>
      <c r="AY95" s="18"/>
      <c r="AZ95" s="18"/>
      <c r="BA95" s="18"/>
      <c r="BB95" s="18"/>
      <c r="BC95" s="18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</row>
    <row r="96" spans="1:256" s="21" customFormat="1" ht="13.5" thickBot="1" x14ac:dyDescent="0.25">
      <c r="A96" s="332">
        <f>0.05*F92</f>
        <v>0</v>
      </c>
      <c r="B96" s="35"/>
      <c r="C96" s="144">
        <v>1</v>
      </c>
      <c r="D96" s="144"/>
      <c r="E96" s="144"/>
      <c r="F96" s="144"/>
      <c r="G96" s="141">
        <f>SUM(A97:A99)</f>
        <v>0.15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9"/>
      <c r="AU96" s="19"/>
      <c r="AV96" s="18"/>
      <c r="AW96" s="18"/>
      <c r="AX96" s="18"/>
      <c r="AY96" s="18"/>
      <c r="AZ96" s="18"/>
      <c r="BA96" s="18"/>
      <c r="BB96" s="18"/>
      <c r="BC96" s="18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</row>
    <row r="97" spans="1:256" s="21" customFormat="1" x14ac:dyDescent="0.2">
      <c r="A97" s="331">
        <f>C96*0.15</f>
        <v>0.15</v>
      </c>
      <c r="B97" s="143" t="s">
        <v>120</v>
      </c>
      <c r="C97" s="33" t="s">
        <v>20</v>
      </c>
      <c r="D97" s="33" t="s">
        <v>14</v>
      </c>
      <c r="E97" s="33" t="s">
        <v>14</v>
      </c>
      <c r="F97" s="33" t="s">
        <v>14</v>
      </c>
      <c r="G97" s="139" t="s">
        <v>9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9"/>
      <c r="AU97" s="19"/>
      <c r="AV97" s="18"/>
      <c r="AW97" s="18"/>
      <c r="AX97" s="18"/>
      <c r="AY97" s="18"/>
      <c r="AZ97" s="18"/>
      <c r="BA97" s="18"/>
      <c r="BB97" s="18"/>
      <c r="BC97" s="18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</row>
    <row r="98" spans="1:256" s="21" customFormat="1" ht="13.5" thickBot="1" x14ac:dyDescent="0.25">
      <c r="A98" s="331">
        <f>D96*0.1</f>
        <v>0</v>
      </c>
      <c r="B98" s="136" t="s">
        <v>40</v>
      </c>
      <c r="C98" s="17" t="s">
        <v>41</v>
      </c>
      <c r="D98" s="32" t="s">
        <v>41</v>
      </c>
      <c r="E98" s="17" t="s">
        <v>42</v>
      </c>
      <c r="F98" s="33" t="s">
        <v>50</v>
      </c>
      <c r="G98" s="139" t="s">
        <v>10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9"/>
      <c r="AU98" s="19"/>
      <c r="AV98" s="18"/>
      <c r="AW98" s="18"/>
      <c r="AX98" s="18"/>
      <c r="AY98" s="18"/>
      <c r="AZ98" s="18"/>
      <c r="BA98" s="18"/>
      <c r="BB98" s="18"/>
      <c r="BC98" s="18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</row>
    <row r="99" spans="1:256" s="21" customFormat="1" ht="13.5" thickBot="1" x14ac:dyDescent="0.25">
      <c r="A99" s="331">
        <f>0.05*E96</f>
        <v>0</v>
      </c>
      <c r="B99" s="35" t="s">
        <v>2</v>
      </c>
      <c r="C99" s="144"/>
      <c r="D99" s="144">
        <v>1</v>
      </c>
      <c r="E99" s="144"/>
      <c r="F99" s="144"/>
      <c r="G99" s="141">
        <f>SUM(A101:A103)</f>
        <v>0.125</v>
      </c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9"/>
      <c r="AU99" s="19"/>
      <c r="AV99" s="18"/>
      <c r="AW99" s="18"/>
      <c r="AX99" s="18"/>
      <c r="AY99" s="18"/>
      <c r="AZ99" s="18"/>
      <c r="BA99" s="18"/>
      <c r="BB99" s="18"/>
      <c r="BC99" s="18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</row>
    <row r="100" spans="1:256" s="21" customFormat="1" x14ac:dyDescent="0.2">
      <c r="A100" s="332"/>
      <c r="B100" s="147" t="s">
        <v>118</v>
      </c>
      <c r="C100" s="33" t="s">
        <v>20</v>
      </c>
      <c r="D100" s="33" t="s">
        <v>14</v>
      </c>
      <c r="E100" s="33" t="s">
        <v>14</v>
      </c>
      <c r="F100" s="33" t="s">
        <v>315</v>
      </c>
      <c r="G100" s="139" t="s">
        <v>9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9"/>
      <c r="AU100" s="19"/>
      <c r="AV100" s="18"/>
      <c r="AW100" s="18"/>
      <c r="AX100" s="18"/>
      <c r="AY100" s="18"/>
      <c r="AZ100" s="18"/>
      <c r="BA100" s="18"/>
      <c r="BB100" s="18"/>
      <c r="BC100" s="18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</row>
    <row r="101" spans="1:256" s="21" customFormat="1" ht="13.5" thickBot="1" x14ac:dyDescent="0.25">
      <c r="A101" s="331">
        <f>C99*0.15</f>
        <v>0</v>
      </c>
      <c r="B101" s="136" t="s">
        <v>44</v>
      </c>
      <c r="C101" s="17" t="s">
        <v>41</v>
      </c>
      <c r="D101" s="32" t="s">
        <v>41</v>
      </c>
      <c r="E101" s="17" t="s">
        <v>42</v>
      </c>
      <c r="F101" s="33"/>
      <c r="G101" s="139" t="s">
        <v>10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9"/>
      <c r="AU101" s="19"/>
      <c r="AV101" s="18"/>
      <c r="AW101" s="18"/>
      <c r="AX101" s="18"/>
      <c r="AY101" s="18"/>
      <c r="AZ101" s="18"/>
      <c r="BA101" s="18"/>
      <c r="BB101" s="18"/>
      <c r="BC101" s="18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</row>
    <row r="102" spans="1:256" s="21" customFormat="1" ht="13.5" thickBot="1" x14ac:dyDescent="0.25">
      <c r="A102" s="331">
        <f>D99*0.125</f>
        <v>0.125</v>
      </c>
      <c r="B102" s="35"/>
      <c r="C102" s="144"/>
      <c r="D102" s="144"/>
      <c r="E102" s="144">
        <v>1</v>
      </c>
      <c r="F102" s="144"/>
      <c r="G102" s="141">
        <f>SUM(A105:A108)</f>
        <v>0.05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9"/>
      <c r="AU102" s="19"/>
      <c r="AV102" s="18"/>
      <c r="AW102" s="18"/>
      <c r="AX102" s="18"/>
      <c r="AY102" s="18"/>
      <c r="AZ102" s="18"/>
      <c r="BA102" s="18"/>
      <c r="BB102" s="18"/>
      <c r="BC102" s="18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</row>
    <row r="103" spans="1:256" s="21" customFormat="1" x14ac:dyDescent="0.2">
      <c r="A103" s="331">
        <f>0.075*E99</f>
        <v>0</v>
      </c>
      <c r="B103" s="136" t="s">
        <v>43</v>
      </c>
      <c r="C103" s="33"/>
      <c r="D103" s="33"/>
      <c r="E103" s="359" t="s">
        <v>311</v>
      </c>
      <c r="F103" s="33"/>
      <c r="G103" s="139" t="s">
        <v>9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9"/>
      <c r="AU103" s="19"/>
      <c r="AV103" s="18"/>
      <c r="AW103" s="18"/>
      <c r="AX103" s="18"/>
      <c r="AY103" s="18"/>
      <c r="AZ103" s="18"/>
      <c r="BA103" s="18"/>
      <c r="BB103" s="18"/>
      <c r="BC103" s="18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</row>
    <row r="104" spans="1:256" s="21" customFormat="1" ht="13.5" thickBot="1" x14ac:dyDescent="0.25">
      <c r="A104" s="332">
        <f>0.05*F99</f>
        <v>0</v>
      </c>
      <c r="B104" s="136" t="s">
        <v>310</v>
      </c>
      <c r="C104" s="17">
        <v>3</v>
      </c>
      <c r="D104" s="32">
        <v>2</v>
      </c>
      <c r="E104" s="359" t="s">
        <v>309</v>
      </c>
      <c r="F104" s="358" t="s">
        <v>309</v>
      </c>
      <c r="G104" s="139" t="s">
        <v>10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9"/>
      <c r="AU104" s="19"/>
      <c r="AV104" s="18"/>
      <c r="AW104" s="18"/>
      <c r="AX104" s="18"/>
      <c r="AY104" s="18"/>
      <c r="AZ104" s="18"/>
      <c r="BA104" s="18"/>
      <c r="BB104" s="18"/>
      <c r="BC104" s="18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</row>
    <row r="105" spans="1:256" s="21" customFormat="1" ht="13.5" thickBot="1" x14ac:dyDescent="0.25">
      <c r="A105" s="331">
        <f>C102*0.15</f>
        <v>0</v>
      </c>
      <c r="B105" s="136"/>
      <c r="C105" s="144"/>
      <c r="D105" s="144">
        <v>1</v>
      </c>
      <c r="E105" s="144"/>
      <c r="F105" s="144"/>
      <c r="G105" s="141">
        <f>SUM(A109:A111)</f>
        <v>0.1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9"/>
      <c r="AU105" s="19"/>
      <c r="AV105" s="18"/>
      <c r="AW105" s="18"/>
      <c r="AX105" s="18"/>
      <c r="AY105" s="18"/>
      <c r="AZ105" s="18"/>
      <c r="BA105" s="18"/>
      <c r="BB105" s="18"/>
      <c r="BC105" s="18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</row>
    <row r="106" spans="1:256" s="21" customFormat="1" x14ac:dyDescent="0.2">
      <c r="A106" s="331">
        <f>D102*0.1</f>
        <v>0</v>
      </c>
      <c r="B106" s="143"/>
      <c r="C106" s="26" t="s">
        <v>20</v>
      </c>
      <c r="D106" s="26" t="s">
        <v>20</v>
      </c>
      <c r="E106" s="26" t="s">
        <v>20</v>
      </c>
      <c r="F106" s="26" t="s">
        <v>14</v>
      </c>
      <c r="G106" s="137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9"/>
      <c r="AU106" s="19"/>
      <c r="AV106" s="18"/>
      <c r="AW106" s="18"/>
      <c r="AX106" s="18"/>
      <c r="AY106" s="18"/>
      <c r="AZ106" s="18"/>
      <c r="BA106" s="18"/>
      <c r="BB106" s="18"/>
      <c r="BC106" s="18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</row>
    <row r="107" spans="1:256" s="21" customFormat="1" x14ac:dyDescent="0.2">
      <c r="A107" s="331">
        <f>0.05*E102</f>
        <v>0.05</v>
      </c>
      <c r="B107" s="136" t="s">
        <v>45</v>
      </c>
      <c r="C107" s="33" t="s">
        <v>46</v>
      </c>
      <c r="D107" s="33" t="s">
        <v>48</v>
      </c>
      <c r="E107" s="33" t="s">
        <v>49</v>
      </c>
      <c r="F107" s="33" t="s">
        <v>49</v>
      </c>
      <c r="G107" s="139" t="s">
        <v>9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9"/>
      <c r="AU107" s="19"/>
      <c r="AV107" s="18"/>
      <c r="AW107" s="18"/>
      <c r="AX107" s="18"/>
      <c r="AY107" s="18"/>
      <c r="AZ107" s="18"/>
      <c r="BA107" s="18"/>
      <c r="BB107" s="18"/>
      <c r="BC107" s="18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</row>
    <row r="108" spans="1:256" s="21" customFormat="1" ht="13.5" thickBot="1" x14ac:dyDescent="0.25">
      <c r="A108" s="332">
        <f>F102*-0.25</f>
        <v>0</v>
      </c>
      <c r="B108" s="136"/>
      <c r="C108" s="32" t="s">
        <v>47</v>
      </c>
      <c r="D108" s="32" t="s">
        <v>47</v>
      </c>
      <c r="E108" s="32" t="s">
        <v>47</v>
      </c>
      <c r="F108" s="32" t="s">
        <v>47</v>
      </c>
      <c r="G108" s="139" t="s">
        <v>10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9"/>
      <c r="AU108" s="19"/>
      <c r="AV108" s="18"/>
      <c r="AW108" s="18"/>
      <c r="AX108" s="18"/>
      <c r="AY108" s="18"/>
      <c r="AZ108" s="18"/>
      <c r="BA108" s="18"/>
      <c r="BB108" s="18"/>
      <c r="BC108" s="18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</row>
    <row r="109" spans="1:256" s="21" customFormat="1" ht="13.5" thickBot="1" x14ac:dyDescent="0.25">
      <c r="A109" s="331">
        <f>C105*0.15</f>
        <v>0</v>
      </c>
      <c r="B109" s="35"/>
      <c r="C109" s="144"/>
      <c r="D109" s="144"/>
      <c r="E109" s="144">
        <v>1</v>
      </c>
      <c r="F109" s="144"/>
      <c r="G109" s="141">
        <f>SUM(A113:A115)</f>
        <v>0.05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9"/>
      <c r="AU109" s="19"/>
      <c r="AV109" s="18"/>
      <c r="AW109" s="18"/>
      <c r="AX109" s="18"/>
      <c r="AY109" s="18"/>
      <c r="AZ109" s="18"/>
      <c r="BA109" s="18"/>
      <c r="BB109" s="18"/>
      <c r="BC109" s="18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</row>
    <row r="110" spans="1:256" s="21" customFormat="1" x14ac:dyDescent="0.2">
      <c r="A110" s="331">
        <f>D105*0.1</f>
        <v>0.1</v>
      </c>
      <c r="B110" s="136" t="s">
        <v>52</v>
      </c>
      <c r="C110" s="33" t="s">
        <v>14</v>
      </c>
      <c r="D110" s="33" t="s">
        <v>14</v>
      </c>
      <c r="E110" s="33" t="s">
        <v>14</v>
      </c>
      <c r="F110" s="33" t="s">
        <v>20</v>
      </c>
      <c r="G110" s="139" t="s">
        <v>9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9"/>
      <c r="AU110" s="19"/>
      <c r="AV110" s="18"/>
      <c r="AW110" s="18"/>
      <c r="AX110" s="18"/>
      <c r="AY110" s="18"/>
      <c r="AZ110" s="18"/>
      <c r="BA110" s="18"/>
      <c r="BB110" s="18"/>
      <c r="BC110" s="18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</row>
    <row r="111" spans="1:256" s="21" customFormat="1" ht="13.5" thickBot="1" x14ac:dyDescent="0.25">
      <c r="A111" s="331">
        <f>0.05*E105</f>
        <v>0</v>
      </c>
      <c r="B111" s="136" t="s">
        <v>53</v>
      </c>
      <c r="C111" s="17" t="s">
        <v>54</v>
      </c>
      <c r="D111" s="32" t="s">
        <v>55</v>
      </c>
      <c r="E111" s="17" t="s">
        <v>56</v>
      </c>
      <c r="F111" s="33" t="s">
        <v>57</v>
      </c>
      <c r="G111" s="139" t="s">
        <v>10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9"/>
      <c r="AU111" s="19"/>
      <c r="AV111" s="18"/>
      <c r="AW111" s="18"/>
      <c r="AX111" s="18"/>
      <c r="AY111" s="18"/>
      <c r="AZ111" s="18"/>
      <c r="BA111" s="18"/>
      <c r="BB111" s="18"/>
      <c r="BC111" s="18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</row>
    <row r="112" spans="1:256" s="21" customFormat="1" ht="13.5" thickBot="1" x14ac:dyDescent="0.25">
      <c r="A112" s="332"/>
      <c r="B112" s="35"/>
      <c r="C112" s="144"/>
      <c r="D112" s="144">
        <v>1</v>
      </c>
      <c r="E112" s="144"/>
      <c r="F112" s="144"/>
      <c r="G112" s="141">
        <f>SUM(A117:A119)</f>
        <v>0.1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9"/>
      <c r="AU112" s="19"/>
      <c r="AV112" s="18"/>
      <c r="AW112" s="18"/>
      <c r="AX112" s="18"/>
      <c r="AY112" s="18"/>
      <c r="AZ112" s="18"/>
      <c r="BA112" s="18"/>
      <c r="BB112" s="18"/>
      <c r="BC112" s="18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</row>
    <row r="113" spans="1:256" s="21" customFormat="1" ht="13.5" thickBot="1" x14ac:dyDescent="0.25">
      <c r="A113" s="332">
        <f>C109*0.15</f>
        <v>0</v>
      </c>
      <c r="B113" s="90" t="s">
        <v>58</v>
      </c>
      <c r="C113" s="90"/>
      <c r="D113" s="90"/>
      <c r="E113" s="15"/>
      <c r="F113" s="15"/>
      <c r="G113" s="148">
        <f>(G$83+G$86+G$89+G$92+G$96+G$99+G$102+G$105+G$109+G$112)</f>
        <v>1.1000000000000001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9"/>
      <c r="AU113" s="19"/>
      <c r="AV113" s="18"/>
      <c r="AW113" s="18"/>
      <c r="AX113" s="18"/>
      <c r="AY113" s="18"/>
      <c r="AZ113" s="18"/>
      <c r="BA113" s="18"/>
      <c r="BB113" s="18"/>
      <c r="BC113" s="18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</row>
    <row r="114" spans="1:256" s="21" customFormat="1" ht="13.5" thickBot="1" x14ac:dyDescent="0.25">
      <c r="A114" s="332">
        <f>D109*0.1</f>
        <v>0</v>
      </c>
      <c r="B114" s="447" t="s">
        <v>59</v>
      </c>
      <c r="C114" s="447"/>
      <c r="D114" s="447"/>
      <c r="E114" s="24"/>
      <c r="F114" s="24"/>
      <c r="G114" s="15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9"/>
      <c r="AU114" s="19"/>
      <c r="AV114" s="18"/>
      <c r="AW114" s="18"/>
      <c r="AX114" s="18"/>
      <c r="AY114" s="18"/>
      <c r="AZ114" s="18"/>
      <c r="BA114" s="18"/>
      <c r="BB114" s="18"/>
      <c r="BC114" s="18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</row>
    <row r="115" spans="1:256" s="21" customFormat="1" ht="13.5" thickBot="1" x14ac:dyDescent="0.25">
      <c r="A115" s="331">
        <f>0.05*E109</f>
        <v>0.05</v>
      </c>
      <c r="B115" s="89" t="s">
        <v>289</v>
      </c>
      <c r="C115" s="90"/>
      <c r="D115" s="90"/>
      <c r="E115" s="90"/>
      <c r="F115" s="149">
        <v>2.5</v>
      </c>
      <c r="G115" s="150">
        <f>IF(F115&lt;2.1,I115,H116)</f>
        <v>0</v>
      </c>
      <c r="H115" s="330"/>
      <c r="I115" s="330">
        <f>-0.1*(2.25-F115)</f>
        <v>2.5000000000000001E-2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9"/>
      <c r="AU115" s="19"/>
      <c r="AV115" s="18"/>
      <c r="AW115" s="18"/>
      <c r="AX115" s="18"/>
      <c r="AY115" s="18"/>
      <c r="AZ115" s="18"/>
      <c r="BA115" s="18"/>
      <c r="BB115" s="18"/>
      <c r="BC115" s="18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</row>
    <row r="116" spans="1:256" s="21" customFormat="1" ht="13.5" thickBot="1" x14ac:dyDescent="0.25">
      <c r="A116" s="332"/>
      <c r="B116" s="99" t="s">
        <v>124</v>
      </c>
      <c r="C116" s="151"/>
      <c r="D116" s="151"/>
      <c r="E116" s="152"/>
      <c r="F116" s="153">
        <v>45.1</v>
      </c>
      <c r="G116" s="150">
        <f>IF(F116&lt;55,I116,H117)</f>
        <v>-2.9699999999999997E-2</v>
      </c>
      <c r="H116" s="330">
        <f>IF(F115&gt;3,J131,K131)</f>
        <v>0</v>
      </c>
      <c r="I116" s="333">
        <f>-0.003*(55-F116)</f>
        <v>-2.9699999999999997E-2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9"/>
      <c r="AU116" s="19"/>
      <c r="AV116" s="18"/>
      <c r="AW116" s="18"/>
      <c r="AX116" s="18"/>
      <c r="AY116" s="18"/>
      <c r="AZ116" s="18"/>
      <c r="BA116" s="18"/>
      <c r="BB116" s="18"/>
      <c r="BC116" s="18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</row>
    <row r="117" spans="1:256" s="21" customFormat="1" ht="13.5" thickBot="1" x14ac:dyDescent="0.25">
      <c r="A117" s="331">
        <f>C112*0.15</f>
        <v>0</v>
      </c>
      <c r="B117" s="99" t="s">
        <v>308</v>
      </c>
      <c r="C117" s="151"/>
      <c r="D117" s="151"/>
      <c r="E117" s="152"/>
      <c r="F117" s="154">
        <v>0.878</v>
      </c>
      <c r="G117" s="150">
        <f>IF(F117&lt;0.5,I117,H118)</f>
        <v>0.28349999999999997</v>
      </c>
      <c r="H117" s="333">
        <f>-0.003*(55-F116)</f>
        <v>-2.9699999999999997E-2</v>
      </c>
      <c r="I117" s="334">
        <f>-0.75*(0.5-F117)</f>
        <v>0.28349999999999997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9"/>
      <c r="AU117" s="19"/>
      <c r="AV117" s="18"/>
      <c r="AW117" s="18"/>
      <c r="AX117" s="18"/>
      <c r="AY117" s="18"/>
      <c r="AZ117" s="18"/>
      <c r="BA117" s="18"/>
      <c r="BB117" s="18"/>
      <c r="BC117" s="18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</row>
    <row r="118" spans="1:256" s="21" customFormat="1" ht="13.5" thickBot="1" x14ac:dyDescent="0.25">
      <c r="A118" s="331">
        <f>D112*0.1</f>
        <v>0.1</v>
      </c>
      <c r="B118" s="84" t="s">
        <v>125</v>
      </c>
      <c r="C118" s="85"/>
      <c r="D118" s="85"/>
      <c r="E118" s="155"/>
      <c r="F118" s="87">
        <v>5</v>
      </c>
      <c r="G118" s="150">
        <f>IF(F118&lt;5,I118,H119)</f>
        <v>0</v>
      </c>
      <c r="H118" s="334">
        <f>-0.75*(0.5-F117)</f>
        <v>0.28349999999999997</v>
      </c>
      <c r="I118" s="334">
        <f>0.5*(5-F118)</f>
        <v>0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9"/>
      <c r="AU118" s="19"/>
      <c r="AV118" s="18"/>
      <c r="AW118" s="18"/>
      <c r="AX118" s="18"/>
      <c r="AY118" s="18"/>
      <c r="AZ118" s="18"/>
      <c r="BA118" s="18"/>
      <c r="BB118" s="18"/>
      <c r="BC118" s="18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</row>
    <row r="119" spans="1:256" s="21" customFormat="1" x14ac:dyDescent="0.2">
      <c r="A119" s="332">
        <f>0.05*E112</f>
        <v>0</v>
      </c>
      <c r="B119" s="5"/>
      <c r="C119" s="5"/>
      <c r="D119" s="5"/>
      <c r="E119" s="5"/>
      <c r="F119" s="156"/>
      <c r="G119" s="157"/>
      <c r="H119" s="334">
        <f>-0.075*(F118-5)</f>
        <v>0</v>
      </c>
      <c r="I119" s="333">
        <f>0-0.01*(100-F119)</f>
        <v>-1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9"/>
      <c r="AU119" s="19"/>
      <c r="AV119" s="18"/>
      <c r="AW119" s="18"/>
      <c r="AX119" s="18"/>
      <c r="AY119" s="18"/>
      <c r="AZ119" s="18"/>
      <c r="BA119" s="18"/>
      <c r="BB119" s="18"/>
      <c r="BC119" s="18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</row>
    <row r="120" spans="1:256" s="21" customFormat="1" ht="13.5" thickBot="1" x14ac:dyDescent="0.25">
      <c r="A120" s="332"/>
      <c r="B120" s="15" t="s">
        <v>60</v>
      </c>
      <c r="C120" s="15"/>
      <c r="D120" s="15"/>
      <c r="E120" s="5"/>
      <c r="F120" s="15"/>
      <c r="G120" s="158">
        <f>(G115+G116+G117+G118)/4</f>
        <v>6.3449999999999993E-2</v>
      </c>
      <c r="H120" s="333">
        <f>0.01*(F119-100)</f>
        <v>-1</v>
      </c>
      <c r="I120" s="330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9"/>
      <c r="AU120" s="19"/>
      <c r="AV120" s="18"/>
      <c r="AW120" s="18"/>
      <c r="AX120" s="18"/>
      <c r="AY120" s="18"/>
      <c r="AZ120" s="18"/>
      <c r="BA120" s="18"/>
      <c r="BB120" s="18"/>
      <c r="BC120" s="18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</row>
    <row r="121" spans="1:256" s="21" customFormat="1" ht="13.5" thickBot="1" x14ac:dyDescent="0.25">
      <c r="A121" s="5"/>
      <c r="B121" s="15" t="s">
        <v>61</v>
      </c>
      <c r="C121" s="15"/>
      <c r="D121" s="15"/>
      <c r="E121" s="5"/>
      <c r="F121" s="15"/>
      <c r="G121" s="159">
        <f>(H121/85)</f>
        <v>9.6336058823529407E-3</v>
      </c>
      <c r="H121" s="330">
        <f>G113*0.7*(1+G120)</f>
        <v>0.81885649999999999</v>
      </c>
      <c r="I121" s="330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9"/>
      <c r="AU121" s="19"/>
      <c r="AV121" s="18"/>
      <c r="AW121" s="18"/>
      <c r="AX121" s="18"/>
      <c r="AY121" s="18"/>
      <c r="AZ121" s="18"/>
      <c r="BA121" s="18"/>
      <c r="BB121" s="18"/>
      <c r="BC121" s="18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</row>
    <row r="122" spans="1:256" s="21" customFormat="1" ht="13.5" thickBot="1" x14ac:dyDescent="0.25">
      <c r="A122" s="5"/>
      <c r="B122" s="15" t="s">
        <v>172</v>
      </c>
      <c r="C122" s="15"/>
      <c r="D122" s="15"/>
      <c r="E122" s="15"/>
      <c r="F122" s="15"/>
      <c r="G122" s="159">
        <f>H122/92</f>
        <v>1.2715163043478262E-2</v>
      </c>
      <c r="H122" s="330">
        <f>G113*(1+G120)</f>
        <v>1.1697950000000001</v>
      </c>
      <c r="I122" s="330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160"/>
      <c r="AU122" s="16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</row>
    <row r="123" spans="1:256" s="21" customFormat="1" ht="13.5" thickBot="1" x14ac:dyDescent="0.25">
      <c r="A123" s="5"/>
      <c r="B123" s="15" t="s">
        <v>286</v>
      </c>
      <c r="C123" s="15"/>
      <c r="D123" s="15"/>
      <c r="E123" s="15"/>
      <c r="F123" s="15"/>
      <c r="G123" s="159">
        <f>H122/76</f>
        <v>1.5392039473684213E-2</v>
      </c>
      <c r="H123" s="357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160"/>
      <c r="AU123" s="16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</row>
    <row r="124" spans="1:256" s="21" customFormat="1" x14ac:dyDescent="0.2">
      <c r="A124" s="5"/>
      <c r="B124" s="15"/>
      <c r="C124" s="15"/>
      <c r="D124" s="15"/>
      <c r="E124" s="15"/>
      <c r="F124" s="15"/>
      <c r="G124" s="161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160"/>
      <c r="AU124" s="16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</row>
    <row r="125" spans="1:256" s="21" customFormat="1" x14ac:dyDescent="0.2">
      <c r="A125" s="5"/>
      <c r="B125" s="15"/>
      <c r="C125" s="15"/>
      <c r="D125" s="15"/>
      <c r="E125" s="15"/>
      <c r="F125" s="15"/>
      <c r="G125" s="161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160"/>
      <c r="AU125" s="16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</row>
    <row r="126" spans="1:256" s="56" customFormat="1" ht="18" x14ac:dyDescent="0.25">
      <c r="A126" s="16"/>
      <c r="B126" s="438" t="s">
        <v>302</v>
      </c>
      <c r="C126" s="438"/>
      <c r="D126" s="438"/>
      <c r="E126" s="438"/>
      <c r="F126" s="438"/>
      <c r="G126" s="4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162"/>
      <c r="AU126" s="162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  <c r="BJ126" s="55"/>
      <c r="BK126" s="55"/>
      <c r="BL126" s="55"/>
      <c r="BM126" s="55"/>
      <c r="BN126" s="55"/>
      <c r="BO126" s="55"/>
      <c r="BP126" s="55"/>
      <c r="BQ126" s="55"/>
      <c r="BR126" s="55"/>
      <c r="BS126" s="55"/>
      <c r="BT126" s="55"/>
      <c r="BU126" s="55"/>
      <c r="BV126" s="55"/>
      <c r="BW126" s="55"/>
      <c r="BX126" s="55"/>
      <c r="BY126" s="55"/>
      <c r="BZ126" s="55"/>
      <c r="CA126" s="55"/>
      <c r="CB126" s="55"/>
      <c r="CC126" s="55"/>
      <c r="CD126" s="55"/>
      <c r="CE126" s="55"/>
      <c r="CF126" s="55"/>
      <c r="CG126" s="55"/>
      <c r="CH126" s="55"/>
      <c r="CI126" s="55"/>
      <c r="CJ126" s="55"/>
      <c r="CK126" s="55"/>
      <c r="CL126" s="55"/>
      <c r="CM126" s="55"/>
      <c r="CN126" s="55"/>
      <c r="CO126" s="55"/>
      <c r="CP126" s="55"/>
      <c r="CQ126" s="55"/>
      <c r="CR126" s="55"/>
      <c r="CS126" s="55"/>
      <c r="CT126" s="55"/>
      <c r="CU126" s="55"/>
      <c r="CV126" s="55"/>
      <c r="CW126" s="55"/>
      <c r="CX126" s="55"/>
      <c r="CY126" s="55"/>
      <c r="CZ126" s="55"/>
      <c r="DA126" s="55"/>
      <c r="DB126" s="55"/>
      <c r="DC126" s="55"/>
      <c r="DD126" s="55"/>
      <c r="DE126" s="55"/>
      <c r="DF126" s="55"/>
      <c r="DG126" s="55"/>
      <c r="DH126" s="55"/>
      <c r="DI126" s="55"/>
      <c r="DJ126" s="55"/>
      <c r="DK126" s="55"/>
      <c r="DL126" s="55"/>
      <c r="DM126" s="55"/>
      <c r="DN126" s="55"/>
      <c r="DO126" s="55"/>
      <c r="DP126" s="55"/>
      <c r="DQ126" s="55"/>
      <c r="DR126" s="55"/>
      <c r="DS126" s="55"/>
      <c r="DT126" s="55"/>
      <c r="DU126" s="55"/>
      <c r="DV126" s="55"/>
      <c r="DW126" s="55"/>
      <c r="DX126" s="55"/>
      <c r="DY126" s="55"/>
      <c r="DZ126" s="55"/>
      <c r="EA126" s="55"/>
      <c r="EB126" s="55"/>
      <c r="EC126" s="55"/>
      <c r="ED126" s="55"/>
      <c r="EE126" s="55"/>
      <c r="EF126" s="55"/>
      <c r="EG126" s="55"/>
      <c r="EH126" s="55"/>
      <c r="EI126" s="55"/>
      <c r="EJ126" s="55"/>
      <c r="EK126" s="55"/>
      <c r="EL126" s="55"/>
      <c r="EM126" s="55"/>
      <c r="EN126" s="55"/>
      <c r="EO126" s="55"/>
      <c r="EP126" s="55"/>
      <c r="EQ126" s="55"/>
      <c r="ER126" s="55"/>
      <c r="ES126" s="55"/>
      <c r="ET126" s="55"/>
      <c r="EU126" s="55"/>
      <c r="EV126" s="55"/>
      <c r="EW126" s="55"/>
      <c r="EX126" s="55"/>
      <c r="EY126" s="55"/>
      <c r="EZ126" s="55"/>
      <c r="FA126" s="55"/>
      <c r="FB126" s="55"/>
      <c r="FC126" s="55"/>
      <c r="FD126" s="55"/>
      <c r="FE126" s="55"/>
      <c r="FF126" s="55"/>
      <c r="FG126" s="55"/>
      <c r="FH126" s="55"/>
      <c r="FI126" s="55"/>
      <c r="FJ126" s="55"/>
      <c r="FK126" s="55"/>
      <c r="FL126" s="55"/>
      <c r="FM126" s="55"/>
      <c r="FN126" s="55"/>
      <c r="FO126" s="55"/>
      <c r="FP126" s="55"/>
      <c r="FQ126" s="55"/>
      <c r="FR126" s="55"/>
      <c r="FS126" s="55"/>
      <c r="FT126" s="55"/>
      <c r="FU126" s="55"/>
      <c r="FV126" s="55"/>
      <c r="FW126" s="55"/>
      <c r="FX126" s="55"/>
      <c r="FY126" s="55"/>
      <c r="FZ126" s="55"/>
      <c r="GA126" s="55"/>
      <c r="GB126" s="55"/>
      <c r="GC126" s="55"/>
      <c r="GD126" s="55"/>
      <c r="GE126" s="55"/>
      <c r="GF126" s="55"/>
      <c r="GG126" s="55"/>
      <c r="GH126" s="55"/>
      <c r="GI126" s="55"/>
      <c r="GJ126" s="55"/>
      <c r="GK126" s="55"/>
      <c r="GL126" s="55"/>
      <c r="GM126" s="55"/>
      <c r="GN126" s="55"/>
      <c r="GO126" s="55"/>
      <c r="GP126" s="55"/>
      <c r="GQ126" s="55"/>
      <c r="GR126" s="55"/>
      <c r="GS126" s="55"/>
      <c r="GT126" s="55"/>
      <c r="GU126" s="55"/>
      <c r="GV126" s="55"/>
      <c r="GW126" s="55"/>
      <c r="GX126" s="55"/>
      <c r="GY126" s="55"/>
      <c r="GZ126" s="55"/>
      <c r="HA126" s="55"/>
      <c r="HB126" s="55"/>
      <c r="HC126" s="55"/>
      <c r="HD126" s="55"/>
      <c r="HE126" s="55"/>
      <c r="HF126" s="55"/>
      <c r="HG126" s="55"/>
      <c r="HH126" s="55"/>
      <c r="HI126" s="55"/>
      <c r="HJ126" s="55"/>
      <c r="HK126" s="55"/>
      <c r="HL126" s="55"/>
      <c r="HM126" s="55"/>
      <c r="HN126" s="55"/>
      <c r="HO126" s="55"/>
      <c r="HP126" s="55"/>
      <c r="HQ126" s="55"/>
      <c r="HR126" s="55"/>
      <c r="HS126" s="55"/>
      <c r="HT126" s="55"/>
      <c r="HU126" s="55"/>
      <c r="HV126" s="55"/>
      <c r="HW126" s="55"/>
      <c r="HX126" s="55"/>
      <c r="HY126" s="55"/>
      <c r="HZ126" s="55"/>
      <c r="IA126" s="55"/>
      <c r="IB126" s="55"/>
      <c r="IC126" s="55"/>
      <c r="ID126" s="55"/>
      <c r="IE126" s="55"/>
      <c r="IF126" s="55"/>
      <c r="IG126" s="55"/>
      <c r="IH126" s="55"/>
      <c r="II126" s="55"/>
      <c r="IJ126" s="55"/>
      <c r="IK126" s="55"/>
      <c r="IL126" s="55"/>
      <c r="IM126" s="55"/>
      <c r="IN126" s="55"/>
      <c r="IO126" s="55"/>
      <c r="IP126" s="55"/>
      <c r="IQ126" s="55"/>
      <c r="IR126" s="55"/>
      <c r="IS126" s="55"/>
      <c r="IT126" s="55"/>
      <c r="IU126" s="55"/>
      <c r="IV126" s="55"/>
    </row>
    <row r="127" spans="1:256" s="21" customFormat="1" ht="18.75" thickBot="1" x14ac:dyDescent="0.3">
      <c r="A127" s="5"/>
      <c r="B127" s="16"/>
      <c r="C127" s="17"/>
      <c r="D127" s="17"/>
      <c r="E127" s="17"/>
      <c r="F127" s="17"/>
      <c r="G127" s="17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160"/>
      <c r="AU127" s="16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</row>
    <row r="128" spans="1:256" s="21" customFormat="1" x14ac:dyDescent="0.2">
      <c r="A128" s="5"/>
      <c r="B128" s="22" t="s">
        <v>0</v>
      </c>
      <c r="C128" s="459" t="str">
        <f>CUSTOMERNAME</f>
        <v>Evergreen Car Wash</v>
      </c>
      <c r="D128" s="460"/>
      <c r="E128" s="461"/>
      <c r="F128" s="15"/>
      <c r="G128" s="15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160"/>
      <c r="AU128" s="16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</row>
    <row r="129" spans="1:256" s="21" customFormat="1" ht="13.5" thickBot="1" x14ac:dyDescent="0.25">
      <c r="A129" s="5"/>
      <c r="B129" s="22" t="s">
        <v>1</v>
      </c>
      <c r="C129" s="462" t="str">
        <f>ADDRESS</f>
        <v>29002 Crossroads Ln., Evergreen, CO 80439</v>
      </c>
      <c r="D129" s="463"/>
      <c r="E129" s="464"/>
      <c r="F129" s="15"/>
      <c r="G129" s="15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160"/>
      <c r="AU129" s="16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</row>
    <row r="130" spans="1:256" s="21" customFormat="1" ht="15" customHeight="1" x14ac:dyDescent="0.2">
      <c r="A130" s="5"/>
      <c r="B130" s="15"/>
      <c r="C130" s="15"/>
      <c r="D130" s="15"/>
      <c r="E130" s="15"/>
      <c r="F130" s="15"/>
      <c r="G130" s="23" t="s">
        <v>168</v>
      </c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160"/>
      <c r="AU130" s="16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</row>
    <row r="131" spans="1:256" s="56" customFormat="1" ht="13.5" thickBot="1" x14ac:dyDescent="0.25">
      <c r="A131" s="421"/>
      <c r="B131" s="421"/>
      <c r="C131" s="421"/>
      <c r="D131" s="421"/>
      <c r="E131" s="421"/>
      <c r="F131" s="421"/>
      <c r="G131" s="421"/>
      <c r="H131" s="38"/>
      <c r="I131" s="38"/>
      <c r="J131" s="330">
        <f>-0.5*(F115-3)</f>
        <v>0.25</v>
      </c>
      <c r="K131" s="330">
        <v>0</v>
      </c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162"/>
      <c r="AU131" s="162"/>
      <c r="AV131" s="55"/>
      <c r="AW131" s="55"/>
      <c r="AX131" s="55"/>
      <c r="AY131" s="55"/>
      <c r="AZ131" s="55"/>
      <c r="BA131" s="55"/>
      <c r="BB131" s="55"/>
      <c r="BC131" s="55"/>
      <c r="BD131" s="55"/>
      <c r="BE131" s="55"/>
      <c r="BF131" s="55"/>
      <c r="BG131" s="55"/>
      <c r="BH131" s="55"/>
      <c r="BI131" s="55"/>
      <c r="BJ131" s="55"/>
      <c r="BK131" s="55"/>
      <c r="BL131" s="55"/>
      <c r="BM131" s="55"/>
      <c r="BN131" s="55"/>
      <c r="BO131" s="55"/>
      <c r="BP131" s="55"/>
      <c r="BQ131" s="55"/>
      <c r="BR131" s="55"/>
      <c r="BS131" s="55"/>
      <c r="BT131" s="55"/>
      <c r="BU131" s="55"/>
      <c r="BV131" s="55"/>
      <c r="BW131" s="55"/>
      <c r="BX131" s="55"/>
      <c r="BY131" s="55"/>
      <c r="BZ131" s="55"/>
      <c r="CA131" s="55"/>
      <c r="CB131" s="55"/>
      <c r="CC131" s="55"/>
      <c r="CD131" s="55"/>
      <c r="CE131" s="55"/>
      <c r="CF131" s="55"/>
      <c r="CG131" s="55"/>
      <c r="CH131" s="55"/>
      <c r="CI131" s="55"/>
      <c r="CJ131" s="55"/>
      <c r="CK131" s="55"/>
      <c r="CL131" s="55"/>
      <c r="CM131" s="55"/>
      <c r="CN131" s="55"/>
      <c r="CO131" s="55"/>
      <c r="CP131" s="55"/>
      <c r="CQ131" s="55"/>
      <c r="CR131" s="55"/>
      <c r="CS131" s="55"/>
      <c r="CT131" s="55"/>
      <c r="CU131" s="55"/>
      <c r="CV131" s="55"/>
      <c r="CW131" s="55"/>
      <c r="CX131" s="55"/>
      <c r="CY131" s="55"/>
      <c r="CZ131" s="55"/>
      <c r="DA131" s="55"/>
      <c r="DB131" s="55"/>
      <c r="DC131" s="55"/>
      <c r="DD131" s="55"/>
      <c r="DE131" s="55"/>
      <c r="DF131" s="55"/>
      <c r="DG131" s="55"/>
      <c r="DH131" s="55"/>
      <c r="DI131" s="55"/>
      <c r="DJ131" s="55"/>
      <c r="DK131" s="55"/>
      <c r="DL131" s="55"/>
      <c r="DM131" s="55"/>
      <c r="DN131" s="55"/>
      <c r="DO131" s="55"/>
      <c r="DP131" s="55"/>
      <c r="DQ131" s="55"/>
      <c r="DR131" s="55"/>
      <c r="DS131" s="55"/>
      <c r="DT131" s="55"/>
      <c r="DU131" s="55"/>
      <c r="DV131" s="55"/>
      <c r="DW131" s="55"/>
      <c r="DX131" s="55"/>
      <c r="DY131" s="55"/>
      <c r="DZ131" s="55"/>
      <c r="EA131" s="55"/>
      <c r="EB131" s="55"/>
      <c r="EC131" s="55"/>
      <c r="ED131" s="55"/>
      <c r="EE131" s="55"/>
      <c r="EF131" s="55"/>
      <c r="EG131" s="55"/>
      <c r="EH131" s="55"/>
      <c r="EI131" s="55"/>
      <c r="EJ131" s="55"/>
      <c r="EK131" s="55"/>
      <c r="EL131" s="55"/>
      <c r="EM131" s="55"/>
      <c r="EN131" s="55"/>
      <c r="EO131" s="55"/>
      <c r="EP131" s="55"/>
      <c r="EQ131" s="55"/>
      <c r="ER131" s="55"/>
      <c r="ES131" s="55"/>
      <c r="ET131" s="55"/>
      <c r="EU131" s="55"/>
      <c r="EV131" s="55"/>
      <c r="EW131" s="55"/>
      <c r="EX131" s="55"/>
      <c r="EY131" s="55"/>
      <c r="EZ131" s="55"/>
      <c r="FA131" s="55"/>
      <c r="FB131" s="55"/>
      <c r="FC131" s="55"/>
      <c r="FD131" s="55"/>
      <c r="FE131" s="55"/>
      <c r="FF131" s="55"/>
      <c r="FG131" s="55"/>
      <c r="FH131" s="55"/>
      <c r="FI131" s="55"/>
      <c r="FJ131" s="55"/>
      <c r="FK131" s="55"/>
      <c r="FL131" s="55"/>
      <c r="FM131" s="55"/>
      <c r="FN131" s="55"/>
      <c r="FO131" s="55"/>
      <c r="FP131" s="55"/>
      <c r="FQ131" s="55"/>
      <c r="FR131" s="55"/>
      <c r="FS131" s="55"/>
      <c r="FT131" s="55"/>
      <c r="FU131" s="55"/>
      <c r="FV131" s="55"/>
      <c r="FW131" s="55"/>
      <c r="FX131" s="55"/>
      <c r="FY131" s="55"/>
      <c r="FZ131" s="55"/>
      <c r="GA131" s="55"/>
      <c r="GB131" s="55"/>
      <c r="GC131" s="55"/>
      <c r="GD131" s="55"/>
      <c r="GE131" s="55"/>
      <c r="GF131" s="55"/>
      <c r="GG131" s="55"/>
      <c r="GH131" s="55"/>
      <c r="GI131" s="55"/>
      <c r="GJ131" s="55"/>
      <c r="GK131" s="55"/>
      <c r="GL131" s="55"/>
      <c r="GM131" s="55"/>
      <c r="GN131" s="55"/>
      <c r="GO131" s="55"/>
      <c r="GP131" s="55"/>
      <c r="GQ131" s="55"/>
      <c r="GR131" s="55"/>
      <c r="GS131" s="55"/>
      <c r="GT131" s="55"/>
      <c r="GU131" s="55"/>
      <c r="GV131" s="55"/>
      <c r="GW131" s="55"/>
      <c r="GX131" s="55"/>
      <c r="GY131" s="55"/>
      <c r="GZ131" s="55"/>
      <c r="HA131" s="55"/>
      <c r="HB131" s="55"/>
      <c r="HC131" s="55"/>
      <c r="HD131" s="55"/>
      <c r="HE131" s="55"/>
      <c r="HF131" s="55"/>
      <c r="HG131" s="55"/>
      <c r="HH131" s="55"/>
      <c r="HI131" s="55"/>
      <c r="HJ131" s="55"/>
      <c r="HK131" s="55"/>
      <c r="HL131" s="55"/>
      <c r="HM131" s="55"/>
      <c r="HN131" s="55"/>
      <c r="HO131" s="55"/>
      <c r="HP131" s="55"/>
      <c r="HQ131" s="55"/>
      <c r="HR131" s="55"/>
      <c r="HS131" s="55"/>
      <c r="HT131" s="55"/>
      <c r="HU131" s="55"/>
      <c r="HV131" s="55"/>
      <c r="HW131" s="55"/>
      <c r="HX131" s="55"/>
      <c r="HY131" s="55"/>
      <c r="HZ131" s="55"/>
      <c r="IA131" s="55"/>
      <c r="IB131" s="55"/>
      <c r="IC131" s="55"/>
      <c r="ID131" s="55"/>
      <c r="IE131" s="55"/>
      <c r="IF131" s="55"/>
      <c r="IG131" s="55"/>
      <c r="IH131" s="55"/>
      <c r="II131" s="55"/>
      <c r="IJ131" s="55"/>
      <c r="IK131" s="55"/>
      <c r="IL131" s="55"/>
      <c r="IM131" s="55"/>
      <c r="IN131" s="55"/>
      <c r="IO131" s="55"/>
      <c r="IP131" s="55"/>
      <c r="IQ131" s="55"/>
      <c r="IR131" s="55"/>
      <c r="IS131" s="55"/>
      <c r="IT131" s="55"/>
      <c r="IU131" s="55"/>
      <c r="IV131" s="55"/>
    </row>
    <row r="132" spans="1:256" s="21" customFormat="1" x14ac:dyDescent="0.2">
      <c r="A132" s="5"/>
      <c r="B132" s="89"/>
      <c r="C132" s="90"/>
      <c r="D132" s="90"/>
      <c r="E132" s="90"/>
      <c r="F132" s="40"/>
      <c r="G132" s="41"/>
      <c r="H132" s="18"/>
      <c r="I132" s="18"/>
      <c r="J132" s="18" t="s">
        <v>122</v>
      </c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160"/>
      <c r="AU132" s="16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</row>
    <row r="133" spans="1:256" s="56" customFormat="1" ht="13.5" thickBot="1" x14ac:dyDescent="0.25">
      <c r="A133" s="5"/>
      <c r="B133" s="449" t="s">
        <v>180</v>
      </c>
      <c r="C133" s="450"/>
      <c r="D133" s="450"/>
      <c r="E133" s="450"/>
      <c r="F133" s="450"/>
      <c r="G133" s="451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162"/>
      <c r="AU133" s="162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  <c r="BG133" s="55"/>
      <c r="BH133" s="55"/>
      <c r="BI133" s="55"/>
      <c r="BJ133" s="55"/>
      <c r="BK133" s="55"/>
      <c r="BL133" s="55"/>
      <c r="BM133" s="55"/>
      <c r="BN133" s="55"/>
      <c r="BO133" s="55"/>
      <c r="BP133" s="55"/>
      <c r="BQ133" s="55"/>
      <c r="BR133" s="55"/>
      <c r="BS133" s="55"/>
      <c r="BT133" s="55"/>
      <c r="BU133" s="55"/>
      <c r="BV133" s="55"/>
      <c r="BW133" s="55"/>
      <c r="BX133" s="55"/>
      <c r="BY133" s="55"/>
      <c r="BZ133" s="55"/>
      <c r="CA133" s="55"/>
      <c r="CB133" s="55"/>
      <c r="CC133" s="55"/>
      <c r="CD133" s="55"/>
      <c r="CE133" s="55"/>
      <c r="CF133" s="55"/>
      <c r="CG133" s="55"/>
      <c r="CH133" s="55"/>
      <c r="CI133" s="55"/>
      <c r="CJ133" s="55"/>
      <c r="CK133" s="55"/>
      <c r="CL133" s="55"/>
      <c r="CM133" s="55"/>
      <c r="CN133" s="55"/>
      <c r="CO133" s="55"/>
      <c r="CP133" s="55"/>
      <c r="CQ133" s="55"/>
      <c r="CR133" s="55"/>
      <c r="CS133" s="55"/>
      <c r="CT133" s="55"/>
      <c r="CU133" s="55"/>
      <c r="CV133" s="55"/>
      <c r="CW133" s="55"/>
      <c r="CX133" s="55"/>
      <c r="CY133" s="55"/>
      <c r="CZ133" s="55"/>
      <c r="DA133" s="55"/>
      <c r="DB133" s="55"/>
      <c r="DC133" s="55"/>
      <c r="DD133" s="55"/>
      <c r="DE133" s="55"/>
      <c r="DF133" s="55"/>
      <c r="DG133" s="55"/>
      <c r="DH133" s="55"/>
      <c r="DI133" s="55"/>
      <c r="DJ133" s="55"/>
      <c r="DK133" s="55"/>
      <c r="DL133" s="55"/>
      <c r="DM133" s="55"/>
      <c r="DN133" s="55"/>
      <c r="DO133" s="55"/>
      <c r="DP133" s="55"/>
      <c r="DQ133" s="55"/>
      <c r="DR133" s="55"/>
      <c r="DS133" s="55"/>
      <c r="DT133" s="55"/>
      <c r="DU133" s="55"/>
      <c r="DV133" s="55"/>
      <c r="DW133" s="55"/>
      <c r="DX133" s="55"/>
      <c r="DY133" s="55"/>
      <c r="DZ133" s="55"/>
      <c r="EA133" s="55"/>
      <c r="EB133" s="55"/>
      <c r="EC133" s="55"/>
      <c r="ED133" s="55"/>
      <c r="EE133" s="55"/>
      <c r="EF133" s="55"/>
      <c r="EG133" s="55"/>
      <c r="EH133" s="55"/>
      <c r="EI133" s="55"/>
      <c r="EJ133" s="55"/>
      <c r="EK133" s="55"/>
      <c r="EL133" s="55"/>
      <c r="EM133" s="55"/>
      <c r="EN133" s="55"/>
      <c r="EO133" s="55"/>
      <c r="EP133" s="55"/>
      <c r="EQ133" s="55"/>
      <c r="ER133" s="55"/>
      <c r="ES133" s="55"/>
      <c r="ET133" s="55"/>
      <c r="EU133" s="55"/>
      <c r="EV133" s="55"/>
      <c r="EW133" s="55"/>
      <c r="EX133" s="55"/>
      <c r="EY133" s="55"/>
      <c r="EZ133" s="55"/>
      <c r="FA133" s="55"/>
      <c r="FB133" s="55"/>
      <c r="FC133" s="55"/>
      <c r="FD133" s="55"/>
      <c r="FE133" s="55"/>
      <c r="FF133" s="55"/>
      <c r="FG133" s="55"/>
      <c r="FH133" s="55"/>
      <c r="FI133" s="55"/>
      <c r="FJ133" s="55"/>
      <c r="FK133" s="55"/>
      <c r="FL133" s="55"/>
      <c r="FM133" s="55"/>
      <c r="FN133" s="55"/>
      <c r="FO133" s="55"/>
      <c r="FP133" s="55"/>
      <c r="FQ133" s="55"/>
      <c r="FR133" s="55"/>
      <c r="FS133" s="55"/>
      <c r="FT133" s="55"/>
      <c r="FU133" s="55"/>
      <c r="FV133" s="55"/>
      <c r="FW133" s="55"/>
      <c r="FX133" s="55"/>
      <c r="FY133" s="55"/>
      <c r="FZ133" s="55"/>
      <c r="GA133" s="55"/>
      <c r="GB133" s="55"/>
      <c r="GC133" s="55"/>
      <c r="GD133" s="55"/>
      <c r="GE133" s="55"/>
      <c r="GF133" s="55"/>
      <c r="GG133" s="55"/>
      <c r="GH133" s="55"/>
      <c r="GI133" s="55"/>
      <c r="GJ133" s="55"/>
      <c r="GK133" s="55"/>
      <c r="GL133" s="55"/>
      <c r="GM133" s="55"/>
      <c r="GN133" s="55"/>
      <c r="GO133" s="55"/>
      <c r="GP133" s="55"/>
      <c r="GQ133" s="55"/>
      <c r="GR133" s="55"/>
      <c r="GS133" s="55"/>
      <c r="GT133" s="55"/>
      <c r="GU133" s="55"/>
      <c r="GV133" s="55"/>
      <c r="GW133" s="55"/>
      <c r="GX133" s="55"/>
      <c r="GY133" s="55"/>
      <c r="GZ133" s="55"/>
      <c r="HA133" s="55"/>
      <c r="HB133" s="55"/>
      <c r="HC133" s="55"/>
      <c r="HD133" s="55"/>
      <c r="HE133" s="55"/>
      <c r="HF133" s="55"/>
      <c r="HG133" s="55"/>
      <c r="HH133" s="55"/>
      <c r="HI133" s="55"/>
      <c r="HJ133" s="55"/>
      <c r="HK133" s="55"/>
      <c r="HL133" s="55"/>
      <c r="HM133" s="55"/>
      <c r="HN133" s="55"/>
      <c r="HO133" s="55"/>
      <c r="HP133" s="55"/>
      <c r="HQ133" s="55"/>
      <c r="HR133" s="55"/>
      <c r="HS133" s="55"/>
      <c r="HT133" s="55"/>
      <c r="HU133" s="55"/>
      <c r="HV133" s="55"/>
      <c r="HW133" s="55"/>
      <c r="HX133" s="55"/>
      <c r="HY133" s="55"/>
      <c r="HZ133" s="55"/>
      <c r="IA133" s="55"/>
      <c r="IB133" s="55"/>
      <c r="IC133" s="55"/>
      <c r="ID133" s="55"/>
      <c r="IE133" s="55"/>
      <c r="IF133" s="55"/>
      <c r="IG133" s="55"/>
      <c r="IH133" s="55"/>
      <c r="II133" s="55"/>
      <c r="IJ133" s="55"/>
      <c r="IK133" s="55"/>
      <c r="IL133" s="55"/>
      <c r="IM133" s="55"/>
      <c r="IN133" s="55"/>
      <c r="IO133" s="55"/>
      <c r="IP133" s="55"/>
      <c r="IQ133" s="55"/>
      <c r="IR133" s="55"/>
      <c r="IS133" s="55"/>
      <c r="IT133" s="55"/>
      <c r="IU133" s="55"/>
      <c r="IV133" s="55"/>
    </row>
    <row r="134" spans="1:256" s="21" customFormat="1" ht="13.5" thickBot="1" x14ac:dyDescent="0.25">
      <c r="A134" s="15"/>
      <c r="B134" s="84" t="s">
        <v>171</v>
      </c>
      <c r="C134" s="85"/>
      <c r="D134" s="85"/>
      <c r="E134" s="85"/>
      <c r="F134" s="165"/>
      <c r="G134" s="144">
        <v>18263</v>
      </c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160"/>
      <c r="AU134" s="16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</row>
    <row r="135" spans="1:256" s="21" customFormat="1" x14ac:dyDescent="0.2">
      <c r="A135" s="15"/>
      <c r="B135" s="166" t="s">
        <v>169</v>
      </c>
      <c r="C135" s="90"/>
      <c r="D135" s="90"/>
      <c r="E135" s="90"/>
      <c r="F135" s="40"/>
      <c r="G135" s="41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160"/>
      <c r="AU135" s="16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</row>
    <row r="136" spans="1:256" s="21" customFormat="1" x14ac:dyDescent="0.2">
      <c r="A136" s="15"/>
      <c r="B136" s="167" t="s">
        <v>173</v>
      </c>
      <c r="C136" s="5"/>
      <c r="D136" s="5"/>
      <c r="E136" s="5"/>
      <c r="F136" s="168"/>
      <c r="G136" s="44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160"/>
      <c r="AU136" s="16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</row>
    <row r="137" spans="1:256" s="21" customFormat="1" ht="13.5" thickBot="1" x14ac:dyDescent="0.25">
      <c r="A137" s="15"/>
      <c r="B137" s="169" t="s">
        <v>170</v>
      </c>
      <c r="C137" s="6"/>
      <c r="D137" s="6"/>
      <c r="E137" s="6"/>
      <c r="F137" s="81"/>
      <c r="G137" s="146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160"/>
      <c r="AU137" s="16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</row>
    <row r="138" spans="1:256" s="21" customFormat="1" ht="13.5" thickBot="1" x14ac:dyDescent="0.25">
      <c r="A138" s="15"/>
      <c r="B138" s="84" t="s">
        <v>174</v>
      </c>
      <c r="C138" s="85"/>
      <c r="D138" s="85"/>
      <c r="E138" s="61" t="s">
        <v>175</v>
      </c>
      <c r="F138" s="61" t="s">
        <v>176</v>
      </c>
      <c r="G138" s="170" t="s">
        <v>177</v>
      </c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160"/>
      <c r="AU138" s="16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</row>
    <row r="139" spans="1:256" s="21" customFormat="1" ht="13.5" thickBot="1" x14ac:dyDescent="0.25">
      <c r="A139" s="15"/>
      <c r="B139" s="171" t="s">
        <v>178</v>
      </c>
      <c r="C139" s="5"/>
      <c r="D139" s="5"/>
      <c r="E139" s="172">
        <v>1</v>
      </c>
      <c r="F139" s="173">
        <v>1</v>
      </c>
      <c r="G139" s="174">
        <v>1</v>
      </c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160"/>
      <c r="AU139" s="16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</row>
    <row r="140" spans="1:256" s="21" customFormat="1" ht="13.5" thickBot="1" x14ac:dyDescent="0.25">
      <c r="A140" s="15"/>
      <c r="B140" s="84" t="s">
        <v>179</v>
      </c>
      <c r="C140" s="85"/>
      <c r="D140" s="85"/>
      <c r="E140" s="175">
        <f>E139*G134</f>
        <v>18263</v>
      </c>
      <c r="F140" s="176">
        <f>F139*E140</f>
        <v>18263</v>
      </c>
      <c r="G140" s="177">
        <f>G139*F140</f>
        <v>18263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160"/>
      <c r="AU140" s="160"/>
      <c r="AV140" s="20"/>
      <c r="AW140" s="20"/>
      <c r="AX140" s="20"/>
      <c r="AY140" s="20"/>
      <c r="AZ140" s="20"/>
      <c r="BA140" s="20"/>
      <c r="BB140" s="20"/>
      <c r="BC140" s="20"/>
    </row>
    <row r="141" spans="1:256" s="21" customFormat="1" ht="13.5" thickBot="1" x14ac:dyDescent="0.25">
      <c r="A141" s="15"/>
      <c r="B141" s="33" t="s">
        <v>183</v>
      </c>
      <c r="C141" s="85"/>
      <c r="D141" s="85"/>
      <c r="E141" s="175"/>
      <c r="F141" s="176"/>
      <c r="G141" s="177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160"/>
      <c r="AU141" s="16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</row>
    <row r="142" spans="1:256" s="21" customFormat="1" ht="13.5" thickBot="1" x14ac:dyDescent="0.25">
      <c r="A142" s="15"/>
      <c r="B142" s="80" t="s">
        <v>184</v>
      </c>
      <c r="C142" s="61" t="s">
        <v>181</v>
      </c>
      <c r="D142" s="61" t="s">
        <v>182</v>
      </c>
      <c r="E142" s="61" t="s">
        <v>175</v>
      </c>
      <c r="F142" s="61" t="s">
        <v>176</v>
      </c>
      <c r="G142" s="170" t="s">
        <v>177</v>
      </c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160"/>
      <c r="AU142" s="16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</row>
    <row r="143" spans="1:256" s="21" customFormat="1" ht="13.5" thickBot="1" x14ac:dyDescent="0.25">
      <c r="A143" s="15"/>
      <c r="B143" s="171" t="s">
        <v>185</v>
      </c>
      <c r="C143" s="178">
        <f>(H121/85)*G134*280</f>
        <v>49262.79238423529</v>
      </c>
      <c r="D143" s="178">
        <f>(H122/92)*G134*280</f>
        <v>65020.766345652184</v>
      </c>
      <c r="E143" s="179">
        <f>(H122/85)*E140*280</f>
        <v>70375.417691764713</v>
      </c>
      <c r="F143" s="175">
        <f>(H122/82)*F140*280</f>
        <v>72950.128095121967</v>
      </c>
      <c r="G143" s="180">
        <f>(H122/76)*G140*280</f>
        <v>78709.348734210536</v>
      </c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160"/>
      <c r="AU143" s="16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</row>
    <row r="144" spans="1:256" s="21" customFormat="1" ht="13.5" thickBot="1" x14ac:dyDescent="0.25">
      <c r="A144" s="15"/>
      <c r="B144" s="181" t="s">
        <v>103</v>
      </c>
      <c r="C144" s="178">
        <f>C143/12</f>
        <v>4105.2326986862745</v>
      </c>
      <c r="D144" s="178">
        <f>D143/12</f>
        <v>5418.397195471015</v>
      </c>
      <c r="E144" s="178">
        <f>E143/12</f>
        <v>5864.618140980393</v>
      </c>
      <c r="F144" s="178">
        <f>F143/12</f>
        <v>6079.1773412601642</v>
      </c>
      <c r="G144" s="178">
        <f>G143/12</f>
        <v>6559.112394517545</v>
      </c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160"/>
      <c r="AU144" s="16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</row>
    <row r="145" spans="1:256" s="21" customFormat="1" ht="13.5" thickBot="1" x14ac:dyDescent="0.25">
      <c r="A145" s="15"/>
      <c r="B145" s="84" t="s">
        <v>186</v>
      </c>
      <c r="C145" s="178">
        <f>(C144/4.5/7*3)</f>
        <v>390.97454273202612</v>
      </c>
      <c r="D145" s="178">
        <f>(D144/4.5/7*3)</f>
        <v>516.03782814009662</v>
      </c>
      <c r="E145" s="178">
        <f>(E144/4.5/7*3)</f>
        <v>558.53506104575172</v>
      </c>
      <c r="F145" s="178">
        <f>(F144/4.5/7*3)</f>
        <v>578.96927059620612</v>
      </c>
      <c r="G145" s="178">
        <f>(G144/4.5/7*3)</f>
        <v>624.67737090643288</v>
      </c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160"/>
      <c r="AU145" s="16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</row>
    <row r="146" spans="1:256" s="21" customFormat="1" ht="13.5" thickBot="1" x14ac:dyDescent="0.25">
      <c r="A146" s="15"/>
      <c r="B146" s="84" t="s">
        <v>187</v>
      </c>
      <c r="C146" s="178">
        <f>(C145/E12)*1.3</f>
        <v>42.355575462636168</v>
      </c>
      <c r="D146" s="178">
        <f>(D145/E12)*1.3</f>
        <v>55.90409804851047</v>
      </c>
      <c r="E146" s="178">
        <f>(E145/E12)*1.3</f>
        <v>60.507964946623105</v>
      </c>
      <c r="F146" s="178">
        <f>(F145/E12)*1.3</f>
        <v>62.721670981255663</v>
      </c>
      <c r="G146" s="178">
        <f>(G145/E12)*1.3</f>
        <v>67.673381848196897</v>
      </c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160"/>
      <c r="AU146" s="16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</row>
    <row r="147" spans="1:256" s="21" customFormat="1" x14ac:dyDescent="0.2">
      <c r="A147" s="15"/>
      <c r="B147" s="89"/>
      <c r="C147" s="182"/>
      <c r="D147" s="182"/>
      <c r="E147" s="182"/>
      <c r="F147" s="182"/>
      <c r="G147" s="183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160"/>
      <c r="AU147" s="16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</row>
    <row r="148" spans="1:256" s="76" customFormat="1" ht="13.5" thickBot="1" x14ac:dyDescent="0.25">
      <c r="A148" s="21"/>
      <c r="B148" s="453" t="s">
        <v>85</v>
      </c>
      <c r="C148" s="454"/>
      <c r="D148" s="454"/>
      <c r="E148" s="454"/>
      <c r="F148" s="454"/>
      <c r="G148" s="455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184"/>
      <c r="AU148" s="184"/>
      <c r="AV148" s="75"/>
      <c r="AW148" s="75"/>
      <c r="AX148" s="75"/>
      <c r="AY148" s="75"/>
      <c r="AZ148" s="75"/>
      <c r="BA148" s="75"/>
      <c r="BB148" s="75"/>
      <c r="BC148" s="75"/>
      <c r="BD148" s="75"/>
      <c r="BE148" s="75"/>
      <c r="BF148" s="75"/>
      <c r="BG148" s="75"/>
      <c r="BH148" s="75"/>
      <c r="BI148" s="75"/>
      <c r="BJ148" s="75"/>
      <c r="BK148" s="75"/>
      <c r="BL148" s="75"/>
      <c r="BM148" s="75"/>
      <c r="BN148" s="75"/>
      <c r="BO148" s="75"/>
      <c r="BP148" s="75"/>
      <c r="BQ148" s="75"/>
      <c r="BR148" s="75"/>
      <c r="BS148" s="75"/>
      <c r="BT148" s="75"/>
      <c r="BU148" s="75"/>
      <c r="BV148" s="75"/>
      <c r="BW148" s="75"/>
      <c r="BX148" s="75"/>
      <c r="BY148" s="75"/>
      <c r="BZ148" s="75"/>
      <c r="CA148" s="75"/>
      <c r="CB148" s="75"/>
      <c r="CC148" s="75"/>
      <c r="CD148" s="75"/>
      <c r="CE148" s="75"/>
      <c r="CF148" s="75"/>
      <c r="CG148" s="75"/>
      <c r="CH148" s="75"/>
      <c r="CI148" s="75"/>
      <c r="CJ148" s="75"/>
      <c r="CK148" s="75"/>
      <c r="CL148" s="75"/>
      <c r="CM148" s="75"/>
      <c r="CN148" s="75"/>
      <c r="CO148" s="75"/>
      <c r="CP148" s="75"/>
      <c r="CQ148" s="75"/>
      <c r="CR148" s="75"/>
      <c r="CS148" s="75"/>
      <c r="CT148" s="75"/>
      <c r="CU148" s="75"/>
      <c r="CV148" s="75"/>
      <c r="CW148" s="75"/>
      <c r="CX148" s="75"/>
      <c r="CY148" s="75"/>
      <c r="CZ148" s="75"/>
      <c r="DA148" s="75"/>
      <c r="DB148" s="75"/>
      <c r="DC148" s="75"/>
      <c r="DD148" s="75"/>
      <c r="DE148" s="75"/>
      <c r="DF148" s="75"/>
      <c r="DG148" s="75"/>
      <c r="DH148" s="75"/>
      <c r="DI148" s="75"/>
      <c r="DJ148" s="75"/>
      <c r="DK148" s="75"/>
      <c r="DL148" s="75"/>
      <c r="DM148" s="75"/>
      <c r="DN148" s="75"/>
      <c r="DO148" s="75"/>
      <c r="DP148" s="75"/>
      <c r="DQ148" s="75"/>
      <c r="DR148" s="75"/>
      <c r="DS148" s="75"/>
      <c r="DT148" s="75"/>
      <c r="DU148" s="75"/>
      <c r="DV148" s="75"/>
      <c r="DW148" s="75"/>
      <c r="DX148" s="75"/>
      <c r="DY148" s="75"/>
      <c r="DZ148" s="75"/>
      <c r="EA148" s="75"/>
      <c r="EB148" s="75"/>
      <c r="EC148" s="75"/>
      <c r="ED148" s="75"/>
      <c r="EE148" s="75"/>
      <c r="EF148" s="75"/>
      <c r="EG148" s="75"/>
      <c r="EH148" s="75"/>
      <c r="EI148" s="75"/>
      <c r="EJ148" s="75"/>
      <c r="EK148" s="75"/>
      <c r="EL148" s="75"/>
      <c r="EM148" s="75"/>
      <c r="EN148" s="75"/>
      <c r="EO148" s="75"/>
      <c r="EP148" s="75"/>
      <c r="EQ148" s="75"/>
      <c r="ER148" s="75"/>
      <c r="ES148" s="75"/>
      <c r="ET148" s="75"/>
      <c r="EU148" s="75"/>
      <c r="EV148" s="75"/>
      <c r="EW148" s="75"/>
      <c r="EX148" s="75"/>
      <c r="EY148" s="75"/>
      <c r="EZ148" s="75"/>
      <c r="FA148" s="75"/>
      <c r="FB148" s="75"/>
      <c r="FC148" s="75"/>
      <c r="FD148" s="75"/>
      <c r="FE148" s="75"/>
      <c r="FF148" s="75"/>
      <c r="FG148" s="75"/>
      <c r="FH148" s="75"/>
      <c r="FI148" s="75"/>
      <c r="FJ148" s="75"/>
      <c r="FK148" s="75"/>
      <c r="FL148" s="75"/>
      <c r="FM148" s="75"/>
      <c r="FN148" s="75"/>
      <c r="FO148" s="75"/>
      <c r="FP148" s="75"/>
      <c r="FQ148" s="75"/>
      <c r="FR148" s="75"/>
      <c r="FS148" s="75"/>
      <c r="FT148" s="75"/>
      <c r="FU148" s="75"/>
      <c r="FV148" s="75"/>
      <c r="FW148" s="75"/>
      <c r="FX148" s="75"/>
      <c r="FY148" s="75"/>
      <c r="FZ148" s="75"/>
      <c r="GA148" s="75"/>
      <c r="GB148" s="75"/>
      <c r="GC148" s="75"/>
      <c r="GD148" s="75"/>
      <c r="GE148" s="75"/>
      <c r="GF148" s="75"/>
      <c r="GG148" s="75"/>
      <c r="GH148" s="75"/>
      <c r="GI148" s="75"/>
      <c r="GJ148" s="75"/>
      <c r="GK148" s="75"/>
      <c r="GL148" s="75"/>
      <c r="GM148" s="75"/>
      <c r="GN148" s="75"/>
      <c r="GO148" s="75"/>
      <c r="GP148" s="75"/>
      <c r="GQ148" s="75"/>
      <c r="GR148" s="75"/>
      <c r="GS148" s="75"/>
      <c r="GT148" s="75"/>
      <c r="GU148" s="75"/>
      <c r="GV148" s="75"/>
      <c r="GW148" s="75"/>
      <c r="GX148" s="75"/>
      <c r="GY148" s="75"/>
      <c r="GZ148" s="75"/>
      <c r="HA148" s="75"/>
      <c r="HB148" s="75"/>
      <c r="HC148" s="75"/>
      <c r="HD148" s="75"/>
      <c r="HE148" s="75"/>
      <c r="HF148" s="75"/>
      <c r="HG148" s="75"/>
      <c r="HH148" s="75"/>
      <c r="HI148" s="75"/>
      <c r="HJ148" s="75"/>
      <c r="HK148" s="75"/>
      <c r="HL148" s="75"/>
      <c r="HM148" s="75"/>
      <c r="HN148" s="75"/>
      <c r="HO148" s="75"/>
      <c r="HP148" s="75"/>
      <c r="HQ148" s="75"/>
      <c r="HR148" s="75"/>
      <c r="HS148" s="75"/>
      <c r="HT148" s="75"/>
      <c r="HU148" s="75"/>
      <c r="HV148" s="75"/>
      <c r="HW148" s="75"/>
      <c r="HX148" s="75"/>
      <c r="HY148" s="75"/>
      <c r="HZ148" s="75"/>
      <c r="IA148" s="75"/>
      <c r="IB148" s="75"/>
      <c r="IC148" s="75"/>
      <c r="ID148" s="75"/>
      <c r="IE148" s="75"/>
      <c r="IF148" s="75"/>
      <c r="IG148" s="75"/>
      <c r="IH148" s="75"/>
      <c r="II148" s="75"/>
      <c r="IJ148" s="75"/>
      <c r="IK148" s="75"/>
      <c r="IL148" s="75"/>
      <c r="IM148" s="75"/>
      <c r="IN148" s="75"/>
      <c r="IO148" s="75"/>
      <c r="IP148" s="75"/>
      <c r="IQ148" s="75"/>
      <c r="IR148" s="75"/>
      <c r="IS148" s="75"/>
      <c r="IT148" s="75"/>
      <c r="IU148" s="75"/>
      <c r="IV148" s="75"/>
    </row>
    <row r="149" spans="1:256" s="21" customFormat="1" x14ac:dyDescent="0.2">
      <c r="A149" s="15"/>
      <c r="B149" s="39" t="s">
        <v>87</v>
      </c>
      <c r="C149" s="26" t="s">
        <v>90</v>
      </c>
      <c r="D149" s="26" t="s">
        <v>86</v>
      </c>
      <c r="E149" s="40" t="s">
        <v>88</v>
      </c>
      <c r="F149" s="26" t="s">
        <v>92</v>
      </c>
      <c r="G149" s="26" t="s">
        <v>93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160"/>
      <c r="AU149" s="16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</row>
    <row r="150" spans="1:256" s="21" customFormat="1" ht="13.5" thickBot="1" x14ac:dyDescent="0.25">
      <c r="A150" s="15"/>
      <c r="B150" s="80" t="s">
        <v>91</v>
      </c>
      <c r="C150" s="32" t="s">
        <v>87</v>
      </c>
      <c r="D150" s="32" t="s">
        <v>87</v>
      </c>
      <c r="E150" s="81" t="s">
        <v>89</v>
      </c>
      <c r="F150" s="32" t="s">
        <v>87</v>
      </c>
      <c r="G150" s="32" t="s">
        <v>90</v>
      </c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160"/>
      <c r="AU150" s="16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</row>
    <row r="151" spans="1:256" s="56" customFormat="1" ht="13.5" thickBot="1" x14ac:dyDescent="0.25">
      <c r="A151" s="15"/>
      <c r="B151" s="181" t="s">
        <v>94</v>
      </c>
      <c r="C151" s="185">
        <v>0</v>
      </c>
      <c r="D151" s="186">
        <v>0.2</v>
      </c>
      <c r="E151" s="187">
        <f>1-D151</f>
        <v>0.8</v>
      </c>
      <c r="F151" s="188">
        <f>D151*C151</f>
        <v>0</v>
      </c>
      <c r="G151" s="188">
        <f>E151*C151</f>
        <v>0</v>
      </c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162"/>
      <c r="AU151" s="162"/>
      <c r="AV151" s="55"/>
      <c r="AW151" s="55"/>
      <c r="AX151" s="55"/>
      <c r="AY151" s="55"/>
      <c r="AZ151" s="55"/>
      <c r="BA151" s="55"/>
      <c r="BB151" s="55"/>
      <c r="BC151" s="55"/>
      <c r="BD151" s="55"/>
      <c r="BE151" s="55"/>
      <c r="BF151" s="55"/>
      <c r="BG151" s="55"/>
      <c r="BH151" s="55"/>
      <c r="BI151" s="55"/>
      <c r="BJ151" s="55"/>
      <c r="BK151" s="55"/>
      <c r="BL151" s="55"/>
      <c r="BM151" s="55"/>
      <c r="BN151" s="55"/>
      <c r="BO151" s="55"/>
      <c r="BP151" s="55"/>
      <c r="BQ151" s="55"/>
      <c r="BR151" s="55"/>
      <c r="BS151" s="55"/>
      <c r="BT151" s="55"/>
      <c r="BU151" s="55"/>
      <c r="BV151" s="55"/>
      <c r="BW151" s="55"/>
      <c r="BX151" s="55"/>
      <c r="BY151" s="55"/>
      <c r="BZ151" s="55"/>
      <c r="CA151" s="55"/>
      <c r="CB151" s="55"/>
      <c r="CC151" s="55"/>
      <c r="CD151" s="55"/>
      <c r="CE151" s="55"/>
      <c r="CF151" s="55"/>
      <c r="CG151" s="55"/>
      <c r="CH151" s="55"/>
      <c r="CI151" s="55"/>
      <c r="CJ151" s="55"/>
      <c r="CK151" s="55"/>
      <c r="CL151" s="55"/>
      <c r="CM151" s="55"/>
      <c r="CN151" s="55"/>
      <c r="CO151" s="55"/>
      <c r="CP151" s="55"/>
      <c r="CQ151" s="55"/>
      <c r="CR151" s="55"/>
      <c r="CS151" s="55"/>
      <c r="CT151" s="55"/>
      <c r="CU151" s="55"/>
      <c r="CV151" s="55"/>
      <c r="CW151" s="55"/>
      <c r="CX151" s="55"/>
      <c r="CY151" s="55"/>
      <c r="CZ151" s="55"/>
      <c r="DA151" s="55"/>
      <c r="DB151" s="55"/>
      <c r="DC151" s="55"/>
      <c r="DD151" s="55"/>
      <c r="DE151" s="55"/>
      <c r="DF151" s="55"/>
      <c r="DG151" s="55"/>
      <c r="DH151" s="55"/>
      <c r="DI151" s="55"/>
      <c r="DJ151" s="55"/>
      <c r="DK151" s="55"/>
      <c r="DL151" s="55"/>
      <c r="DM151" s="55"/>
      <c r="DN151" s="55"/>
      <c r="DO151" s="55"/>
      <c r="DP151" s="55"/>
      <c r="DQ151" s="55"/>
      <c r="DR151" s="55"/>
      <c r="DS151" s="55"/>
      <c r="DT151" s="55"/>
      <c r="DU151" s="55"/>
      <c r="DV151" s="55"/>
      <c r="DW151" s="55"/>
      <c r="DX151" s="55"/>
      <c r="DY151" s="55"/>
      <c r="DZ151" s="55"/>
      <c r="EA151" s="55"/>
      <c r="EB151" s="55"/>
      <c r="EC151" s="55"/>
      <c r="ED151" s="55"/>
      <c r="EE151" s="55"/>
      <c r="EF151" s="55"/>
      <c r="EG151" s="55"/>
      <c r="EH151" s="55"/>
      <c r="EI151" s="55"/>
      <c r="EJ151" s="55"/>
      <c r="EK151" s="55"/>
      <c r="EL151" s="55"/>
      <c r="EM151" s="55"/>
      <c r="EN151" s="55"/>
      <c r="EO151" s="55"/>
      <c r="EP151" s="55"/>
      <c r="EQ151" s="55"/>
      <c r="ER151" s="55"/>
      <c r="ES151" s="55"/>
      <c r="ET151" s="55"/>
      <c r="EU151" s="55"/>
      <c r="EV151" s="55"/>
      <c r="EW151" s="55"/>
      <c r="EX151" s="55"/>
      <c r="EY151" s="55"/>
      <c r="EZ151" s="55"/>
      <c r="FA151" s="55"/>
      <c r="FB151" s="55"/>
      <c r="FC151" s="55"/>
      <c r="FD151" s="55"/>
      <c r="FE151" s="55"/>
      <c r="FF151" s="55"/>
      <c r="FG151" s="55"/>
      <c r="FH151" s="55"/>
      <c r="FI151" s="55"/>
      <c r="FJ151" s="55"/>
      <c r="FK151" s="55"/>
      <c r="FL151" s="55"/>
      <c r="FM151" s="55"/>
      <c r="FN151" s="55"/>
      <c r="FO151" s="55"/>
      <c r="FP151" s="55"/>
      <c r="FQ151" s="55"/>
      <c r="FR151" s="55"/>
      <c r="FS151" s="55"/>
      <c r="FT151" s="55"/>
      <c r="FU151" s="55"/>
      <c r="FV151" s="55"/>
      <c r="FW151" s="55"/>
      <c r="FX151" s="55"/>
      <c r="FY151" s="55"/>
      <c r="FZ151" s="55"/>
      <c r="GA151" s="55"/>
      <c r="GB151" s="55"/>
      <c r="GC151" s="55"/>
      <c r="GD151" s="55"/>
      <c r="GE151" s="55"/>
      <c r="GF151" s="55"/>
      <c r="GG151" s="55"/>
      <c r="GH151" s="55"/>
      <c r="GI151" s="55"/>
      <c r="GJ151" s="55"/>
      <c r="GK151" s="55"/>
      <c r="GL151" s="55"/>
      <c r="GM151" s="55"/>
      <c r="GN151" s="55"/>
      <c r="GO151" s="55"/>
      <c r="GP151" s="55"/>
      <c r="GQ151" s="55"/>
      <c r="GR151" s="55"/>
      <c r="GS151" s="55"/>
      <c r="GT151" s="55"/>
      <c r="GU151" s="55"/>
      <c r="GV151" s="55"/>
      <c r="GW151" s="55"/>
      <c r="GX151" s="55"/>
      <c r="GY151" s="55"/>
      <c r="GZ151" s="55"/>
      <c r="HA151" s="55"/>
      <c r="HB151" s="55"/>
      <c r="HC151" s="55"/>
      <c r="HD151" s="55"/>
      <c r="HE151" s="55"/>
      <c r="HF151" s="55"/>
      <c r="HG151" s="55"/>
      <c r="HH151" s="55"/>
      <c r="HI151" s="55"/>
      <c r="HJ151" s="55"/>
      <c r="HK151" s="55"/>
      <c r="HL151" s="55"/>
      <c r="HM151" s="55"/>
      <c r="HN151" s="55"/>
      <c r="HO151" s="55"/>
      <c r="HP151" s="55"/>
      <c r="HQ151" s="55"/>
      <c r="HR151" s="55"/>
      <c r="HS151" s="55"/>
      <c r="HT151" s="55"/>
      <c r="HU151" s="55"/>
      <c r="HV151" s="55"/>
      <c r="HW151" s="55"/>
      <c r="HX151" s="55"/>
      <c r="HY151" s="55"/>
      <c r="HZ151" s="55"/>
      <c r="IA151" s="55"/>
      <c r="IB151" s="55"/>
      <c r="IC151" s="55"/>
      <c r="ID151" s="55"/>
      <c r="IE151" s="55"/>
      <c r="IF151" s="55"/>
      <c r="IG151" s="55"/>
      <c r="IH151" s="55"/>
      <c r="II151" s="55"/>
      <c r="IJ151" s="55"/>
      <c r="IK151" s="55"/>
      <c r="IL151" s="55"/>
      <c r="IM151" s="55"/>
      <c r="IN151" s="55"/>
      <c r="IO151" s="55"/>
      <c r="IP151" s="55"/>
      <c r="IQ151" s="55"/>
      <c r="IR151" s="55"/>
      <c r="IS151" s="55"/>
      <c r="IT151" s="55"/>
      <c r="IU151" s="55"/>
      <c r="IV151" s="55"/>
    </row>
    <row r="152" spans="1:256" s="56" customFormat="1" ht="13.5" thickBot="1" x14ac:dyDescent="0.25">
      <c r="A152" s="15"/>
      <c r="B152" s="181" t="s">
        <v>95</v>
      </c>
      <c r="C152" s="185"/>
      <c r="D152" s="186">
        <v>0.2</v>
      </c>
      <c r="E152" s="187">
        <f>1-D152</f>
        <v>0.8</v>
      </c>
      <c r="F152" s="188">
        <f>D152*C152</f>
        <v>0</v>
      </c>
      <c r="G152" s="188">
        <f>E152*C152</f>
        <v>0</v>
      </c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162"/>
      <c r="AU152" s="162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55"/>
      <c r="BJ152" s="55"/>
      <c r="BK152" s="55"/>
      <c r="BL152" s="55"/>
      <c r="BM152" s="55"/>
      <c r="BN152" s="55"/>
      <c r="BO152" s="55"/>
      <c r="BP152" s="55"/>
      <c r="BQ152" s="55"/>
      <c r="BR152" s="55"/>
      <c r="BS152" s="55"/>
      <c r="BT152" s="55"/>
      <c r="BU152" s="55"/>
      <c r="BV152" s="55"/>
      <c r="BW152" s="55"/>
      <c r="BX152" s="55"/>
      <c r="BY152" s="55"/>
      <c r="BZ152" s="55"/>
      <c r="CA152" s="55"/>
      <c r="CB152" s="55"/>
      <c r="CC152" s="55"/>
      <c r="CD152" s="55"/>
      <c r="CE152" s="55"/>
      <c r="CF152" s="55"/>
      <c r="CG152" s="55"/>
      <c r="CH152" s="55"/>
      <c r="CI152" s="55"/>
      <c r="CJ152" s="55"/>
      <c r="CK152" s="55"/>
      <c r="CL152" s="55"/>
      <c r="CM152" s="55"/>
      <c r="CN152" s="55"/>
      <c r="CO152" s="55"/>
      <c r="CP152" s="55"/>
      <c r="CQ152" s="55"/>
      <c r="CR152" s="55"/>
      <c r="CS152" s="55"/>
      <c r="CT152" s="55"/>
      <c r="CU152" s="55"/>
      <c r="CV152" s="55"/>
      <c r="CW152" s="55"/>
      <c r="CX152" s="55"/>
      <c r="CY152" s="55"/>
      <c r="CZ152" s="55"/>
      <c r="DA152" s="55"/>
      <c r="DB152" s="55"/>
      <c r="DC152" s="55"/>
      <c r="DD152" s="55"/>
      <c r="DE152" s="55"/>
      <c r="DF152" s="55"/>
      <c r="DG152" s="55"/>
      <c r="DH152" s="55"/>
      <c r="DI152" s="55"/>
      <c r="DJ152" s="55"/>
      <c r="DK152" s="55"/>
      <c r="DL152" s="55"/>
      <c r="DM152" s="55"/>
      <c r="DN152" s="55"/>
      <c r="DO152" s="55"/>
      <c r="DP152" s="55"/>
      <c r="DQ152" s="55"/>
      <c r="DR152" s="55"/>
      <c r="DS152" s="55"/>
      <c r="DT152" s="55"/>
      <c r="DU152" s="55"/>
      <c r="DV152" s="55"/>
      <c r="DW152" s="55"/>
      <c r="DX152" s="55"/>
      <c r="DY152" s="55"/>
      <c r="DZ152" s="55"/>
      <c r="EA152" s="55"/>
      <c r="EB152" s="55"/>
      <c r="EC152" s="55"/>
      <c r="ED152" s="55"/>
      <c r="EE152" s="55"/>
      <c r="EF152" s="55"/>
      <c r="EG152" s="55"/>
      <c r="EH152" s="55"/>
      <c r="EI152" s="55"/>
      <c r="EJ152" s="55"/>
      <c r="EK152" s="55"/>
      <c r="EL152" s="55"/>
      <c r="EM152" s="55"/>
      <c r="EN152" s="55"/>
      <c r="EO152" s="55"/>
      <c r="EP152" s="55"/>
      <c r="EQ152" s="55"/>
      <c r="ER152" s="55"/>
      <c r="ES152" s="55"/>
      <c r="ET152" s="55"/>
      <c r="EU152" s="55"/>
      <c r="EV152" s="55"/>
      <c r="EW152" s="55"/>
      <c r="EX152" s="55"/>
      <c r="EY152" s="55"/>
      <c r="EZ152" s="55"/>
      <c r="FA152" s="55"/>
      <c r="FB152" s="55"/>
      <c r="FC152" s="55"/>
      <c r="FD152" s="55"/>
      <c r="FE152" s="55"/>
      <c r="FF152" s="55"/>
      <c r="FG152" s="55"/>
      <c r="FH152" s="55"/>
      <c r="FI152" s="55"/>
      <c r="FJ152" s="55"/>
      <c r="FK152" s="55"/>
      <c r="FL152" s="55"/>
      <c r="FM152" s="55"/>
      <c r="FN152" s="55"/>
      <c r="FO152" s="55"/>
      <c r="FP152" s="55"/>
      <c r="FQ152" s="55"/>
      <c r="FR152" s="55"/>
      <c r="FS152" s="55"/>
      <c r="FT152" s="55"/>
      <c r="FU152" s="55"/>
      <c r="FV152" s="55"/>
      <c r="FW152" s="55"/>
      <c r="FX152" s="55"/>
      <c r="FY152" s="55"/>
      <c r="FZ152" s="55"/>
      <c r="GA152" s="55"/>
      <c r="GB152" s="55"/>
      <c r="GC152" s="55"/>
      <c r="GD152" s="55"/>
      <c r="GE152" s="55"/>
      <c r="GF152" s="55"/>
      <c r="GG152" s="55"/>
      <c r="GH152" s="55"/>
      <c r="GI152" s="55"/>
      <c r="GJ152" s="55"/>
      <c r="GK152" s="55"/>
      <c r="GL152" s="55"/>
      <c r="GM152" s="55"/>
      <c r="GN152" s="55"/>
      <c r="GO152" s="55"/>
      <c r="GP152" s="55"/>
      <c r="GQ152" s="55"/>
      <c r="GR152" s="55"/>
      <c r="GS152" s="55"/>
      <c r="GT152" s="55"/>
      <c r="GU152" s="55"/>
      <c r="GV152" s="55"/>
      <c r="GW152" s="55"/>
      <c r="GX152" s="55"/>
      <c r="GY152" s="55"/>
      <c r="GZ152" s="55"/>
      <c r="HA152" s="55"/>
      <c r="HB152" s="55"/>
      <c r="HC152" s="55"/>
      <c r="HD152" s="55"/>
      <c r="HE152" s="55"/>
      <c r="HF152" s="55"/>
      <c r="HG152" s="55"/>
      <c r="HH152" s="55"/>
      <c r="HI152" s="55"/>
      <c r="HJ152" s="55"/>
      <c r="HK152" s="55"/>
      <c r="HL152" s="55"/>
      <c r="HM152" s="55"/>
      <c r="HN152" s="55"/>
      <c r="HO152" s="55"/>
      <c r="HP152" s="55"/>
      <c r="HQ152" s="55"/>
      <c r="HR152" s="55"/>
      <c r="HS152" s="55"/>
      <c r="HT152" s="55"/>
      <c r="HU152" s="55"/>
      <c r="HV152" s="55"/>
      <c r="HW152" s="55"/>
      <c r="HX152" s="55"/>
      <c r="HY152" s="55"/>
      <c r="HZ152" s="55"/>
      <c r="IA152" s="55"/>
      <c r="IB152" s="55"/>
      <c r="IC152" s="55"/>
      <c r="ID152" s="55"/>
      <c r="IE152" s="55"/>
      <c r="IF152" s="55"/>
      <c r="IG152" s="55"/>
      <c r="IH152" s="55"/>
      <c r="II152" s="55"/>
      <c r="IJ152" s="55"/>
      <c r="IK152" s="55"/>
      <c r="IL152" s="55"/>
      <c r="IM152" s="55"/>
      <c r="IN152" s="55"/>
      <c r="IO152" s="55"/>
      <c r="IP152" s="55"/>
      <c r="IQ152" s="55"/>
      <c r="IR152" s="55"/>
      <c r="IS152" s="55"/>
      <c r="IT152" s="55"/>
      <c r="IU152" s="55"/>
      <c r="IV152" s="55"/>
    </row>
    <row r="153" spans="1:256" s="56" customFormat="1" ht="13.5" thickBot="1" x14ac:dyDescent="0.25">
      <c r="A153" s="15"/>
      <c r="B153" s="181" t="s">
        <v>9</v>
      </c>
      <c r="C153" s="185"/>
      <c r="D153" s="186">
        <v>0.2</v>
      </c>
      <c r="E153" s="187">
        <f>1-D153</f>
        <v>0.8</v>
      </c>
      <c r="F153" s="188">
        <f>D153*C153</f>
        <v>0</v>
      </c>
      <c r="G153" s="188">
        <f>E153*C153</f>
        <v>0</v>
      </c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162"/>
      <c r="AU153" s="162"/>
      <c r="AV153" s="55"/>
      <c r="AW153" s="55"/>
      <c r="AX153" s="55"/>
      <c r="AY153" s="55"/>
      <c r="AZ153" s="55"/>
      <c r="BA153" s="55"/>
      <c r="BB153" s="55"/>
      <c r="BC153" s="55"/>
      <c r="BD153" s="55"/>
      <c r="BE153" s="55"/>
      <c r="BF153" s="55"/>
      <c r="BG153" s="55"/>
      <c r="BH153" s="55"/>
      <c r="BI153" s="55"/>
      <c r="BJ153" s="55"/>
      <c r="BK153" s="55"/>
      <c r="BL153" s="55"/>
      <c r="BM153" s="55"/>
      <c r="BN153" s="55"/>
      <c r="BO153" s="55"/>
      <c r="BP153" s="55"/>
      <c r="BQ153" s="55"/>
      <c r="BR153" s="55"/>
      <c r="BS153" s="55"/>
      <c r="BT153" s="55"/>
      <c r="BU153" s="55"/>
      <c r="BV153" s="55"/>
      <c r="BW153" s="55"/>
      <c r="BX153" s="55"/>
      <c r="BY153" s="55"/>
      <c r="BZ153" s="55"/>
      <c r="CA153" s="55"/>
      <c r="CB153" s="55"/>
      <c r="CC153" s="55"/>
      <c r="CD153" s="55"/>
      <c r="CE153" s="55"/>
      <c r="CF153" s="55"/>
      <c r="CG153" s="55"/>
      <c r="CH153" s="55"/>
      <c r="CI153" s="55"/>
      <c r="CJ153" s="55"/>
      <c r="CK153" s="55"/>
      <c r="CL153" s="55"/>
      <c r="CM153" s="55"/>
      <c r="CN153" s="55"/>
      <c r="CO153" s="55"/>
      <c r="CP153" s="55"/>
      <c r="CQ153" s="55"/>
      <c r="CR153" s="55"/>
      <c r="CS153" s="55"/>
      <c r="CT153" s="55"/>
      <c r="CU153" s="55"/>
      <c r="CV153" s="55"/>
      <c r="CW153" s="55"/>
      <c r="CX153" s="55"/>
      <c r="CY153" s="55"/>
      <c r="CZ153" s="55"/>
      <c r="DA153" s="55"/>
      <c r="DB153" s="55"/>
      <c r="DC153" s="55"/>
      <c r="DD153" s="55"/>
      <c r="DE153" s="55"/>
      <c r="DF153" s="55"/>
      <c r="DG153" s="55"/>
      <c r="DH153" s="55"/>
      <c r="DI153" s="55"/>
      <c r="DJ153" s="55"/>
      <c r="DK153" s="55"/>
      <c r="DL153" s="55"/>
      <c r="DM153" s="55"/>
      <c r="DN153" s="55"/>
      <c r="DO153" s="55"/>
      <c r="DP153" s="55"/>
      <c r="DQ153" s="55"/>
      <c r="DR153" s="55"/>
      <c r="DS153" s="55"/>
      <c r="DT153" s="55"/>
      <c r="DU153" s="55"/>
      <c r="DV153" s="55"/>
      <c r="DW153" s="55"/>
      <c r="DX153" s="55"/>
      <c r="DY153" s="55"/>
      <c r="DZ153" s="55"/>
      <c r="EA153" s="55"/>
      <c r="EB153" s="55"/>
      <c r="EC153" s="55"/>
      <c r="ED153" s="55"/>
      <c r="EE153" s="55"/>
      <c r="EF153" s="55"/>
      <c r="EG153" s="55"/>
      <c r="EH153" s="55"/>
      <c r="EI153" s="55"/>
      <c r="EJ153" s="55"/>
      <c r="EK153" s="55"/>
      <c r="EL153" s="55"/>
      <c r="EM153" s="55"/>
      <c r="EN153" s="55"/>
      <c r="EO153" s="55"/>
      <c r="EP153" s="55"/>
      <c r="EQ153" s="55"/>
      <c r="ER153" s="55"/>
      <c r="ES153" s="55"/>
      <c r="ET153" s="55"/>
      <c r="EU153" s="55"/>
      <c r="EV153" s="55"/>
      <c r="EW153" s="55"/>
      <c r="EX153" s="55"/>
      <c r="EY153" s="55"/>
      <c r="EZ153" s="55"/>
      <c r="FA153" s="55"/>
      <c r="FB153" s="55"/>
      <c r="FC153" s="55"/>
      <c r="FD153" s="55"/>
      <c r="FE153" s="55"/>
      <c r="FF153" s="55"/>
      <c r="FG153" s="55"/>
      <c r="FH153" s="55"/>
      <c r="FI153" s="55"/>
      <c r="FJ153" s="55"/>
      <c r="FK153" s="55"/>
      <c r="FL153" s="55"/>
      <c r="FM153" s="55"/>
      <c r="FN153" s="55"/>
      <c r="FO153" s="55"/>
      <c r="FP153" s="55"/>
      <c r="FQ153" s="55"/>
      <c r="FR153" s="55"/>
      <c r="FS153" s="55"/>
      <c r="FT153" s="55"/>
      <c r="FU153" s="55"/>
      <c r="FV153" s="55"/>
      <c r="FW153" s="55"/>
      <c r="FX153" s="55"/>
      <c r="FY153" s="55"/>
      <c r="FZ153" s="55"/>
      <c r="GA153" s="55"/>
      <c r="GB153" s="55"/>
      <c r="GC153" s="55"/>
      <c r="GD153" s="55"/>
      <c r="GE153" s="55"/>
      <c r="GF153" s="55"/>
      <c r="GG153" s="55"/>
      <c r="GH153" s="55"/>
      <c r="GI153" s="55"/>
      <c r="GJ153" s="55"/>
      <c r="GK153" s="55"/>
      <c r="GL153" s="55"/>
      <c r="GM153" s="55"/>
      <c r="GN153" s="55"/>
      <c r="GO153" s="55"/>
      <c r="GP153" s="55"/>
      <c r="GQ153" s="55"/>
      <c r="GR153" s="55"/>
      <c r="GS153" s="55"/>
      <c r="GT153" s="55"/>
      <c r="GU153" s="55"/>
      <c r="GV153" s="55"/>
      <c r="GW153" s="55"/>
      <c r="GX153" s="55"/>
      <c r="GY153" s="55"/>
      <c r="GZ153" s="55"/>
      <c r="HA153" s="55"/>
      <c r="HB153" s="55"/>
      <c r="HC153" s="55"/>
      <c r="HD153" s="55"/>
      <c r="HE153" s="55"/>
      <c r="HF153" s="55"/>
      <c r="HG153" s="55"/>
      <c r="HH153" s="55"/>
      <c r="HI153" s="55"/>
      <c r="HJ153" s="55"/>
      <c r="HK153" s="55"/>
      <c r="HL153" s="55"/>
      <c r="HM153" s="55"/>
      <c r="HN153" s="55"/>
      <c r="HO153" s="55"/>
      <c r="HP153" s="55"/>
      <c r="HQ153" s="55"/>
      <c r="HR153" s="55"/>
      <c r="HS153" s="55"/>
      <c r="HT153" s="55"/>
      <c r="HU153" s="55"/>
      <c r="HV153" s="55"/>
      <c r="HW153" s="55"/>
      <c r="HX153" s="55"/>
      <c r="HY153" s="55"/>
      <c r="HZ153" s="55"/>
      <c r="IA153" s="55"/>
      <c r="IB153" s="55"/>
      <c r="IC153" s="55"/>
      <c r="ID153" s="55"/>
      <c r="IE153" s="55"/>
      <c r="IF153" s="55"/>
      <c r="IG153" s="55"/>
      <c r="IH153" s="55"/>
      <c r="II153" s="55"/>
      <c r="IJ153" s="55"/>
      <c r="IK153" s="55"/>
      <c r="IL153" s="55"/>
      <c r="IM153" s="55"/>
      <c r="IN153" s="55"/>
      <c r="IO153" s="55"/>
      <c r="IP153" s="55"/>
      <c r="IQ153" s="55"/>
      <c r="IR153" s="55"/>
      <c r="IS153" s="55"/>
      <c r="IT153" s="55"/>
      <c r="IU153" s="55"/>
      <c r="IV153" s="55"/>
    </row>
    <row r="154" spans="1:256" s="56" customFormat="1" ht="13.5" thickBot="1" x14ac:dyDescent="0.25">
      <c r="A154" s="15"/>
      <c r="B154" s="181" t="s">
        <v>96</v>
      </c>
      <c r="C154" s="185"/>
      <c r="D154" s="186">
        <v>0.2</v>
      </c>
      <c r="E154" s="187">
        <f>1-D154</f>
        <v>0.8</v>
      </c>
      <c r="F154" s="188">
        <f>D154*C154</f>
        <v>0</v>
      </c>
      <c r="G154" s="188">
        <f>E154*C154</f>
        <v>0</v>
      </c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162"/>
      <c r="AU154" s="162"/>
      <c r="AV154" s="55"/>
      <c r="AW154" s="55"/>
      <c r="AX154" s="55"/>
      <c r="AY154" s="55"/>
      <c r="AZ154" s="55"/>
      <c r="BA154" s="55"/>
      <c r="BB154" s="55"/>
      <c r="BC154" s="55"/>
      <c r="BD154" s="55"/>
      <c r="BE154" s="55"/>
      <c r="BF154" s="55"/>
      <c r="BG154" s="55"/>
      <c r="BH154" s="55"/>
      <c r="BI154" s="55"/>
      <c r="BJ154" s="55"/>
      <c r="BK154" s="55"/>
      <c r="BL154" s="55"/>
      <c r="BM154" s="55"/>
      <c r="BN154" s="55"/>
      <c r="BO154" s="55"/>
      <c r="BP154" s="55"/>
      <c r="BQ154" s="55"/>
      <c r="BR154" s="55"/>
      <c r="BS154" s="55"/>
      <c r="BT154" s="55"/>
      <c r="BU154" s="55"/>
      <c r="BV154" s="55"/>
      <c r="BW154" s="55"/>
      <c r="BX154" s="55"/>
      <c r="BY154" s="55"/>
      <c r="BZ154" s="55"/>
      <c r="CA154" s="55"/>
      <c r="CB154" s="55"/>
      <c r="CC154" s="55"/>
      <c r="CD154" s="55"/>
      <c r="CE154" s="55"/>
      <c r="CF154" s="55"/>
      <c r="CG154" s="55"/>
      <c r="CH154" s="55"/>
      <c r="CI154" s="55"/>
      <c r="CJ154" s="55"/>
      <c r="CK154" s="55"/>
      <c r="CL154" s="55"/>
      <c r="CM154" s="55"/>
      <c r="CN154" s="55"/>
      <c r="CO154" s="55"/>
      <c r="CP154" s="55"/>
      <c r="CQ154" s="55"/>
      <c r="CR154" s="55"/>
      <c r="CS154" s="55"/>
      <c r="CT154" s="55"/>
      <c r="CU154" s="55"/>
      <c r="CV154" s="55"/>
      <c r="CW154" s="55"/>
      <c r="CX154" s="55"/>
      <c r="CY154" s="55"/>
      <c r="CZ154" s="55"/>
      <c r="DA154" s="55"/>
      <c r="DB154" s="55"/>
      <c r="DC154" s="55"/>
      <c r="DD154" s="55"/>
      <c r="DE154" s="55"/>
      <c r="DF154" s="55"/>
      <c r="DG154" s="55"/>
      <c r="DH154" s="55"/>
      <c r="DI154" s="55"/>
      <c r="DJ154" s="55"/>
      <c r="DK154" s="55"/>
      <c r="DL154" s="55"/>
      <c r="DM154" s="55"/>
      <c r="DN154" s="55"/>
      <c r="DO154" s="55"/>
      <c r="DP154" s="55"/>
      <c r="DQ154" s="55"/>
      <c r="DR154" s="55"/>
      <c r="DS154" s="55"/>
      <c r="DT154" s="55"/>
      <c r="DU154" s="55"/>
      <c r="DV154" s="55"/>
      <c r="DW154" s="55"/>
      <c r="DX154" s="55"/>
      <c r="DY154" s="55"/>
      <c r="DZ154" s="55"/>
      <c r="EA154" s="55"/>
      <c r="EB154" s="55"/>
      <c r="EC154" s="55"/>
      <c r="ED154" s="55"/>
      <c r="EE154" s="55"/>
      <c r="EF154" s="55"/>
      <c r="EG154" s="55"/>
      <c r="EH154" s="55"/>
      <c r="EI154" s="55"/>
      <c r="EJ154" s="55"/>
      <c r="EK154" s="55"/>
      <c r="EL154" s="55"/>
      <c r="EM154" s="55"/>
      <c r="EN154" s="55"/>
      <c r="EO154" s="55"/>
      <c r="EP154" s="55"/>
      <c r="EQ154" s="55"/>
      <c r="ER154" s="55"/>
      <c r="ES154" s="55"/>
      <c r="ET154" s="55"/>
      <c r="EU154" s="55"/>
      <c r="EV154" s="55"/>
      <c r="EW154" s="55"/>
      <c r="EX154" s="55"/>
      <c r="EY154" s="55"/>
      <c r="EZ154" s="55"/>
      <c r="FA154" s="55"/>
      <c r="FB154" s="55"/>
      <c r="FC154" s="55"/>
      <c r="FD154" s="55"/>
      <c r="FE154" s="55"/>
      <c r="FF154" s="55"/>
      <c r="FG154" s="55"/>
      <c r="FH154" s="55"/>
      <c r="FI154" s="55"/>
      <c r="FJ154" s="55"/>
      <c r="FK154" s="55"/>
      <c r="FL154" s="55"/>
      <c r="FM154" s="55"/>
      <c r="FN154" s="55"/>
      <c r="FO154" s="55"/>
      <c r="FP154" s="55"/>
      <c r="FQ154" s="55"/>
      <c r="FR154" s="55"/>
      <c r="FS154" s="55"/>
      <c r="FT154" s="55"/>
      <c r="FU154" s="55"/>
      <c r="FV154" s="55"/>
      <c r="FW154" s="55"/>
      <c r="FX154" s="55"/>
      <c r="FY154" s="55"/>
      <c r="FZ154" s="55"/>
      <c r="GA154" s="55"/>
      <c r="GB154" s="55"/>
      <c r="GC154" s="55"/>
      <c r="GD154" s="55"/>
      <c r="GE154" s="55"/>
      <c r="GF154" s="55"/>
      <c r="GG154" s="55"/>
      <c r="GH154" s="55"/>
      <c r="GI154" s="55"/>
      <c r="GJ154" s="55"/>
      <c r="GK154" s="55"/>
      <c r="GL154" s="55"/>
      <c r="GM154" s="55"/>
      <c r="GN154" s="55"/>
      <c r="GO154" s="55"/>
      <c r="GP154" s="55"/>
      <c r="GQ154" s="55"/>
      <c r="GR154" s="55"/>
      <c r="GS154" s="55"/>
      <c r="GT154" s="55"/>
      <c r="GU154" s="55"/>
      <c r="GV154" s="55"/>
      <c r="GW154" s="55"/>
      <c r="GX154" s="55"/>
      <c r="GY154" s="55"/>
      <c r="GZ154" s="55"/>
      <c r="HA154" s="55"/>
      <c r="HB154" s="55"/>
      <c r="HC154" s="55"/>
      <c r="HD154" s="55"/>
      <c r="HE154" s="55"/>
      <c r="HF154" s="55"/>
      <c r="HG154" s="55"/>
      <c r="HH154" s="55"/>
      <c r="HI154" s="55"/>
      <c r="HJ154" s="55"/>
      <c r="HK154" s="55"/>
      <c r="HL154" s="55"/>
      <c r="HM154" s="55"/>
      <c r="HN154" s="55"/>
      <c r="HO154" s="55"/>
      <c r="HP154" s="55"/>
      <c r="HQ154" s="55"/>
      <c r="HR154" s="55"/>
      <c r="HS154" s="55"/>
      <c r="HT154" s="55"/>
      <c r="HU154" s="55"/>
      <c r="HV154" s="55"/>
      <c r="HW154" s="55"/>
      <c r="HX154" s="55"/>
      <c r="HY154" s="55"/>
      <c r="HZ154" s="55"/>
      <c r="IA154" s="55"/>
      <c r="IB154" s="55"/>
      <c r="IC154" s="55"/>
      <c r="ID154" s="55"/>
      <c r="IE154" s="55"/>
      <c r="IF154" s="55"/>
      <c r="IG154" s="55"/>
      <c r="IH154" s="55"/>
      <c r="II154" s="55"/>
      <c r="IJ154" s="55"/>
      <c r="IK154" s="55"/>
      <c r="IL154" s="55"/>
      <c r="IM154" s="55"/>
      <c r="IN154" s="55"/>
      <c r="IO154" s="55"/>
      <c r="IP154" s="55"/>
      <c r="IQ154" s="55"/>
      <c r="IR154" s="55"/>
      <c r="IS154" s="55"/>
      <c r="IT154" s="55"/>
      <c r="IU154" s="55"/>
      <c r="IV154" s="55"/>
    </row>
    <row r="155" spans="1:256" s="56" customFormat="1" ht="13.5" thickBot="1" x14ac:dyDescent="0.25">
      <c r="A155" s="15"/>
      <c r="B155" s="181" t="s">
        <v>97</v>
      </c>
      <c r="C155" s="185"/>
      <c r="D155" s="186">
        <v>0.2</v>
      </c>
      <c r="E155" s="187">
        <f>1-D155</f>
        <v>0.8</v>
      </c>
      <c r="F155" s="188">
        <f>D155*C155</f>
        <v>0</v>
      </c>
      <c r="G155" s="188">
        <f>E155*C155</f>
        <v>0</v>
      </c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162"/>
      <c r="AU155" s="162"/>
      <c r="AV155" s="55"/>
      <c r="AW155" s="55"/>
      <c r="AX155" s="55"/>
      <c r="AY155" s="55"/>
      <c r="AZ155" s="55"/>
      <c r="BA155" s="55"/>
      <c r="BB155" s="55"/>
      <c r="BC155" s="55"/>
      <c r="BD155" s="55"/>
      <c r="BE155" s="55"/>
      <c r="BF155" s="55"/>
      <c r="BG155" s="55"/>
      <c r="BH155" s="55"/>
      <c r="BI155" s="55"/>
      <c r="BJ155" s="55"/>
      <c r="BK155" s="55"/>
      <c r="BL155" s="55"/>
      <c r="BM155" s="55"/>
      <c r="BN155" s="55"/>
      <c r="BO155" s="55"/>
      <c r="BP155" s="55"/>
      <c r="BQ155" s="55"/>
      <c r="BR155" s="55"/>
      <c r="BS155" s="55"/>
      <c r="BT155" s="55"/>
      <c r="BU155" s="55"/>
      <c r="BV155" s="55"/>
      <c r="BW155" s="55"/>
      <c r="BX155" s="55"/>
      <c r="BY155" s="55"/>
      <c r="BZ155" s="55"/>
      <c r="CA155" s="55"/>
      <c r="CB155" s="55"/>
      <c r="CC155" s="55"/>
      <c r="CD155" s="55"/>
      <c r="CE155" s="55"/>
      <c r="CF155" s="55"/>
      <c r="CG155" s="55"/>
      <c r="CH155" s="55"/>
      <c r="CI155" s="55"/>
      <c r="CJ155" s="55"/>
      <c r="CK155" s="55"/>
      <c r="CL155" s="55"/>
      <c r="CM155" s="55"/>
      <c r="CN155" s="55"/>
      <c r="CO155" s="55"/>
      <c r="CP155" s="55"/>
      <c r="CQ155" s="55"/>
      <c r="CR155" s="55"/>
      <c r="CS155" s="55"/>
      <c r="CT155" s="55"/>
      <c r="CU155" s="55"/>
      <c r="CV155" s="55"/>
      <c r="CW155" s="55"/>
      <c r="CX155" s="55"/>
      <c r="CY155" s="55"/>
      <c r="CZ155" s="55"/>
      <c r="DA155" s="55"/>
      <c r="DB155" s="55"/>
      <c r="DC155" s="55"/>
      <c r="DD155" s="55"/>
      <c r="DE155" s="55"/>
      <c r="DF155" s="55"/>
      <c r="DG155" s="55"/>
      <c r="DH155" s="55"/>
      <c r="DI155" s="55"/>
      <c r="DJ155" s="55"/>
      <c r="DK155" s="55"/>
      <c r="DL155" s="55"/>
      <c r="DM155" s="55"/>
      <c r="DN155" s="55"/>
      <c r="DO155" s="55"/>
      <c r="DP155" s="55"/>
      <c r="DQ155" s="55"/>
      <c r="DR155" s="55"/>
      <c r="DS155" s="55"/>
      <c r="DT155" s="55"/>
      <c r="DU155" s="55"/>
      <c r="DV155" s="55"/>
      <c r="DW155" s="55"/>
      <c r="DX155" s="55"/>
      <c r="DY155" s="55"/>
      <c r="DZ155" s="55"/>
      <c r="EA155" s="55"/>
      <c r="EB155" s="55"/>
      <c r="EC155" s="55"/>
      <c r="ED155" s="55"/>
      <c r="EE155" s="55"/>
      <c r="EF155" s="55"/>
      <c r="EG155" s="55"/>
      <c r="EH155" s="55"/>
      <c r="EI155" s="55"/>
      <c r="EJ155" s="55"/>
      <c r="EK155" s="55"/>
      <c r="EL155" s="55"/>
      <c r="EM155" s="55"/>
      <c r="EN155" s="55"/>
      <c r="EO155" s="55"/>
      <c r="EP155" s="55"/>
      <c r="EQ155" s="55"/>
      <c r="ER155" s="55"/>
      <c r="ES155" s="55"/>
      <c r="ET155" s="55"/>
      <c r="EU155" s="55"/>
      <c r="EV155" s="55"/>
      <c r="EW155" s="55"/>
      <c r="EX155" s="55"/>
      <c r="EY155" s="55"/>
      <c r="EZ155" s="55"/>
      <c r="FA155" s="55"/>
      <c r="FB155" s="55"/>
      <c r="FC155" s="55"/>
      <c r="FD155" s="55"/>
      <c r="FE155" s="55"/>
      <c r="FF155" s="55"/>
      <c r="FG155" s="55"/>
      <c r="FH155" s="55"/>
      <c r="FI155" s="55"/>
      <c r="FJ155" s="55"/>
      <c r="FK155" s="55"/>
      <c r="FL155" s="55"/>
      <c r="FM155" s="55"/>
      <c r="FN155" s="55"/>
      <c r="FO155" s="55"/>
      <c r="FP155" s="55"/>
      <c r="FQ155" s="55"/>
      <c r="FR155" s="55"/>
      <c r="FS155" s="55"/>
      <c r="FT155" s="55"/>
      <c r="FU155" s="55"/>
      <c r="FV155" s="55"/>
      <c r="FW155" s="55"/>
      <c r="FX155" s="55"/>
      <c r="FY155" s="55"/>
      <c r="FZ155" s="55"/>
      <c r="GA155" s="55"/>
      <c r="GB155" s="55"/>
      <c r="GC155" s="55"/>
      <c r="GD155" s="55"/>
      <c r="GE155" s="55"/>
      <c r="GF155" s="55"/>
      <c r="GG155" s="55"/>
      <c r="GH155" s="55"/>
      <c r="GI155" s="55"/>
      <c r="GJ155" s="55"/>
      <c r="GK155" s="55"/>
      <c r="GL155" s="55"/>
      <c r="GM155" s="55"/>
      <c r="GN155" s="55"/>
      <c r="GO155" s="55"/>
      <c r="GP155" s="55"/>
      <c r="GQ155" s="55"/>
      <c r="GR155" s="55"/>
      <c r="GS155" s="55"/>
      <c r="GT155" s="55"/>
      <c r="GU155" s="55"/>
      <c r="GV155" s="55"/>
      <c r="GW155" s="55"/>
      <c r="GX155" s="55"/>
      <c r="GY155" s="55"/>
      <c r="GZ155" s="55"/>
      <c r="HA155" s="55"/>
      <c r="HB155" s="55"/>
      <c r="HC155" s="55"/>
      <c r="HD155" s="55"/>
      <c r="HE155" s="55"/>
      <c r="HF155" s="55"/>
      <c r="HG155" s="55"/>
      <c r="HH155" s="55"/>
      <c r="HI155" s="55"/>
      <c r="HJ155" s="55"/>
      <c r="HK155" s="55"/>
      <c r="HL155" s="55"/>
      <c r="HM155" s="55"/>
      <c r="HN155" s="55"/>
      <c r="HO155" s="55"/>
      <c r="HP155" s="55"/>
      <c r="HQ155" s="55"/>
      <c r="HR155" s="55"/>
      <c r="HS155" s="55"/>
      <c r="HT155" s="55"/>
      <c r="HU155" s="55"/>
      <c r="HV155" s="55"/>
      <c r="HW155" s="55"/>
      <c r="HX155" s="55"/>
      <c r="HY155" s="55"/>
      <c r="HZ155" s="55"/>
      <c r="IA155" s="55"/>
      <c r="IB155" s="55"/>
      <c r="IC155" s="55"/>
      <c r="ID155" s="55"/>
      <c r="IE155" s="55"/>
      <c r="IF155" s="55"/>
      <c r="IG155" s="55"/>
      <c r="IH155" s="55"/>
      <c r="II155" s="55"/>
      <c r="IJ155" s="55"/>
      <c r="IK155" s="55"/>
      <c r="IL155" s="55"/>
      <c r="IM155" s="55"/>
      <c r="IN155" s="55"/>
      <c r="IO155" s="55"/>
      <c r="IP155" s="55"/>
      <c r="IQ155" s="55"/>
      <c r="IR155" s="55"/>
      <c r="IS155" s="55"/>
      <c r="IT155" s="55"/>
      <c r="IU155" s="55"/>
      <c r="IV155" s="55"/>
    </row>
    <row r="156" spans="1:256" s="56" customFormat="1" ht="13.5" thickBot="1" x14ac:dyDescent="0.25">
      <c r="A156" s="15"/>
      <c r="B156" s="181" t="s">
        <v>98</v>
      </c>
      <c r="C156" s="189">
        <f>SUM(C151:C155)</f>
        <v>0</v>
      </c>
      <c r="D156" s="190" t="e">
        <f>(F156+0.0000000000001)/(C156)</f>
        <v>#DIV/0!</v>
      </c>
      <c r="E156" s="187">
        <f>G156/(C156+0.0000000001)</f>
        <v>0</v>
      </c>
      <c r="F156" s="191">
        <f>SUM(F151:F155)</f>
        <v>0</v>
      </c>
      <c r="G156" s="191">
        <f>SUM(G151:G155)</f>
        <v>0</v>
      </c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162"/>
      <c r="AU156" s="162"/>
      <c r="AV156" s="55"/>
      <c r="AW156" s="55"/>
      <c r="AX156" s="55"/>
      <c r="AY156" s="55"/>
      <c r="AZ156" s="55"/>
      <c r="BA156" s="55"/>
      <c r="BB156" s="55"/>
      <c r="BC156" s="55"/>
      <c r="BD156" s="55"/>
      <c r="BE156" s="55"/>
      <c r="BF156" s="55"/>
      <c r="BG156" s="55"/>
      <c r="BH156" s="55"/>
      <c r="BI156" s="55"/>
      <c r="BJ156" s="55"/>
      <c r="BK156" s="55"/>
      <c r="BL156" s="55"/>
      <c r="BM156" s="55"/>
      <c r="BN156" s="55"/>
      <c r="BO156" s="55"/>
      <c r="BP156" s="55"/>
      <c r="BQ156" s="55"/>
      <c r="BR156" s="55"/>
      <c r="BS156" s="55"/>
      <c r="BT156" s="55"/>
      <c r="BU156" s="55"/>
      <c r="BV156" s="55"/>
      <c r="BW156" s="55"/>
      <c r="BX156" s="55"/>
      <c r="BY156" s="55"/>
      <c r="BZ156" s="55"/>
      <c r="CA156" s="55"/>
      <c r="CB156" s="55"/>
      <c r="CC156" s="55"/>
      <c r="CD156" s="55"/>
      <c r="CE156" s="55"/>
      <c r="CF156" s="55"/>
      <c r="CG156" s="55"/>
      <c r="CH156" s="55"/>
      <c r="CI156" s="55"/>
      <c r="CJ156" s="55"/>
      <c r="CK156" s="55"/>
      <c r="CL156" s="55"/>
      <c r="CM156" s="55"/>
      <c r="CN156" s="55"/>
      <c r="CO156" s="55"/>
      <c r="CP156" s="55"/>
      <c r="CQ156" s="55"/>
      <c r="CR156" s="55"/>
      <c r="CS156" s="55"/>
      <c r="CT156" s="55"/>
      <c r="CU156" s="55"/>
      <c r="CV156" s="55"/>
      <c r="CW156" s="55"/>
      <c r="CX156" s="55"/>
      <c r="CY156" s="55"/>
      <c r="CZ156" s="55"/>
      <c r="DA156" s="55"/>
      <c r="DB156" s="55"/>
      <c r="DC156" s="55"/>
      <c r="DD156" s="55"/>
      <c r="DE156" s="55"/>
      <c r="DF156" s="55"/>
      <c r="DG156" s="55"/>
      <c r="DH156" s="55"/>
      <c r="DI156" s="55"/>
      <c r="DJ156" s="55"/>
      <c r="DK156" s="55"/>
      <c r="DL156" s="55"/>
      <c r="DM156" s="55"/>
      <c r="DN156" s="55"/>
      <c r="DO156" s="55"/>
      <c r="DP156" s="55"/>
      <c r="DQ156" s="55"/>
      <c r="DR156" s="55"/>
      <c r="DS156" s="55"/>
      <c r="DT156" s="55"/>
      <c r="DU156" s="55"/>
      <c r="DV156" s="55"/>
      <c r="DW156" s="55"/>
      <c r="DX156" s="55"/>
      <c r="DY156" s="55"/>
      <c r="DZ156" s="55"/>
      <c r="EA156" s="55"/>
      <c r="EB156" s="55"/>
      <c r="EC156" s="55"/>
      <c r="ED156" s="55"/>
      <c r="EE156" s="55"/>
      <c r="EF156" s="55"/>
      <c r="EG156" s="55"/>
      <c r="EH156" s="55"/>
      <c r="EI156" s="55"/>
      <c r="EJ156" s="55"/>
      <c r="EK156" s="55"/>
      <c r="EL156" s="55"/>
      <c r="EM156" s="55"/>
      <c r="EN156" s="55"/>
      <c r="EO156" s="55"/>
      <c r="EP156" s="55"/>
      <c r="EQ156" s="55"/>
      <c r="ER156" s="55"/>
      <c r="ES156" s="55"/>
      <c r="ET156" s="55"/>
      <c r="EU156" s="55"/>
      <c r="EV156" s="55"/>
      <c r="EW156" s="55"/>
      <c r="EX156" s="55"/>
      <c r="EY156" s="55"/>
      <c r="EZ156" s="55"/>
      <c r="FA156" s="55"/>
      <c r="FB156" s="55"/>
      <c r="FC156" s="55"/>
      <c r="FD156" s="55"/>
      <c r="FE156" s="55"/>
      <c r="FF156" s="55"/>
      <c r="FG156" s="55"/>
      <c r="FH156" s="55"/>
      <c r="FI156" s="55"/>
      <c r="FJ156" s="55"/>
      <c r="FK156" s="55"/>
      <c r="FL156" s="55"/>
      <c r="FM156" s="55"/>
      <c r="FN156" s="55"/>
      <c r="FO156" s="55"/>
      <c r="FP156" s="55"/>
      <c r="FQ156" s="55"/>
      <c r="FR156" s="55"/>
      <c r="FS156" s="55"/>
      <c r="FT156" s="55"/>
      <c r="FU156" s="55"/>
      <c r="FV156" s="55"/>
      <c r="FW156" s="55"/>
      <c r="FX156" s="55"/>
      <c r="FY156" s="55"/>
      <c r="FZ156" s="55"/>
      <c r="GA156" s="55"/>
      <c r="GB156" s="55"/>
      <c r="GC156" s="55"/>
      <c r="GD156" s="55"/>
      <c r="GE156" s="55"/>
      <c r="GF156" s="55"/>
      <c r="GG156" s="55"/>
      <c r="GH156" s="55"/>
      <c r="GI156" s="55"/>
      <c r="GJ156" s="55"/>
      <c r="GK156" s="55"/>
      <c r="GL156" s="55"/>
      <c r="GM156" s="55"/>
      <c r="GN156" s="55"/>
      <c r="GO156" s="55"/>
      <c r="GP156" s="55"/>
      <c r="GQ156" s="55"/>
      <c r="GR156" s="55"/>
      <c r="GS156" s="55"/>
      <c r="GT156" s="55"/>
      <c r="GU156" s="55"/>
      <c r="GV156" s="55"/>
      <c r="GW156" s="55"/>
      <c r="GX156" s="55"/>
      <c r="GY156" s="55"/>
      <c r="GZ156" s="55"/>
      <c r="HA156" s="55"/>
      <c r="HB156" s="55"/>
      <c r="HC156" s="55"/>
      <c r="HD156" s="55"/>
      <c r="HE156" s="55"/>
      <c r="HF156" s="55"/>
      <c r="HG156" s="55"/>
      <c r="HH156" s="55"/>
      <c r="HI156" s="55"/>
      <c r="HJ156" s="55"/>
      <c r="HK156" s="55"/>
      <c r="HL156" s="55"/>
      <c r="HM156" s="55"/>
      <c r="HN156" s="55"/>
      <c r="HO156" s="55"/>
      <c r="HP156" s="55"/>
      <c r="HQ156" s="55"/>
      <c r="HR156" s="55"/>
      <c r="HS156" s="55"/>
      <c r="HT156" s="55"/>
      <c r="HU156" s="55"/>
      <c r="HV156" s="55"/>
      <c r="HW156" s="55"/>
      <c r="HX156" s="55"/>
      <c r="HY156" s="55"/>
      <c r="HZ156" s="55"/>
      <c r="IA156" s="55"/>
      <c r="IB156" s="55"/>
      <c r="IC156" s="55"/>
      <c r="ID156" s="55"/>
      <c r="IE156" s="55"/>
      <c r="IF156" s="55"/>
      <c r="IG156" s="55"/>
      <c r="IH156" s="55"/>
      <c r="II156" s="55"/>
      <c r="IJ156" s="55"/>
      <c r="IK156" s="55"/>
      <c r="IL156" s="55"/>
      <c r="IM156" s="55"/>
      <c r="IN156" s="55"/>
      <c r="IO156" s="55"/>
      <c r="IP156" s="55"/>
      <c r="IQ156" s="55"/>
      <c r="IR156" s="55"/>
      <c r="IS156" s="55"/>
      <c r="IT156" s="55"/>
      <c r="IU156" s="55"/>
      <c r="IV156" s="55"/>
    </row>
    <row r="157" spans="1:256" s="21" customFormat="1" x14ac:dyDescent="0.2">
      <c r="A157" s="15"/>
      <c r="B157" s="192"/>
      <c r="C157" s="193"/>
      <c r="D157" s="193"/>
      <c r="E157" s="193"/>
      <c r="F157" s="193"/>
      <c r="G157" s="194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160"/>
      <c r="AU157" s="16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</row>
    <row r="158" spans="1:256" s="56" customFormat="1" ht="13.5" thickBot="1" x14ac:dyDescent="0.25">
      <c r="A158" s="15"/>
      <c r="B158" s="195" t="s">
        <v>99</v>
      </c>
      <c r="C158" s="196"/>
      <c r="D158" s="196"/>
      <c r="E158" s="163"/>
      <c r="F158" s="163"/>
      <c r="G158" s="164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162"/>
      <c r="AU158" s="162"/>
      <c r="AV158" s="55"/>
      <c r="AW158" s="55"/>
      <c r="AX158" s="55"/>
      <c r="AY158" s="55"/>
      <c r="AZ158" s="55"/>
      <c r="BA158" s="55"/>
      <c r="BB158" s="55"/>
      <c r="BC158" s="55"/>
      <c r="BD158" s="55"/>
      <c r="BE158" s="55"/>
      <c r="BF158" s="55"/>
      <c r="BG158" s="55"/>
      <c r="BH158" s="55"/>
      <c r="BI158" s="55"/>
      <c r="BJ158" s="55"/>
      <c r="BK158" s="55"/>
      <c r="BL158" s="55"/>
      <c r="BM158" s="55"/>
      <c r="BN158" s="55"/>
      <c r="BO158" s="55"/>
      <c r="BP158" s="55"/>
      <c r="BQ158" s="55"/>
      <c r="BR158" s="55"/>
      <c r="BS158" s="55"/>
      <c r="BT158" s="55"/>
      <c r="BU158" s="55"/>
      <c r="BV158" s="55"/>
      <c r="BW158" s="55"/>
      <c r="BX158" s="55"/>
      <c r="BY158" s="55"/>
      <c r="BZ158" s="55"/>
      <c r="CA158" s="55"/>
      <c r="CB158" s="55"/>
      <c r="CC158" s="55"/>
      <c r="CD158" s="55"/>
      <c r="CE158" s="55"/>
      <c r="CF158" s="55"/>
      <c r="CG158" s="55"/>
      <c r="CH158" s="55"/>
      <c r="CI158" s="55"/>
      <c r="CJ158" s="55"/>
      <c r="CK158" s="55"/>
      <c r="CL158" s="55"/>
      <c r="CM158" s="55"/>
      <c r="CN158" s="55"/>
      <c r="CO158" s="55"/>
      <c r="CP158" s="55"/>
      <c r="CQ158" s="55"/>
      <c r="CR158" s="55"/>
      <c r="CS158" s="55"/>
      <c r="CT158" s="55"/>
      <c r="CU158" s="55"/>
      <c r="CV158" s="55"/>
      <c r="CW158" s="55"/>
      <c r="CX158" s="55"/>
      <c r="CY158" s="55"/>
      <c r="CZ158" s="55"/>
      <c r="DA158" s="55"/>
      <c r="DB158" s="55"/>
      <c r="DC158" s="55"/>
      <c r="DD158" s="55"/>
      <c r="DE158" s="55"/>
      <c r="DF158" s="55"/>
      <c r="DG158" s="55"/>
      <c r="DH158" s="55"/>
      <c r="DI158" s="55"/>
      <c r="DJ158" s="55"/>
      <c r="DK158" s="55"/>
      <c r="DL158" s="55"/>
      <c r="DM158" s="55"/>
      <c r="DN158" s="55"/>
      <c r="DO158" s="55"/>
      <c r="DP158" s="55"/>
      <c r="DQ158" s="55"/>
      <c r="DR158" s="55"/>
      <c r="DS158" s="55"/>
      <c r="DT158" s="55"/>
      <c r="DU158" s="55"/>
      <c r="DV158" s="55"/>
      <c r="DW158" s="55"/>
      <c r="DX158" s="55"/>
      <c r="DY158" s="55"/>
      <c r="DZ158" s="55"/>
      <c r="EA158" s="55"/>
      <c r="EB158" s="55"/>
      <c r="EC158" s="55"/>
      <c r="ED158" s="55"/>
      <c r="EE158" s="55"/>
      <c r="EF158" s="55"/>
      <c r="EG158" s="55"/>
      <c r="EH158" s="55"/>
      <c r="EI158" s="55"/>
      <c r="EJ158" s="55"/>
      <c r="EK158" s="55"/>
      <c r="EL158" s="55"/>
      <c r="EM158" s="55"/>
      <c r="EN158" s="55"/>
      <c r="EO158" s="55"/>
      <c r="EP158" s="55"/>
      <c r="EQ158" s="55"/>
      <c r="ER158" s="55"/>
      <c r="ES158" s="55"/>
      <c r="ET158" s="55"/>
      <c r="EU158" s="55"/>
      <c r="EV158" s="55"/>
      <c r="EW158" s="55"/>
      <c r="EX158" s="55"/>
      <c r="EY158" s="55"/>
      <c r="EZ158" s="55"/>
      <c r="FA158" s="55"/>
      <c r="FB158" s="55"/>
      <c r="FC158" s="55"/>
      <c r="FD158" s="55"/>
      <c r="FE158" s="55"/>
      <c r="FF158" s="55"/>
      <c r="FG158" s="55"/>
      <c r="FH158" s="55"/>
      <c r="FI158" s="55"/>
      <c r="FJ158" s="55"/>
      <c r="FK158" s="55"/>
      <c r="FL158" s="55"/>
      <c r="FM158" s="55"/>
      <c r="FN158" s="55"/>
      <c r="FO158" s="55"/>
      <c r="FP158" s="55"/>
      <c r="FQ158" s="55"/>
      <c r="FR158" s="55"/>
      <c r="FS158" s="55"/>
      <c r="FT158" s="55"/>
      <c r="FU158" s="55"/>
      <c r="FV158" s="55"/>
      <c r="FW158" s="55"/>
      <c r="FX158" s="55"/>
      <c r="FY158" s="55"/>
      <c r="FZ158" s="55"/>
      <c r="GA158" s="55"/>
      <c r="GB158" s="55"/>
      <c r="GC158" s="55"/>
      <c r="GD158" s="55"/>
      <c r="GE158" s="55"/>
      <c r="GF158" s="55"/>
      <c r="GG158" s="55"/>
      <c r="GH158" s="55"/>
      <c r="GI158" s="55"/>
      <c r="GJ158" s="55"/>
      <c r="GK158" s="55"/>
      <c r="GL158" s="55"/>
      <c r="GM158" s="55"/>
      <c r="GN158" s="55"/>
      <c r="GO158" s="55"/>
      <c r="GP158" s="55"/>
      <c r="GQ158" s="55"/>
      <c r="GR158" s="55"/>
      <c r="GS158" s="55"/>
      <c r="GT158" s="55"/>
      <c r="GU158" s="55"/>
      <c r="GV158" s="55"/>
      <c r="GW158" s="55"/>
      <c r="GX158" s="55"/>
      <c r="GY158" s="55"/>
      <c r="GZ158" s="55"/>
      <c r="HA158" s="55"/>
      <c r="HB158" s="55"/>
      <c r="HC158" s="55"/>
      <c r="HD158" s="55"/>
      <c r="HE158" s="55"/>
      <c r="HF158" s="55"/>
      <c r="HG158" s="55"/>
      <c r="HH158" s="55"/>
      <c r="HI158" s="55"/>
      <c r="HJ158" s="55"/>
      <c r="HK158" s="55"/>
      <c r="HL158" s="55"/>
      <c r="HM158" s="55"/>
      <c r="HN158" s="55"/>
      <c r="HO158" s="55"/>
      <c r="HP158" s="55"/>
      <c r="HQ158" s="55"/>
      <c r="HR158" s="55"/>
      <c r="HS158" s="55"/>
      <c r="HT158" s="55"/>
      <c r="HU158" s="55"/>
      <c r="HV158" s="55"/>
      <c r="HW158" s="55"/>
      <c r="HX158" s="55"/>
      <c r="HY158" s="55"/>
      <c r="HZ158" s="55"/>
      <c r="IA158" s="55"/>
      <c r="IB158" s="55"/>
      <c r="IC158" s="55"/>
      <c r="ID158" s="55"/>
      <c r="IE158" s="55"/>
      <c r="IF158" s="55"/>
      <c r="IG158" s="55"/>
      <c r="IH158" s="55"/>
      <c r="II158" s="55"/>
      <c r="IJ158" s="55"/>
      <c r="IK158" s="55"/>
      <c r="IL158" s="55"/>
      <c r="IM158" s="55"/>
      <c r="IN158" s="55"/>
      <c r="IO158" s="55"/>
      <c r="IP158" s="55"/>
      <c r="IQ158" s="55"/>
      <c r="IR158" s="55"/>
      <c r="IS158" s="55"/>
      <c r="IT158" s="55"/>
      <c r="IU158" s="55"/>
      <c r="IV158" s="55"/>
    </row>
    <row r="159" spans="1:256" s="21" customFormat="1" x14ac:dyDescent="0.2">
      <c r="A159" s="15"/>
      <c r="B159" s="39" t="s">
        <v>87</v>
      </c>
      <c r="C159" s="26" t="s">
        <v>93</v>
      </c>
      <c r="D159" s="40" t="s">
        <v>100</v>
      </c>
      <c r="E159" s="26" t="s">
        <v>102</v>
      </c>
      <c r="F159" s="26"/>
      <c r="G159" s="26" t="s">
        <v>103</v>
      </c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160"/>
      <c r="AU159" s="16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</row>
    <row r="160" spans="1:256" s="21" customFormat="1" ht="13.5" thickBot="1" x14ac:dyDescent="0.25">
      <c r="A160" s="15"/>
      <c r="B160" s="80" t="s">
        <v>91</v>
      </c>
      <c r="C160" s="32" t="s">
        <v>90</v>
      </c>
      <c r="D160" s="81" t="s">
        <v>101</v>
      </c>
      <c r="E160" s="197" t="s">
        <v>105</v>
      </c>
      <c r="F160" s="32"/>
      <c r="G160" s="32" t="s">
        <v>104</v>
      </c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160"/>
      <c r="AU160" s="16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</row>
    <row r="161" spans="1:256" s="21" customFormat="1" ht="13.5" thickBot="1" x14ac:dyDescent="0.25">
      <c r="A161" s="15"/>
      <c r="B161" s="181" t="s">
        <v>94</v>
      </c>
      <c r="C161" s="188">
        <f>G151</f>
        <v>0</v>
      </c>
      <c r="D161" s="186">
        <v>0.06</v>
      </c>
      <c r="E161" s="198">
        <v>240</v>
      </c>
      <c r="F161" s="199"/>
      <c r="G161" s="200">
        <f>PMT(D161/12,(E161+0.00000001),C161)*-1</f>
        <v>0</v>
      </c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160"/>
      <c r="AU161" s="16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</row>
    <row r="162" spans="1:256" s="21" customFormat="1" ht="13.5" thickBot="1" x14ac:dyDescent="0.25">
      <c r="A162" s="15"/>
      <c r="B162" s="181" t="s">
        <v>95</v>
      </c>
      <c r="C162" s="188">
        <f>G152</f>
        <v>0</v>
      </c>
      <c r="D162" s="186">
        <v>0.06</v>
      </c>
      <c r="E162" s="198">
        <v>240</v>
      </c>
      <c r="F162" s="199"/>
      <c r="G162" s="200">
        <f>PMT(D162/12,(E162+0.00000001),C162)*-1</f>
        <v>0</v>
      </c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160"/>
      <c r="AU162" s="16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</row>
    <row r="163" spans="1:256" s="21" customFormat="1" ht="13.5" thickBot="1" x14ac:dyDescent="0.25">
      <c r="A163" s="15"/>
      <c r="B163" s="181" t="s">
        <v>9</v>
      </c>
      <c r="C163" s="188">
        <f>G153</f>
        <v>0</v>
      </c>
      <c r="D163" s="186">
        <v>0.06</v>
      </c>
      <c r="E163" s="198">
        <v>240</v>
      </c>
      <c r="F163" s="199"/>
      <c r="G163" s="200">
        <f>PMT(D163/12,(E163+0.00000001),C163)*-1</f>
        <v>0</v>
      </c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160"/>
      <c r="AU163" s="16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</row>
    <row r="164" spans="1:256" s="21" customFormat="1" ht="13.5" thickBot="1" x14ac:dyDescent="0.25">
      <c r="A164" s="15"/>
      <c r="B164" s="181" t="s">
        <v>96</v>
      </c>
      <c r="C164" s="188">
        <f>G154</f>
        <v>0</v>
      </c>
      <c r="D164" s="186">
        <v>0.06</v>
      </c>
      <c r="E164" s="198">
        <v>240</v>
      </c>
      <c r="F164" s="199"/>
      <c r="G164" s="200">
        <f>PMT(D164/12,(E164+0.00000001),C164)*-1</f>
        <v>0</v>
      </c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160"/>
      <c r="AU164" s="16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</row>
    <row r="165" spans="1:256" s="21" customFormat="1" ht="13.5" thickBot="1" x14ac:dyDescent="0.25">
      <c r="A165" s="15"/>
      <c r="B165" s="181" t="s">
        <v>97</v>
      </c>
      <c r="C165" s="188">
        <f>G155</f>
        <v>0</v>
      </c>
      <c r="D165" s="186">
        <v>0.06</v>
      </c>
      <c r="E165" s="198">
        <v>240</v>
      </c>
      <c r="F165" s="199"/>
      <c r="G165" s="200">
        <f>PMT(D165/12,(E165+0.00000001),C165)*-1</f>
        <v>0</v>
      </c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160"/>
      <c r="AU165" s="16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</row>
    <row r="166" spans="1:256" s="21" customFormat="1" ht="13.5" thickBot="1" x14ac:dyDescent="0.25">
      <c r="A166" s="15"/>
      <c r="B166" s="181" t="s">
        <v>106</v>
      </c>
      <c r="C166" s="191">
        <f>SUM(C161:C165)</f>
        <v>0</v>
      </c>
      <c r="D166" s="397">
        <f>AVERAGE(D161:D165)</f>
        <v>0.06</v>
      </c>
      <c r="E166" s="201"/>
      <c r="F166" s="202"/>
      <c r="G166" s="202">
        <f>SUM(G161:G165)</f>
        <v>0</v>
      </c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160"/>
      <c r="AU166" s="16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</row>
    <row r="167" spans="1:256" s="21" customFormat="1" x14ac:dyDescent="0.2">
      <c r="A167" s="15"/>
      <c r="B167" s="192"/>
      <c r="C167" s="193"/>
      <c r="D167" s="193"/>
      <c r="E167" s="193"/>
      <c r="F167" s="193"/>
      <c r="G167" s="194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160"/>
      <c r="AU167" s="16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</row>
    <row r="168" spans="1:256" s="56" customFormat="1" ht="13.5" thickBot="1" x14ac:dyDescent="0.25">
      <c r="A168" s="15"/>
      <c r="B168" s="452" t="s">
        <v>107</v>
      </c>
      <c r="C168" s="447"/>
      <c r="D168" s="163"/>
      <c r="E168" s="163"/>
      <c r="F168" s="163"/>
      <c r="G168" s="164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162"/>
      <c r="AU168" s="162"/>
      <c r="AV168" s="55"/>
      <c r="AW168" s="55"/>
      <c r="AX168" s="55"/>
      <c r="AY168" s="55"/>
      <c r="AZ168" s="55"/>
      <c r="BA168" s="55"/>
      <c r="BB168" s="55"/>
      <c r="BC168" s="55"/>
      <c r="BD168" s="55"/>
      <c r="BE168" s="55"/>
      <c r="BF168" s="55"/>
      <c r="BG168" s="55"/>
      <c r="BH168" s="55"/>
      <c r="BI168" s="55"/>
      <c r="BJ168" s="55"/>
      <c r="BK168" s="55"/>
      <c r="BL168" s="55"/>
      <c r="BM168" s="55"/>
      <c r="BN168" s="55"/>
      <c r="BO168" s="55"/>
      <c r="BP168" s="55"/>
      <c r="BQ168" s="55"/>
      <c r="BR168" s="55"/>
      <c r="BS168" s="55"/>
      <c r="BT168" s="55"/>
      <c r="BU168" s="55"/>
      <c r="BV168" s="55"/>
      <c r="BW168" s="55"/>
      <c r="BX168" s="55"/>
      <c r="BY168" s="55"/>
      <c r="BZ168" s="55"/>
      <c r="CA168" s="55"/>
      <c r="CB168" s="55"/>
      <c r="CC168" s="55"/>
      <c r="CD168" s="55"/>
      <c r="CE168" s="55"/>
      <c r="CF168" s="55"/>
      <c r="CG168" s="55"/>
      <c r="CH168" s="55"/>
      <c r="CI168" s="55"/>
      <c r="CJ168" s="55"/>
      <c r="CK168" s="55"/>
      <c r="CL168" s="55"/>
      <c r="CM168" s="55"/>
      <c r="CN168" s="55"/>
      <c r="CO168" s="55"/>
      <c r="CP168" s="55"/>
      <c r="CQ168" s="55"/>
      <c r="CR168" s="55"/>
      <c r="CS168" s="55"/>
      <c r="CT168" s="55"/>
      <c r="CU168" s="55"/>
      <c r="CV168" s="55"/>
      <c r="CW168" s="55"/>
      <c r="CX168" s="55"/>
      <c r="CY168" s="55"/>
      <c r="CZ168" s="55"/>
      <c r="DA168" s="55"/>
      <c r="DB168" s="55"/>
      <c r="DC168" s="55"/>
      <c r="DD168" s="55"/>
      <c r="DE168" s="55"/>
      <c r="DF168" s="55"/>
      <c r="DG168" s="55"/>
      <c r="DH168" s="55"/>
      <c r="DI168" s="55"/>
      <c r="DJ168" s="55"/>
      <c r="DK168" s="55"/>
      <c r="DL168" s="55"/>
      <c r="DM168" s="55"/>
      <c r="DN168" s="55"/>
      <c r="DO168" s="55"/>
      <c r="DP168" s="55"/>
      <c r="DQ168" s="55"/>
      <c r="DR168" s="55"/>
      <c r="DS168" s="55"/>
      <c r="DT168" s="55"/>
      <c r="DU168" s="55"/>
      <c r="DV168" s="55"/>
      <c r="DW168" s="55"/>
      <c r="DX168" s="55"/>
      <c r="DY168" s="55"/>
      <c r="DZ168" s="55"/>
      <c r="EA168" s="55"/>
      <c r="EB168" s="55"/>
      <c r="EC168" s="55"/>
      <c r="ED168" s="55"/>
      <c r="EE168" s="55"/>
      <c r="EF168" s="55"/>
      <c r="EG168" s="55"/>
      <c r="EH168" s="55"/>
      <c r="EI168" s="55"/>
      <c r="EJ168" s="55"/>
      <c r="EK168" s="55"/>
      <c r="EL168" s="55"/>
      <c r="EM168" s="55"/>
      <c r="EN168" s="55"/>
      <c r="EO168" s="55"/>
      <c r="EP168" s="55"/>
      <c r="EQ168" s="55"/>
      <c r="ER168" s="55"/>
      <c r="ES168" s="55"/>
      <c r="ET168" s="55"/>
      <c r="EU168" s="55"/>
      <c r="EV168" s="55"/>
      <c r="EW168" s="55"/>
      <c r="EX168" s="55"/>
      <c r="EY168" s="55"/>
      <c r="EZ168" s="55"/>
      <c r="FA168" s="55"/>
      <c r="FB168" s="55"/>
      <c r="FC168" s="55"/>
      <c r="FD168" s="55"/>
      <c r="FE168" s="55"/>
      <c r="FF168" s="55"/>
      <c r="FG168" s="55"/>
      <c r="FH168" s="55"/>
      <c r="FI168" s="55"/>
      <c r="FJ168" s="55"/>
      <c r="FK168" s="55"/>
      <c r="FL168" s="55"/>
      <c r="FM168" s="55"/>
      <c r="FN168" s="55"/>
      <c r="FO168" s="55"/>
      <c r="FP168" s="55"/>
      <c r="FQ168" s="55"/>
      <c r="FR168" s="55"/>
      <c r="FS168" s="55"/>
      <c r="FT168" s="55"/>
      <c r="FU168" s="55"/>
      <c r="FV168" s="55"/>
      <c r="FW168" s="55"/>
      <c r="FX168" s="55"/>
      <c r="FY168" s="55"/>
      <c r="FZ168" s="55"/>
      <c r="GA168" s="55"/>
      <c r="GB168" s="55"/>
      <c r="GC168" s="55"/>
      <c r="GD168" s="55"/>
      <c r="GE168" s="55"/>
      <c r="GF168" s="55"/>
      <c r="GG168" s="55"/>
      <c r="GH168" s="55"/>
      <c r="GI168" s="55"/>
      <c r="GJ168" s="55"/>
      <c r="GK168" s="55"/>
      <c r="GL168" s="55"/>
      <c r="GM168" s="55"/>
      <c r="GN168" s="55"/>
      <c r="GO168" s="55"/>
      <c r="GP168" s="55"/>
      <c r="GQ168" s="55"/>
      <c r="GR168" s="55"/>
      <c r="GS168" s="55"/>
      <c r="GT168" s="55"/>
      <c r="GU168" s="55"/>
      <c r="GV168" s="55"/>
      <c r="GW168" s="55"/>
      <c r="GX168" s="55"/>
      <c r="GY168" s="55"/>
      <c r="GZ168" s="55"/>
      <c r="HA168" s="55"/>
      <c r="HB168" s="55"/>
      <c r="HC168" s="55"/>
      <c r="HD168" s="55"/>
      <c r="HE168" s="55"/>
      <c r="HF168" s="55"/>
      <c r="HG168" s="55"/>
      <c r="HH168" s="55"/>
      <c r="HI168" s="55"/>
      <c r="HJ168" s="55"/>
      <c r="HK168" s="55"/>
      <c r="HL168" s="55"/>
      <c r="HM168" s="55"/>
      <c r="HN168" s="55"/>
      <c r="HO168" s="55"/>
      <c r="HP168" s="55"/>
      <c r="HQ168" s="55"/>
      <c r="HR168" s="55"/>
      <c r="HS168" s="55"/>
      <c r="HT168" s="55"/>
      <c r="HU168" s="55"/>
      <c r="HV168" s="55"/>
      <c r="HW168" s="55"/>
      <c r="HX168" s="55"/>
      <c r="HY168" s="55"/>
      <c r="HZ168" s="55"/>
      <c r="IA168" s="55"/>
      <c r="IB168" s="55"/>
      <c r="IC168" s="55"/>
      <c r="ID168" s="55"/>
      <c r="IE168" s="55"/>
      <c r="IF168" s="55"/>
      <c r="IG168" s="55"/>
      <c r="IH168" s="55"/>
      <c r="II168" s="55"/>
      <c r="IJ168" s="55"/>
      <c r="IK168" s="55"/>
      <c r="IL168" s="55"/>
      <c r="IM168" s="55"/>
      <c r="IN168" s="55"/>
      <c r="IO168" s="55"/>
      <c r="IP168" s="55"/>
      <c r="IQ168" s="55"/>
      <c r="IR168" s="55"/>
      <c r="IS168" s="55"/>
      <c r="IT168" s="55"/>
      <c r="IU168" s="55"/>
      <c r="IV168" s="55"/>
    </row>
    <row r="169" spans="1:256" s="21" customFormat="1" x14ac:dyDescent="0.2">
      <c r="A169" s="15"/>
      <c r="B169" s="42"/>
      <c r="C169" s="43"/>
      <c r="D169" s="43"/>
      <c r="E169" s="43"/>
      <c r="F169" s="44"/>
      <c r="G169" s="33" t="s">
        <v>103</v>
      </c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160"/>
      <c r="AU169" s="16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</row>
    <row r="170" spans="1:256" s="21" customFormat="1" ht="13.5" thickBot="1" x14ac:dyDescent="0.25">
      <c r="A170" s="15"/>
      <c r="B170" s="80" t="s">
        <v>116</v>
      </c>
      <c r="C170" s="81"/>
      <c r="D170" s="81"/>
      <c r="E170" s="135"/>
      <c r="F170" s="146"/>
      <c r="G170" s="32" t="s">
        <v>104</v>
      </c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160"/>
      <c r="AU170" s="16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</row>
    <row r="171" spans="1:256" s="21" customFormat="1" ht="13.5" thickBot="1" x14ac:dyDescent="0.25">
      <c r="A171" s="15"/>
      <c r="B171" s="84" t="s">
        <v>94</v>
      </c>
      <c r="C171" s="203"/>
      <c r="D171" s="204"/>
      <c r="E171" s="205"/>
      <c r="F171" s="206"/>
      <c r="G171" s="207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160"/>
      <c r="AU171" s="16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</row>
    <row r="172" spans="1:256" s="21" customFormat="1" ht="13.5" thickBot="1" x14ac:dyDescent="0.25">
      <c r="A172" s="15"/>
      <c r="B172" s="84" t="s">
        <v>95</v>
      </c>
      <c r="C172" s="203"/>
      <c r="D172" s="204"/>
      <c r="E172" s="205"/>
      <c r="F172" s="206"/>
      <c r="G172" s="207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160"/>
      <c r="AU172" s="16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</row>
    <row r="173" spans="1:256" s="21" customFormat="1" ht="13.5" thickBot="1" x14ac:dyDescent="0.25">
      <c r="A173" s="15"/>
      <c r="B173" s="84" t="s">
        <v>97</v>
      </c>
      <c r="C173" s="203"/>
      <c r="D173" s="204"/>
      <c r="E173" s="205"/>
      <c r="F173" s="206"/>
      <c r="G173" s="207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160"/>
      <c r="AU173" s="16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</row>
    <row r="174" spans="1:256" s="21" customFormat="1" ht="13.5" thickBot="1" x14ac:dyDescent="0.25">
      <c r="A174" s="15"/>
      <c r="B174" s="84" t="s">
        <v>108</v>
      </c>
      <c r="C174" s="208"/>
      <c r="D174" s="204"/>
      <c r="E174" s="205"/>
      <c r="F174" s="209"/>
      <c r="G174" s="202">
        <f>SUM(G171:G173)</f>
        <v>0</v>
      </c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160"/>
      <c r="AU174" s="16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</row>
    <row r="175" spans="1:256" s="21" customFormat="1" x14ac:dyDescent="0.2">
      <c r="A175" s="15"/>
      <c r="B175" s="5"/>
      <c r="C175" s="182"/>
      <c r="D175" s="182"/>
      <c r="E175" s="182"/>
      <c r="F175" s="182"/>
      <c r="G175" s="182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160"/>
      <c r="AU175" s="16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</row>
    <row r="176" spans="1:256" s="21" customFormat="1" x14ac:dyDescent="0.2">
      <c r="A176" s="15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160"/>
      <c r="AU176" s="16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</row>
    <row r="177" spans="1:256" s="21" customFormat="1" x14ac:dyDescent="0.2">
      <c r="A177" s="15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160"/>
      <c r="AU177" s="16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</row>
    <row r="178" spans="1:256" s="21" customFormat="1" x14ac:dyDescent="0.2">
      <c r="A178" s="15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160"/>
      <c r="AU178" s="16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</row>
    <row r="179" spans="1:256" s="21" customFormat="1" x14ac:dyDescent="0.2">
      <c r="A179" s="15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160"/>
      <c r="AU179" s="16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</row>
    <row r="180" spans="1:256" s="21" customFormat="1" x14ac:dyDescent="0.2">
      <c r="A180" s="15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160"/>
      <c r="AU180" s="16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</row>
    <row r="181" spans="1:256" s="21" customFormat="1" x14ac:dyDescent="0.2">
      <c r="A181" s="15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160"/>
      <c r="AU181" s="16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</row>
    <row r="182" spans="1:256" s="21" customFormat="1" x14ac:dyDescent="0.2">
      <c r="A182" s="15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160"/>
      <c r="AU182" s="16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</row>
    <row r="183" spans="1:256" s="21" customFormat="1" x14ac:dyDescent="0.2">
      <c r="A183" s="15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160"/>
      <c r="AU183" s="16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</row>
    <row r="184" spans="1:256" s="21" customFormat="1" x14ac:dyDescent="0.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160"/>
      <c r="AU184" s="16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</row>
    <row r="185" spans="1:256" s="21" customFormat="1" x14ac:dyDescent="0.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160"/>
      <c r="AU185" s="160"/>
      <c r="AV185" s="20"/>
      <c r="AW185" s="20"/>
      <c r="AX185" s="20"/>
      <c r="AY185" s="20"/>
      <c r="AZ185" s="20"/>
      <c r="BA185" s="20"/>
      <c r="BB185" s="20"/>
      <c r="BC185" s="20"/>
    </row>
    <row r="186" spans="1:256" s="21" customFormat="1" x14ac:dyDescent="0.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160"/>
      <c r="AU186" s="16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</row>
    <row r="187" spans="1:256" s="21" customFormat="1" ht="15" customHeight="1" x14ac:dyDescent="0.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160"/>
      <c r="AU187" s="16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</row>
    <row r="188" spans="1:256" s="21" customFormat="1" x14ac:dyDescent="0.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160"/>
      <c r="AU188" s="16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</row>
    <row r="189" spans="1:256" s="21" customFormat="1" x14ac:dyDescent="0.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160"/>
      <c r="AU189" s="16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</row>
    <row r="190" spans="1:256" s="21" customFormat="1" x14ac:dyDescent="0.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160"/>
      <c r="AU190" s="16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</row>
    <row r="191" spans="1:256" s="21" customFormat="1" x14ac:dyDescent="0.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160"/>
      <c r="AU191" s="16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</row>
    <row r="192" spans="1:256" s="21" customFormat="1" x14ac:dyDescent="0.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160"/>
      <c r="AU192" s="16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</row>
    <row r="193" spans="1:256" s="21" customFormat="1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160"/>
      <c r="AU193" s="16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</row>
    <row r="194" spans="1:256" s="21" customFormat="1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160"/>
      <c r="AU194" s="16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</row>
    <row r="195" spans="1:256" s="21" customFormat="1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160"/>
      <c r="AU195" s="16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</row>
    <row r="196" spans="1:256" s="21" customFormat="1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160"/>
      <c r="AU196" s="16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</row>
    <row r="197" spans="1:256" s="56" customFormat="1" ht="18" x14ac:dyDescent="0.25">
      <c r="A197" s="210"/>
      <c r="B197" s="438" t="s">
        <v>302</v>
      </c>
      <c r="C197" s="438"/>
      <c r="D197" s="438"/>
      <c r="E197" s="438"/>
      <c r="F197" s="438"/>
      <c r="G197" s="4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162"/>
      <c r="AU197" s="162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55"/>
      <c r="BJ197" s="55"/>
      <c r="BK197" s="55"/>
      <c r="BL197" s="55"/>
      <c r="BM197" s="55"/>
      <c r="BN197" s="55"/>
      <c r="BO197" s="55"/>
      <c r="BP197" s="55"/>
      <c r="BQ197" s="55"/>
      <c r="BR197" s="55"/>
      <c r="BS197" s="55"/>
      <c r="BT197" s="55"/>
      <c r="BU197" s="55"/>
      <c r="BV197" s="55"/>
      <c r="BW197" s="55"/>
      <c r="BX197" s="55"/>
      <c r="BY197" s="55"/>
      <c r="BZ197" s="55"/>
      <c r="CA197" s="55"/>
      <c r="CB197" s="55"/>
      <c r="CC197" s="55"/>
      <c r="CD197" s="55"/>
      <c r="CE197" s="55"/>
      <c r="CF197" s="55"/>
      <c r="CG197" s="55"/>
      <c r="CH197" s="55"/>
      <c r="CI197" s="55"/>
      <c r="CJ197" s="55"/>
      <c r="CK197" s="55"/>
      <c r="CL197" s="55"/>
      <c r="CM197" s="55"/>
      <c r="CN197" s="55"/>
      <c r="CO197" s="55"/>
      <c r="CP197" s="55"/>
      <c r="CQ197" s="55"/>
      <c r="CR197" s="55"/>
      <c r="CS197" s="55"/>
      <c r="CT197" s="55"/>
      <c r="CU197" s="55"/>
      <c r="CV197" s="55"/>
      <c r="CW197" s="55"/>
      <c r="CX197" s="55"/>
      <c r="CY197" s="55"/>
      <c r="CZ197" s="55"/>
      <c r="DA197" s="55"/>
      <c r="DB197" s="55"/>
      <c r="DC197" s="55"/>
      <c r="DD197" s="55"/>
      <c r="DE197" s="55"/>
      <c r="DF197" s="55"/>
      <c r="DG197" s="55"/>
      <c r="DH197" s="55"/>
      <c r="DI197" s="55"/>
      <c r="DJ197" s="55"/>
      <c r="DK197" s="55"/>
      <c r="DL197" s="55"/>
      <c r="DM197" s="55"/>
      <c r="DN197" s="55"/>
      <c r="DO197" s="55"/>
      <c r="DP197" s="55"/>
      <c r="DQ197" s="55"/>
      <c r="DR197" s="55"/>
      <c r="DS197" s="55"/>
      <c r="DT197" s="55"/>
      <c r="DU197" s="55"/>
      <c r="DV197" s="55"/>
      <c r="DW197" s="55"/>
      <c r="DX197" s="55"/>
      <c r="DY197" s="55"/>
      <c r="DZ197" s="55"/>
      <c r="EA197" s="55"/>
      <c r="EB197" s="55"/>
      <c r="EC197" s="55"/>
      <c r="ED197" s="55"/>
      <c r="EE197" s="55"/>
      <c r="EF197" s="55"/>
      <c r="EG197" s="55"/>
      <c r="EH197" s="55"/>
      <c r="EI197" s="55"/>
      <c r="EJ197" s="55"/>
      <c r="EK197" s="55"/>
      <c r="EL197" s="55"/>
      <c r="EM197" s="55"/>
      <c r="EN197" s="55"/>
      <c r="EO197" s="55"/>
      <c r="EP197" s="55"/>
      <c r="EQ197" s="55"/>
      <c r="ER197" s="55"/>
      <c r="ES197" s="55"/>
      <c r="ET197" s="55"/>
      <c r="EU197" s="55"/>
      <c r="EV197" s="55"/>
      <c r="EW197" s="55"/>
      <c r="EX197" s="55"/>
      <c r="EY197" s="55"/>
      <c r="EZ197" s="55"/>
      <c r="FA197" s="55"/>
      <c r="FB197" s="55"/>
      <c r="FC197" s="55"/>
      <c r="FD197" s="55"/>
      <c r="FE197" s="55"/>
      <c r="FF197" s="55"/>
      <c r="FG197" s="55"/>
      <c r="FH197" s="55"/>
      <c r="FI197" s="55"/>
      <c r="FJ197" s="55"/>
      <c r="FK197" s="55"/>
      <c r="FL197" s="55"/>
      <c r="FM197" s="55"/>
      <c r="FN197" s="55"/>
      <c r="FO197" s="55"/>
      <c r="FP197" s="55"/>
      <c r="FQ197" s="55"/>
      <c r="FR197" s="55"/>
      <c r="FS197" s="55"/>
      <c r="FT197" s="55"/>
      <c r="FU197" s="55"/>
      <c r="FV197" s="55"/>
      <c r="FW197" s="55"/>
      <c r="FX197" s="55"/>
      <c r="FY197" s="55"/>
      <c r="FZ197" s="55"/>
      <c r="GA197" s="55"/>
      <c r="GB197" s="55"/>
      <c r="GC197" s="55"/>
      <c r="GD197" s="55"/>
      <c r="GE197" s="55"/>
      <c r="GF197" s="55"/>
      <c r="GG197" s="55"/>
      <c r="GH197" s="55"/>
      <c r="GI197" s="55"/>
      <c r="GJ197" s="55"/>
      <c r="GK197" s="55"/>
      <c r="GL197" s="55"/>
      <c r="GM197" s="55"/>
      <c r="GN197" s="55"/>
      <c r="GO197" s="55"/>
      <c r="GP197" s="55"/>
      <c r="GQ197" s="55"/>
      <c r="GR197" s="55"/>
      <c r="GS197" s="55"/>
      <c r="GT197" s="55"/>
      <c r="GU197" s="55"/>
      <c r="GV197" s="55"/>
      <c r="GW197" s="55"/>
      <c r="GX197" s="55"/>
      <c r="GY197" s="55"/>
      <c r="GZ197" s="55"/>
      <c r="HA197" s="55"/>
      <c r="HB197" s="55"/>
      <c r="HC197" s="55"/>
      <c r="HD197" s="55"/>
      <c r="HE197" s="55"/>
      <c r="HF197" s="55"/>
      <c r="HG197" s="55"/>
      <c r="HH197" s="55"/>
      <c r="HI197" s="55"/>
      <c r="HJ197" s="55"/>
      <c r="HK197" s="55"/>
      <c r="HL197" s="55"/>
      <c r="HM197" s="55"/>
      <c r="HN197" s="55"/>
      <c r="HO197" s="55"/>
      <c r="HP197" s="55"/>
      <c r="HQ197" s="55"/>
      <c r="HR197" s="55"/>
      <c r="HS197" s="55"/>
      <c r="HT197" s="55"/>
      <c r="HU197" s="55"/>
      <c r="HV197" s="55"/>
      <c r="HW197" s="55"/>
      <c r="HX197" s="55"/>
      <c r="HY197" s="55"/>
      <c r="HZ197" s="55"/>
      <c r="IA197" s="55"/>
      <c r="IB197" s="55"/>
      <c r="IC197" s="55"/>
      <c r="ID197" s="55"/>
      <c r="IE197" s="55"/>
      <c r="IF197" s="55"/>
      <c r="IG197" s="55"/>
      <c r="IH197" s="55"/>
      <c r="II197" s="55"/>
      <c r="IJ197" s="55"/>
      <c r="IK197" s="55"/>
      <c r="IL197" s="55"/>
      <c r="IM197" s="55"/>
      <c r="IN197" s="55"/>
      <c r="IO197" s="55"/>
      <c r="IP197" s="55"/>
      <c r="IQ197" s="55"/>
      <c r="IR197" s="55"/>
      <c r="IS197" s="55"/>
      <c r="IT197" s="55"/>
      <c r="IU197" s="55"/>
      <c r="IV197" s="55"/>
    </row>
    <row r="198" spans="1:256" s="56" customFormat="1" x14ac:dyDescent="0.2">
      <c r="A198" s="458"/>
      <c r="B198" s="458"/>
      <c r="C198" s="458"/>
      <c r="D198" s="458"/>
      <c r="E198" s="458"/>
      <c r="F198" s="458"/>
      <c r="G198" s="45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162"/>
      <c r="AU198" s="162"/>
      <c r="AV198" s="55"/>
      <c r="AW198" s="55"/>
      <c r="AX198" s="55"/>
      <c r="AY198" s="55"/>
      <c r="AZ198" s="55"/>
      <c r="BA198" s="55"/>
      <c r="BB198" s="55"/>
      <c r="BC198" s="55"/>
      <c r="BD198" s="55"/>
      <c r="BE198" s="55"/>
      <c r="BF198" s="55"/>
      <c r="BG198" s="55"/>
      <c r="BH198" s="55"/>
      <c r="BI198" s="55"/>
      <c r="BJ198" s="55"/>
      <c r="BK198" s="55"/>
      <c r="BL198" s="55"/>
      <c r="BM198" s="55"/>
      <c r="BN198" s="55"/>
      <c r="BO198" s="55"/>
      <c r="BP198" s="55"/>
      <c r="BQ198" s="55"/>
      <c r="BR198" s="55"/>
      <c r="BS198" s="55"/>
      <c r="BT198" s="55"/>
      <c r="BU198" s="55"/>
      <c r="BV198" s="55"/>
      <c r="BW198" s="55"/>
      <c r="BX198" s="55"/>
      <c r="BY198" s="55"/>
      <c r="BZ198" s="55"/>
      <c r="CA198" s="55"/>
      <c r="CB198" s="55"/>
      <c r="CC198" s="55"/>
      <c r="CD198" s="55"/>
      <c r="CE198" s="55"/>
      <c r="CF198" s="55"/>
      <c r="CG198" s="55"/>
      <c r="CH198" s="55"/>
      <c r="CI198" s="55"/>
      <c r="CJ198" s="55"/>
      <c r="CK198" s="55"/>
      <c r="CL198" s="55"/>
      <c r="CM198" s="55"/>
      <c r="CN198" s="55"/>
      <c r="CO198" s="55"/>
      <c r="CP198" s="55"/>
      <c r="CQ198" s="55"/>
      <c r="CR198" s="55"/>
      <c r="CS198" s="55"/>
      <c r="CT198" s="55"/>
      <c r="CU198" s="55"/>
      <c r="CV198" s="55"/>
      <c r="CW198" s="55"/>
      <c r="CX198" s="55"/>
      <c r="CY198" s="55"/>
      <c r="CZ198" s="55"/>
      <c r="DA198" s="55"/>
      <c r="DB198" s="55"/>
      <c r="DC198" s="55"/>
      <c r="DD198" s="55"/>
      <c r="DE198" s="55"/>
      <c r="DF198" s="55"/>
      <c r="DG198" s="55"/>
      <c r="DH198" s="55"/>
      <c r="DI198" s="55"/>
      <c r="DJ198" s="55"/>
      <c r="DK198" s="55"/>
      <c r="DL198" s="55"/>
      <c r="DM198" s="55"/>
      <c r="DN198" s="55"/>
      <c r="DO198" s="55"/>
      <c r="DP198" s="55"/>
      <c r="DQ198" s="55"/>
      <c r="DR198" s="55"/>
      <c r="DS198" s="55"/>
      <c r="DT198" s="55"/>
      <c r="DU198" s="55"/>
      <c r="DV198" s="55"/>
      <c r="DW198" s="55"/>
      <c r="DX198" s="55"/>
      <c r="DY198" s="55"/>
      <c r="DZ198" s="55"/>
      <c r="EA198" s="55"/>
      <c r="EB198" s="55"/>
      <c r="EC198" s="55"/>
      <c r="ED198" s="55"/>
      <c r="EE198" s="55"/>
      <c r="EF198" s="55"/>
      <c r="EG198" s="55"/>
      <c r="EH198" s="55"/>
      <c r="EI198" s="55"/>
      <c r="EJ198" s="55"/>
      <c r="EK198" s="55"/>
      <c r="EL198" s="55"/>
      <c r="EM198" s="55"/>
      <c r="EN198" s="55"/>
      <c r="EO198" s="55"/>
      <c r="EP198" s="55"/>
      <c r="EQ198" s="55"/>
      <c r="ER198" s="55"/>
      <c r="ES198" s="55"/>
      <c r="ET198" s="55"/>
      <c r="EU198" s="55"/>
      <c r="EV198" s="55"/>
      <c r="EW198" s="55"/>
      <c r="EX198" s="55"/>
      <c r="EY198" s="55"/>
      <c r="EZ198" s="55"/>
      <c r="FA198" s="55"/>
      <c r="FB198" s="55"/>
      <c r="FC198" s="55"/>
      <c r="FD198" s="55"/>
      <c r="FE198" s="55"/>
      <c r="FF198" s="55"/>
      <c r="FG198" s="55"/>
      <c r="FH198" s="55"/>
      <c r="FI198" s="55"/>
      <c r="FJ198" s="55"/>
      <c r="FK198" s="55"/>
      <c r="FL198" s="55"/>
      <c r="FM198" s="55"/>
      <c r="FN198" s="55"/>
      <c r="FO198" s="55"/>
      <c r="FP198" s="55"/>
      <c r="FQ198" s="55"/>
      <c r="FR198" s="55"/>
      <c r="FS198" s="55"/>
      <c r="FT198" s="55"/>
      <c r="FU198" s="55"/>
      <c r="FV198" s="55"/>
      <c r="FW198" s="55"/>
      <c r="FX198" s="55"/>
      <c r="FY198" s="55"/>
      <c r="FZ198" s="55"/>
      <c r="GA198" s="55"/>
      <c r="GB198" s="55"/>
      <c r="GC198" s="55"/>
      <c r="GD198" s="55"/>
      <c r="GE198" s="55"/>
      <c r="GF198" s="55"/>
      <c r="GG198" s="55"/>
      <c r="GH198" s="55"/>
      <c r="GI198" s="55"/>
      <c r="GJ198" s="55"/>
      <c r="GK198" s="55"/>
      <c r="GL198" s="55"/>
      <c r="GM198" s="55"/>
      <c r="GN198" s="55"/>
      <c r="GO198" s="55"/>
      <c r="GP198" s="55"/>
      <c r="GQ198" s="55"/>
      <c r="GR198" s="55"/>
      <c r="GS198" s="55"/>
      <c r="GT198" s="55"/>
      <c r="GU198" s="55"/>
      <c r="GV198" s="55"/>
      <c r="GW198" s="55"/>
      <c r="GX198" s="55"/>
      <c r="GY198" s="55"/>
      <c r="GZ198" s="55"/>
      <c r="HA198" s="55"/>
      <c r="HB198" s="55"/>
      <c r="HC198" s="55"/>
      <c r="HD198" s="55"/>
      <c r="HE198" s="55"/>
      <c r="HF198" s="55"/>
      <c r="HG198" s="55"/>
      <c r="HH198" s="55"/>
      <c r="HI198" s="55"/>
      <c r="HJ198" s="55"/>
      <c r="HK198" s="55"/>
      <c r="HL198" s="55"/>
      <c r="HM198" s="55"/>
      <c r="HN198" s="55"/>
      <c r="HO198" s="55"/>
      <c r="HP198" s="55"/>
      <c r="HQ198" s="55"/>
      <c r="HR198" s="55"/>
      <c r="HS198" s="55"/>
      <c r="HT198" s="55"/>
      <c r="HU198" s="55"/>
      <c r="HV198" s="55"/>
      <c r="HW198" s="55"/>
      <c r="HX198" s="55"/>
      <c r="HY198" s="55"/>
      <c r="HZ198" s="55"/>
      <c r="IA198" s="55"/>
      <c r="IB198" s="55"/>
      <c r="IC198" s="55"/>
      <c r="ID198" s="55"/>
      <c r="IE198" s="55"/>
      <c r="IF198" s="55"/>
      <c r="IG198" s="55"/>
      <c r="IH198" s="55"/>
      <c r="II198" s="55"/>
      <c r="IJ198" s="55"/>
      <c r="IK198" s="55"/>
      <c r="IL198" s="55"/>
      <c r="IM198" s="55"/>
      <c r="IN198" s="55"/>
      <c r="IO198" s="55"/>
      <c r="IP198" s="55"/>
      <c r="IQ198" s="55"/>
      <c r="IR198" s="55"/>
      <c r="IS198" s="55"/>
      <c r="IT198" s="55"/>
      <c r="IU198" s="55"/>
      <c r="IV198" s="55"/>
    </row>
    <row r="199" spans="1:256" s="56" customFormat="1" ht="18" x14ac:dyDescent="0.25">
      <c r="A199" s="210"/>
      <c r="B199" s="438" t="s">
        <v>115</v>
      </c>
      <c r="C199" s="438"/>
      <c r="D199" s="438"/>
      <c r="E199" s="438"/>
      <c r="F199" s="438"/>
      <c r="G199" s="4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162"/>
      <c r="AU199" s="162"/>
      <c r="AV199" s="55"/>
      <c r="AW199" s="55"/>
      <c r="AX199" s="55"/>
      <c r="AY199" s="55"/>
      <c r="AZ199" s="55"/>
      <c r="BA199" s="55"/>
      <c r="BB199" s="55"/>
      <c r="BC199" s="55"/>
      <c r="BD199" s="55"/>
      <c r="BE199" s="55"/>
      <c r="BF199" s="55"/>
      <c r="BG199" s="55"/>
      <c r="BH199" s="55"/>
      <c r="BI199" s="55"/>
      <c r="BJ199" s="55"/>
      <c r="BK199" s="55"/>
      <c r="BL199" s="55"/>
      <c r="BM199" s="55"/>
      <c r="BN199" s="55"/>
      <c r="BO199" s="55"/>
      <c r="BP199" s="55"/>
      <c r="BQ199" s="55"/>
      <c r="BR199" s="55"/>
      <c r="BS199" s="55"/>
      <c r="BT199" s="55"/>
      <c r="BU199" s="55"/>
      <c r="BV199" s="55"/>
      <c r="BW199" s="55"/>
      <c r="BX199" s="55"/>
      <c r="BY199" s="55"/>
      <c r="BZ199" s="55"/>
      <c r="CA199" s="55"/>
      <c r="CB199" s="55"/>
      <c r="CC199" s="55"/>
      <c r="CD199" s="55"/>
      <c r="CE199" s="55"/>
      <c r="CF199" s="55"/>
      <c r="CG199" s="55"/>
      <c r="CH199" s="55"/>
      <c r="CI199" s="55"/>
      <c r="CJ199" s="55"/>
      <c r="CK199" s="55"/>
      <c r="CL199" s="55"/>
      <c r="CM199" s="55"/>
      <c r="CN199" s="55"/>
      <c r="CO199" s="55"/>
      <c r="CP199" s="55"/>
      <c r="CQ199" s="55"/>
      <c r="CR199" s="55"/>
      <c r="CS199" s="55"/>
      <c r="CT199" s="55"/>
      <c r="CU199" s="55"/>
      <c r="CV199" s="55"/>
      <c r="CW199" s="55"/>
      <c r="CX199" s="55"/>
      <c r="CY199" s="55"/>
      <c r="CZ199" s="55"/>
      <c r="DA199" s="55"/>
      <c r="DB199" s="55"/>
      <c r="DC199" s="55"/>
      <c r="DD199" s="55"/>
      <c r="DE199" s="55"/>
      <c r="DF199" s="55"/>
      <c r="DG199" s="55"/>
      <c r="DH199" s="55"/>
      <c r="DI199" s="55"/>
      <c r="DJ199" s="55"/>
      <c r="DK199" s="55"/>
      <c r="DL199" s="55"/>
      <c r="DM199" s="55"/>
      <c r="DN199" s="55"/>
      <c r="DO199" s="55"/>
      <c r="DP199" s="55"/>
      <c r="DQ199" s="55"/>
      <c r="DR199" s="55"/>
      <c r="DS199" s="55"/>
      <c r="DT199" s="55"/>
      <c r="DU199" s="55"/>
      <c r="DV199" s="55"/>
      <c r="DW199" s="55"/>
      <c r="DX199" s="55"/>
      <c r="DY199" s="55"/>
      <c r="DZ199" s="55"/>
      <c r="EA199" s="55"/>
      <c r="EB199" s="55"/>
      <c r="EC199" s="55"/>
      <c r="ED199" s="55"/>
      <c r="EE199" s="55"/>
      <c r="EF199" s="55"/>
      <c r="EG199" s="55"/>
      <c r="EH199" s="55"/>
      <c r="EI199" s="55"/>
      <c r="EJ199" s="55"/>
      <c r="EK199" s="55"/>
      <c r="EL199" s="55"/>
      <c r="EM199" s="55"/>
      <c r="EN199" s="55"/>
      <c r="EO199" s="55"/>
      <c r="EP199" s="55"/>
      <c r="EQ199" s="55"/>
      <c r="ER199" s="55"/>
      <c r="ES199" s="55"/>
      <c r="ET199" s="55"/>
      <c r="EU199" s="55"/>
      <c r="EV199" s="55"/>
      <c r="EW199" s="55"/>
      <c r="EX199" s="55"/>
      <c r="EY199" s="55"/>
      <c r="EZ199" s="55"/>
      <c r="FA199" s="55"/>
      <c r="FB199" s="55"/>
      <c r="FC199" s="55"/>
      <c r="FD199" s="55"/>
      <c r="FE199" s="55"/>
      <c r="FF199" s="55"/>
      <c r="FG199" s="55"/>
      <c r="FH199" s="55"/>
      <c r="FI199" s="55"/>
      <c r="FJ199" s="55"/>
      <c r="FK199" s="55"/>
      <c r="FL199" s="55"/>
      <c r="FM199" s="55"/>
      <c r="FN199" s="55"/>
      <c r="FO199" s="55"/>
      <c r="FP199" s="55"/>
      <c r="FQ199" s="55"/>
      <c r="FR199" s="55"/>
      <c r="FS199" s="55"/>
      <c r="FT199" s="55"/>
      <c r="FU199" s="55"/>
      <c r="FV199" s="55"/>
      <c r="FW199" s="55"/>
      <c r="FX199" s="55"/>
      <c r="FY199" s="55"/>
      <c r="FZ199" s="55"/>
      <c r="GA199" s="55"/>
      <c r="GB199" s="55"/>
      <c r="GC199" s="55"/>
      <c r="GD199" s="55"/>
      <c r="GE199" s="55"/>
      <c r="GF199" s="55"/>
      <c r="GG199" s="55"/>
      <c r="GH199" s="55"/>
      <c r="GI199" s="55"/>
      <c r="GJ199" s="55"/>
      <c r="GK199" s="55"/>
      <c r="GL199" s="55"/>
      <c r="GM199" s="55"/>
      <c r="GN199" s="55"/>
      <c r="GO199" s="55"/>
      <c r="GP199" s="55"/>
      <c r="GQ199" s="55"/>
      <c r="GR199" s="55"/>
      <c r="GS199" s="55"/>
      <c r="GT199" s="55"/>
      <c r="GU199" s="55"/>
      <c r="GV199" s="55"/>
      <c r="GW199" s="55"/>
      <c r="GX199" s="55"/>
      <c r="GY199" s="55"/>
      <c r="GZ199" s="55"/>
      <c r="HA199" s="55"/>
      <c r="HB199" s="55"/>
      <c r="HC199" s="55"/>
      <c r="HD199" s="55"/>
      <c r="HE199" s="55"/>
      <c r="HF199" s="55"/>
      <c r="HG199" s="55"/>
      <c r="HH199" s="55"/>
      <c r="HI199" s="55"/>
      <c r="HJ199" s="55"/>
      <c r="HK199" s="55"/>
      <c r="HL199" s="55"/>
      <c r="HM199" s="55"/>
      <c r="HN199" s="55"/>
      <c r="HO199" s="55"/>
      <c r="HP199" s="55"/>
      <c r="HQ199" s="55"/>
      <c r="HR199" s="55"/>
      <c r="HS199" s="55"/>
      <c r="HT199" s="55"/>
      <c r="HU199" s="55"/>
      <c r="HV199" s="55"/>
      <c r="HW199" s="55"/>
      <c r="HX199" s="55"/>
      <c r="HY199" s="55"/>
      <c r="HZ199" s="55"/>
      <c r="IA199" s="55"/>
      <c r="IB199" s="55"/>
      <c r="IC199" s="55"/>
      <c r="ID199" s="55"/>
      <c r="IE199" s="55"/>
      <c r="IF199" s="55"/>
      <c r="IG199" s="55"/>
      <c r="IH199" s="55"/>
      <c r="II199" s="55"/>
      <c r="IJ199" s="55"/>
      <c r="IK199" s="55"/>
      <c r="IL199" s="55"/>
      <c r="IM199" s="55"/>
      <c r="IN199" s="55"/>
      <c r="IO199" s="55"/>
      <c r="IP199" s="55"/>
      <c r="IQ199" s="55"/>
      <c r="IR199" s="55"/>
      <c r="IS199" s="55"/>
      <c r="IT199" s="55"/>
      <c r="IU199" s="55"/>
      <c r="IV199" s="55"/>
    </row>
    <row r="200" spans="1:256" s="56" customFormat="1" ht="12.75" customHeight="1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162"/>
      <c r="AU200" s="162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55"/>
      <c r="BJ200" s="55"/>
      <c r="BK200" s="55"/>
      <c r="BL200" s="55"/>
      <c r="BM200" s="55"/>
      <c r="BN200" s="55"/>
      <c r="BO200" s="55"/>
      <c r="BP200" s="55"/>
      <c r="BQ200" s="55"/>
      <c r="BR200" s="55"/>
      <c r="BS200" s="55"/>
      <c r="BT200" s="55"/>
      <c r="BU200" s="55"/>
      <c r="BV200" s="55"/>
      <c r="BW200" s="55"/>
      <c r="BX200" s="55"/>
      <c r="BY200" s="55"/>
      <c r="BZ200" s="55"/>
      <c r="CA200" s="55"/>
      <c r="CB200" s="55"/>
      <c r="CC200" s="55"/>
      <c r="CD200" s="55"/>
      <c r="CE200" s="55"/>
      <c r="CF200" s="55"/>
      <c r="CG200" s="55"/>
      <c r="CH200" s="55"/>
      <c r="CI200" s="55"/>
      <c r="CJ200" s="55"/>
      <c r="CK200" s="55"/>
      <c r="CL200" s="55"/>
      <c r="CM200" s="55"/>
      <c r="CN200" s="55"/>
      <c r="CO200" s="55"/>
      <c r="CP200" s="55"/>
      <c r="CQ200" s="55"/>
      <c r="CR200" s="55"/>
      <c r="CS200" s="55"/>
      <c r="CT200" s="55"/>
      <c r="CU200" s="55"/>
      <c r="CV200" s="55"/>
      <c r="CW200" s="55"/>
      <c r="CX200" s="55"/>
      <c r="CY200" s="55"/>
      <c r="CZ200" s="55"/>
      <c r="DA200" s="55"/>
      <c r="DB200" s="55"/>
      <c r="DC200" s="55"/>
      <c r="DD200" s="55"/>
      <c r="DE200" s="55"/>
      <c r="DF200" s="55"/>
      <c r="DG200" s="55"/>
      <c r="DH200" s="55"/>
      <c r="DI200" s="55"/>
      <c r="DJ200" s="55"/>
      <c r="DK200" s="55"/>
      <c r="DL200" s="55"/>
      <c r="DM200" s="55"/>
      <c r="DN200" s="55"/>
      <c r="DO200" s="55"/>
      <c r="DP200" s="55"/>
      <c r="DQ200" s="55"/>
      <c r="DR200" s="55"/>
      <c r="DS200" s="55"/>
      <c r="DT200" s="55"/>
      <c r="DU200" s="55"/>
      <c r="DV200" s="55"/>
      <c r="DW200" s="55"/>
      <c r="DX200" s="55"/>
      <c r="DY200" s="55"/>
      <c r="DZ200" s="55"/>
      <c r="EA200" s="55"/>
      <c r="EB200" s="55"/>
      <c r="EC200" s="55"/>
      <c r="ED200" s="55"/>
      <c r="EE200" s="55"/>
      <c r="EF200" s="55"/>
      <c r="EG200" s="55"/>
      <c r="EH200" s="55"/>
      <c r="EI200" s="55"/>
      <c r="EJ200" s="55"/>
      <c r="EK200" s="55"/>
      <c r="EL200" s="55"/>
      <c r="EM200" s="55"/>
      <c r="EN200" s="55"/>
      <c r="EO200" s="55"/>
      <c r="EP200" s="55"/>
      <c r="EQ200" s="55"/>
      <c r="ER200" s="55"/>
      <c r="ES200" s="55"/>
      <c r="ET200" s="55"/>
      <c r="EU200" s="55"/>
      <c r="EV200" s="55"/>
      <c r="EW200" s="55"/>
      <c r="EX200" s="55"/>
      <c r="EY200" s="55"/>
      <c r="EZ200" s="55"/>
      <c r="FA200" s="55"/>
      <c r="FB200" s="55"/>
      <c r="FC200" s="55"/>
      <c r="FD200" s="55"/>
      <c r="FE200" s="55"/>
      <c r="FF200" s="55"/>
      <c r="FG200" s="55"/>
      <c r="FH200" s="55"/>
      <c r="FI200" s="55"/>
      <c r="FJ200" s="55"/>
      <c r="FK200" s="55"/>
      <c r="FL200" s="55"/>
      <c r="FM200" s="55"/>
      <c r="FN200" s="55"/>
      <c r="FO200" s="55"/>
      <c r="FP200" s="55"/>
      <c r="FQ200" s="55"/>
      <c r="FR200" s="55"/>
      <c r="FS200" s="55"/>
      <c r="FT200" s="55"/>
      <c r="FU200" s="55"/>
      <c r="FV200" s="55"/>
      <c r="FW200" s="55"/>
      <c r="FX200" s="55"/>
      <c r="FY200" s="55"/>
      <c r="FZ200" s="55"/>
      <c r="GA200" s="55"/>
      <c r="GB200" s="55"/>
      <c r="GC200" s="55"/>
      <c r="GD200" s="55"/>
      <c r="GE200" s="55"/>
      <c r="GF200" s="55"/>
      <c r="GG200" s="55"/>
      <c r="GH200" s="55"/>
      <c r="GI200" s="55"/>
      <c r="GJ200" s="55"/>
      <c r="GK200" s="55"/>
      <c r="GL200" s="55"/>
      <c r="GM200" s="55"/>
      <c r="GN200" s="55"/>
      <c r="GO200" s="55"/>
      <c r="GP200" s="55"/>
      <c r="GQ200" s="55"/>
      <c r="GR200" s="55"/>
      <c r="GS200" s="55"/>
      <c r="GT200" s="55"/>
      <c r="GU200" s="55"/>
      <c r="GV200" s="55"/>
      <c r="GW200" s="55"/>
      <c r="GX200" s="55"/>
      <c r="GY200" s="55"/>
      <c r="GZ200" s="55"/>
      <c r="HA200" s="55"/>
      <c r="HB200" s="55"/>
      <c r="HC200" s="55"/>
      <c r="HD200" s="55"/>
      <c r="HE200" s="55"/>
      <c r="HF200" s="55"/>
      <c r="HG200" s="55"/>
      <c r="HH200" s="55"/>
      <c r="HI200" s="55"/>
      <c r="HJ200" s="55"/>
      <c r="HK200" s="55"/>
      <c r="HL200" s="55"/>
      <c r="HM200" s="55"/>
      <c r="HN200" s="55"/>
      <c r="HO200" s="55"/>
      <c r="HP200" s="55"/>
      <c r="HQ200" s="55"/>
      <c r="HR200" s="55"/>
      <c r="HS200" s="55"/>
      <c r="HT200" s="55"/>
      <c r="HU200" s="55"/>
      <c r="HV200" s="55"/>
      <c r="HW200" s="55"/>
      <c r="HX200" s="55"/>
      <c r="HY200" s="55"/>
      <c r="HZ200" s="55"/>
      <c r="IA200" s="55"/>
      <c r="IB200" s="55"/>
      <c r="IC200" s="55"/>
      <c r="ID200" s="55"/>
      <c r="IE200" s="55"/>
      <c r="IF200" s="55"/>
      <c r="IG200" s="55"/>
      <c r="IH200" s="55"/>
      <c r="II200" s="55"/>
      <c r="IJ200" s="55"/>
      <c r="IK200" s="55"/>
      <c r="IL200" s="55"/>
      <c r="IM200" s="55"/>
      <c r="IN200" s="55"/>
      <c r="IO200" s="55"/>
      <c r="IP200" s="55"/>
      <c r="IQ200" s="55"/>
      <c r="IR200" s="55"/>
      <c r="IS200" s="55"/>
      <c r="IT200" s="55"/>
      <c r="IU200" s="55"/>
      <c r="IV200" s="55"/>
    </row>
    <row r="201" spans="1:256" s="214" customFormat="1" ht="15" customHeight="1" x14ac:dyDescent="0.25">
      <c r="A201" s="38"/>
      <c r="B201" s="472" t="str">
        <f>CUSTOMERNAME</f>
        <v>Evergreen Car Wash</v>
      </c>
      <c r="C201" s="472"/>
      <c r="D201" s="472"/>
      <c r="E201" s="472"/>
      <c r="F201" s="472"/>
      <c r="G201" s="472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2"/>
      <c r="W201" s="212"/>
      <c r="X201" s="212"/>
      <c r="Y201" s="212"/>
      <c r="Z201" s="212"/>
      <c r="AA201" s="212"/>
      <c r="AB201" s="212"/>
      <c r="AC201" s="212"/>
      <c r="AD201" s="212"/>
      <c r="AE201" s="212"/>
      <c r="AF201" s="212"/>
      <c r="AG201" s="212"/>
      <c r="AH201" s="212"/>
      <c r="AI201" s="212"/>
      <c r="AJ201" s="212"/>
      <c r="AK201" s="212"/>
      <c r="AL201" s="212"/>
      <c r="AM201" s="212"/>
      <c r="AN201" s="212"/>
      <c r="AO201" s="212"/>
      <c r="AP201" s="212"/>
      <c r="AQ201" s="212"/>
      <c r="AR201" s="212"/>
      <c r="AS201" s="212"/>
      <c r="AT201" s="213"/>
      <c r="AU201" s="213"/>
      <c r="AV201" s="212"/>
      <c r="AW201" s="212"/>
      <c r="AX201" s="212"/>
      <c r="AY201" s="212"/>
      <c r="AZ201" s="212"/>
      <c r="BA201" s="212"/>
      <c r="BB201" s="212"/>
      <c r="BC201" s="212"/>
      <c r="BD201" s="212"/>
      <c r="BE201" s="212"/>
      <c r="BF201" s="212"/>
      <c r="BG201" s="212"/>
      <c r="BH201" s="212"/>
      <c r="BI201" s="212"/>
      <c r="BJ201" s="212"/>
      <c r="BK201" s="212"/>
      <c r="BL201" s="212"/>
      <c r="BM201" s="212"/>
      <c r="BN201" s="212"/>
      <c r="BO201" s="212"/>
      <c r="BP201" s="212"/>
      <c r="BQ201" s="212"/>
      <c r="BR201" s="212"/>
      <c r="BS201" s="212"/>
      <c r="BT201" s="212"/>
      <c r="BU201" s="212"/>
      <c r="BV201" s="212"/>
      <c r="BW201" s="212"/>
      <c r="BX201" s="212"/>
      <c r="BY201" s="212"/>
      <c r="BZ201" s="212"/>
      <c r="CA201" s="212"/>
      <c r="CB201" s="212"/>
      <c r="CC201" s="212"/>
      <c r="CD201" s="212"/>
      <c r="CE201" s="212"/>
      <c r="CF201" s="212"/>
      <c r="CG201" s="212"/>
      <c r="CH201" s="212"/>
      <c r="CI201" s="212"/>
      <c r="CJ201" s="212"/>
      <c r="CK201" s="212"/>
      <c r="CL201" s="212"/>
      <c r="CM201" s="212"/>
      <c r="CN201" s="212"/>
      <c r="CO201" s="212"/>
      <c r="CP201" s="212"/>
      <c r="CQ201" s="212"/>
      <c r="CR201" s="212"/>
      <c r="CS201" s="212"/>
      <c r="CT201" s="212"/>
      <c r="CU201" s="212"/>
      <c r="CV201" s="212"/>
      <c r="CW201" s="212"/>
      <c r="CX201" s="212"/>
      <c r="CY201" s="212"/>
      <c r="CZ201" s="212"/>
      <c r="DA201" s="212"/>
      <c r="DB201" s="212"/>
      <c r="DC201" s="212"/>
      <c r="DD201" s="212"/>
      <c r="DE201" s="212"/>
      <c r="DF201" s="212"/>
      <c r="DG201" s="212"/>
      <c r="DH201" s="212"/>
      <c r="DI201" s="212"/>
      <c r="DJ201" s="212"/>
      <c r="DK201" s="212"/>
      <c r="DL201" s="212"/>
      <c r="DM201" s="212"/>
      <c r="DN201" s="212"/>
      <c r="DO201" s="212"/>
      <c r="DP201" s="212"/>
      <c r="DQ201" s="212"/>
      <c r="DR201" s="212"/>
      <c r="DS201" s="212"/>
      <c r="DT201" s="212"/>
      <c r="DU201" s="212"/>
      <c r="DV201" s="212"/>
      <c r="DW201" s="212"/>
      <c r="DX201" s="212"/>
      <c r="DY201" s="212"/>
      <c r="DZ201" s="212"/>
      <c r="EA201" s="212"/>
      <c r="EB201" s="212"/>
      <c r="EC201" s="212"/>
      <c r="ED201" s="212"/>
      <c r="EE201" s="212"/>
      <c r="EF201" s="212"/>
      <c r="EG201" s="212"/>
      <c r="EH201" s="212"/>
      <c r="EI201" s="212"/>
      <c r="EJ201" s="212"/>
      <c r="EK201" s="212"/>
      <c r="EL201" s="212"/>
      <c r="EM201" s="212"/>
      <c r="EN201" s="212"/>
      <c r="EO201" s="212"/>
      <c r="EP201" s="212"/>
      <c r="EQ201" s="212"/>
      <c r="ER201" s="212"/>
      <c r="ES201" s="212"/>
      <c r="ET201" s="212"/>
      <c r="EU201" s="212"/>
      <c r="EV201" s="212"/>
      <c r="EW201" s="212"/>
      <c r="EX201" s="212"/>
      <c r="EY201" s="212"/>
      <c r="EZ201" s="212"/>
      <c r="FA201" s="212"/>
      <c r="FB201" s="212"/>
      <c r="FC201" s="212"/>
      <c r="FD201" s="212"/>
      <c r="FE201" s="212"/>
      <c r="FF201" s="212"/>
      <c r="FG201" s="212"/>
      <c r="FH201" s="212"/>
      <c r="FI201" s="212"/>
      <c r="FJ201" s="212"/>
      <c r="FK201" s="212"/>
      <c r="FL201" s="212"/>
      <c r="FM201" s="212"/>
      <c r="FN201" s="212"/>
      <c r="FO201" s="212"/>
      <c r="FP201" s="212"/>
      <c r="FQ201" s="212"/>
      <c r="FR201" s="212"/>
      <c r="FS201" s="212"/>
      <c r="FT201" s="212"/>
      <c r="FU201" s="212"/>
      <c r="FV201" s="212"/>
      <c r="FW201" s="212"/>
      <c r="FX201" s="212"/>
      <c r="FY201" s="212"/>
      <c r="FZ201" s="212"/>
      <c r="GA201" s="212"/>
      <c r="GB201" s="212"/>
      <c r="GC201" s="212"/>
      <c r="GD201" s="212"/>
      <c r="GE201" s="212"/>
      <c r="GF201" s="212"/>
      <c r="GG201" s="212"/>
      <c r="GH201" s="212"/>
      <c r="GI201" s="212"/>
      <c r="GJ201" s="212"/>
      <c r="GK201" s="212"/>
      <c r="GL201" s="212"/>
      <c r="GM201" s="212"/>
      <c r="GN201" s="212"/>
      <c r="GO201" s="212"/>
      <c r="GP201" s="212"/>
      <c r="GQ201" s="212"/>
      <c r="GR201" s="212"/>
      <c r="GS201" s="212"/>
      <c r="GT201" s="212"/>
      <c r="GU201" s="212"/>
      <c r="GV201" s="212"/>
      <c r="GW201" s="212"/>
      <c r="GX201" s="212"/>
      <c r="GY201" s="212"/>
      <c r="GZ201" s="212"/>
      <c r="HA201" s="212"/>
      <c r="HB201" s="212"/>
      <c r="HC201" s="212"/>
      <c r="HD201" s="212"/>
      <c r="HE201" s="212"/>
      <c r="HF201" s="212"/>
      <c r="HG201" s="212"/>
      <c r="HH201" s="212"/>
      <c r="HI201" s="212"/>
      <c r="HJ201" s="212"/>
      <c r="HK201" s="212"/>
      <c r="HL201" s="212"/>
      <c r="HM201" s="212"/>
      <c r="HN201" s="212"/>
      <c r="HO201" s="212"/>
      <c r="HP201" s="212"/>
      <c r="HQ201" s="212"/>
      <c r="HR201" s="212"/>
      <c r="HS201" s="212"/>
      <c r="HT201" s="212"/>
      <c r="HU201" s="212"/>
      <c r="HV201" s="212"/>
      <c r="HW201" s="212"/>
      <c r="HX201" s="212"/>
      <c r="HY201" s="212"/>
      <c r="HZ201" s="212"/>
      <c r="IA201" s="212"/>
      <c r="IB201" s="212"/>
      <c r="IC201" s="212"/>
      <c r="ID201" s="212"/>
      <c r="IE201" s="212"/>
      <c r="IF201" s="212"/>
      <c r="IG201" s="212"/>
      <c r="IH201" s="212"/>
      <c r="II201" s="212"/>
      <c r="IJ201" s="212"/>
      <c r="IK201" s="212"/>
      <c r="IL201" s="212"/>
      <c r="IM201" s="212"/>
      <c r="IN201" s="212"/>
      <c r="IO201" s="212"/>
      <c r="IP201" s="212"/>
      <c r="IQ201" s="212"/>
      <c r="IR201" s="212"/>
      <c r="IS201" s="212"/>
      <c r="IT201" s="212"/>
      <c r="IU201" s="212"/>
      <c r="IV201" s="212"/>
    </row>
    <row r="202" spans="1:256" s="219" customFormat="1" ht="18" x14ac:dyDescent="0.25">
      <c r="A202" s="211"/>
      <c r="B202" s="211"/>
      <c r="C202" s="211"/>
      <c r="D202" s="215"/>
      <c r="E202" s="215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7"/>
      <c r="W202" s="217"/>
      <c r="X202" s="217"/>
      <c r="Y202" s="217"/>
      <c r="Z202" s="217"/>
      <c r="AA202" s="217"/>
      <c r="AB202" s="217"/>
      <c r="AC202" s="217"/>
      <c r="AD202" s="217"/>
      <c r="AE202" s="217"/>
      <c r="AF202" s="217"/>
      <c r="AG202" s="217"/>
      <c r="AH202" s="217"/>
      <c r="AI202" s="217"/>
      <c r="AJ202" s="217"/>
      <c r="AK202" s="217"/>
      <c r="AL202" s="217"/>
      <c r="AM202" s="217"/>
      <c r="AN202" s="217"/>
      <c r="AO202" s="217"/>
      <c r="AP202" s="217"/>
      <c r="AQ202" s="217"/>
      <c r="AR202" s="217"/>
      <c r="AS202" s="217"/>
      <c r="AT202" s="218"/>
      <c r="AU202" s="218"/>
      <c r="AV202" s="217"/>
      <c r="AW202" s="217"/>
      <c r="AX202" s="217"/>
      <c r="AY202" s="217"/>
      <c r="AZ202" s="217"/>
      <c r="BA202" s="217"/>
      <c r="BB202" s="217"/>
      <c r="BC202" s="217"/>
      <c r="BD202" s="217"/>
      <c r="BE202" s="217"/>
      <c r="BF202" s="217"/>
      <c r="BG202" s="217"/>
      <c r="BH202" s="217"/>
      <c r="BI202" s="217"/>
      <c r="BJ202" s="217"/>
      <c r="BK202" s="217"/>
      <c r="BL202" s="217"/>
      <c r="BM202" s="217"/>
      <c r="BN202" s="217"/>
      <c r="BO202" s="217"/>
      <c r="BP202" s="217"/>
      <c r="BQ202" s="217"/>
      <c r="BR202" s="217"/>
      <c r="BS202" s="217"/>
      <c r="BT202" s="217"/>
      <c r="BU202" s="217"/>
      <c r="BV202" s="217"/>
      <c r="BW202" s="217"/>
      <c r="BX202" s="217"/>
      <c r="BY202" s="217"/>
      <c r="BZ202" s="217"/>
      <c r="CA202" s="217"/>
      <c r="CB202" s="217"/>
      <c r="CC202" s="217"/>
      <c r="CD202" s="217"/>
      <c r="CE202" s="217"/>
      <c r="CF202" s="217"/>
      <c r="CG202" s="217"/>
      <c r="CH202" s="217"/>
      <c r="CI202" s="217"/>
      <c r="CJ202" s="217"/>
      <c r="CK202" s="217"/>
      <c r="CL202" s="217"/>
      <c r="CM202" s="217"/>
      <c r="CN202" s="217"/>
      <c r="CO202" s="217"/>
      <c r="CP202" s="217"/>
      <c r="CQ202" s="217"/>
      <c r="CR202" s="217"/>
      <c r="CS202" s="217"/>
      <c r="CT202" s="217"/>
      <c r="CU202" s="217"/>
      <c r="CV202" s="217"/>
      <c r="CW202" s="217"/>
      <c r="CX202" s="217"/>
      <c r="CY202" s="217"/>
      <c r="CZ202" s="217"/>
      <c r="DA202" s="217"/>
      <c r="DB202" s="217"/>
      <c r="DC202" s="217"/>
      <c r="DD202" s="217"/>
      <c r="DE202" s="217"/>
      <c r="DF202" s="217"/>
      <c r="DG202" s="217"/>
      <c r="DH202" s="217"/>
      <c r="DI202" s="217"/>
      <c r="DJ202" s="217"/>
      <c r="DK202" s="217"/>
      <c r="DL202" s="217"/>
      <c r="DM202" s="217"/>
      <c r="DN202" s="217"/>
      <c r="DO202" s="217"/>
      <c r="DP202" s="217"/>
      <c r="DQ202" s="217"/>
      <c r="DR202" s="217"/>
      <c r="DS202" s="217"/>
      <c r="DT202" s="217"/>
      <c r="DU202" s="217"/>
      <c r="DV202" s="217"/>
      <c r="DW202" s="217"/>
      <c r="DX202" s="217"/>
      <c r="DY202" s="217"/>
      <c r="DZ202" s="217"/>
      <c r="EA202" s="217"/>
      <c r="EB202" s="217"/>
      <c r="EC202" s="217"/>
      <c r="ED202" s="217"/>
      <c r="EE202" s="217"/>
      <c r="EF202" s="217"/>
      <c r="EG202" s="217"/>
      <c r="EH202" s="217"/>
      <c r="EI202" s="217"/>
      <c r="EJ202" s="217"/>
      <c r="EK202" s="217"/>
      <c r="EL202" s="217"/>
      <c r="EM202" s="217"/>
      <c r="EN202" s="217"/>
      <c r="EO202" s="217"/>
      <c r="EP202" s="217"/>
      <c r="EQ202" s="217"/>
      <c r="ER202" s="217"/>
      <c r="ES202" s="217"/>
      <c r="ET202" s="217"/>
      <c r="EU202" s="217"/>
      <c r="EV202" s="217"/>
      <c r="EW202" s="217"/>
      <c r="EX202" s="217"/>
      <c r="EY202" s="217"/>
      <c r="EZ202" s="217"/>
      <c r="FA202" s="217"/>
      <c r="FB202" s="217"/>
      <c r="FC202" s="217"/>
      <c r="FD202" s="217"/>
      <c r="FE202" s="217"/>
      <c r="FF202" s="217"/>
      <c r="FG202" s="217"/>
      <c r="FH202" s="217"/>
      <c r="FI202" s="217"/>
      <c r="FJ202" s="217"/>
      <c r="FK202" s="217"/>
      <c r="FL202" s="217"/>
      <c r="FM202" s="217"/>
      <c r="FN202" s="217"/>
      <c r="FO202" s="217"/>
      <c r="FP202" s="217"/>
      <c r="FQ202" s="217"/>
      <c r="FR202" s="217"/>
      <c r="FS202" s="217"/>
      <c r="FT202" s="217"/>
      <c r="FU202" s="217"/>
      <c r="FV202" s="217"/>
      <c r="FW202" s="217"/>
      <c r="FX202" s="217"/>
      <c r="FY202" s="217"/>
      <c r="FZ202" s="217"/>
      <c r="GA202" s="217"/>
      <c r="GB202" s="217"/>
      <c r="GC202" s="217"/>
      <c r="GD202" s="217"/>
      <c r="GE202" s="217"/>
      <c r="GF202" s="217"/>
      <c r="GG202" s="217"/>
      <c r="GH202" s="217"/>
      <c r="GI202" s="217"/>
      <c r="GJ202" s="217"/>
      <c r="GK202" s="217"/>
      <c r="GL202" s="217"/>
      <c r="GM202" s="217"/>
      <c r="GN202" s="217"/>
      <c r="GO202" s="217"/>
      <c r="GP202" s="217"/>
      <c r="GQ202" s="217"/>
      <c r="GR202" s="217"/>
      <c r="GS202" s="217"/>
      <c r="GT202" s="217"/>
      <c r="GU202" s="217"/>
      <c r="GV202" s="217"/>
      <c r="GW202" s="217"/>
      <c r="GX202" s="217"/>
      <c r="GY202" s="217"/>
      <c r="GZ202" s="217"/>
      <c r="HA202" s="217"/>
      <c r="HB202" s="217"/>
      <c r="HC202" s="217"/>
      <c r="HD202" s="217"/>
      <c r="HE202" s="217"/>
      <c r="HF202" s="217"/>
      <c r="HG202" s="217"/>
      <c r="HH202" s="217"/>
      <c r="HI202" s="217"/>
      <c r="HJ202" s="217"/>
      <c r="HK202" s="217"/>
      <c r="HL202" s="217"/>
      <c r="HM202" s="217"/>
      <c r="HN202" s="217"/>
      <c r="HO202" s="217"/>
      <c r="HP202" s="217"/>
      <c r="HQ202" s="217"/>
      <c r="HR202" s="217"/>
      <c r="HS202" s="217"/>
      <c r="HT202" s="217"/>
      <c r="HU202" s="217"/>
      <c r="HV202" s="217"/>
      <c r="HW202" s="217"/>
      <c r="HX202" s="217"/>
      <c r="HY202" s="217"/>
      <c r="HZ202" s="217"/>
      <c r="IA202" s="217"/>
      <c r="IB202" s="217"/>
      <c r="IC202" s="217"/>
      <c r="ID202" s="217"/>
      <c r="IE202" s="217"/>
      <c r="IF202" s="217"/>
      <c r="IG202" s="217"/>
      <c r="IH202" s="217"/>
      <c r="II202" s="217"/>
      <c r="IJ202" s="217"/>
      <c r="IK202" s="217"/>
      <c r="IL202" s="217"/>
      <c r="IM202" s="217"/>
      <c r="IN202" s="217"/>
      <c r="IO202" s="217"/>
      <c r="IP202" s="217"/>
      <c r="IQ202" s="217"/>
      <c r="IR202" s="217"/>
      <c r="IS202" s="217"/>
      <c r="IT202" s="217"/>
      <c r="IU202" s="217"/>
      <c r="IV202" s="217"/>
    </row>
    <row r="203" spans="1:256" ht="18" x14ac:dyDescent="0.25">
      <c r="A203" s="216"/>
      <c r="B203" s="465" t="str">
        <f>ADDRESS</f>
        <v>29002 Crossroads Ln., Evergreen, CO 80439</v>
      </c>
      <c r="C203" s="465"/>
      <c r="D203" s="465"/>
      <c r="E203" s="465"/>
      <c r="F203" s="465"/>
      <c r="G203" s="465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1"/>
      <c r="W203" s="221"/>
      <c r="X203" s="221"/>
      <c r="Y203" s="221"/>
      <c r="Z203" s="221"/>
      <c r="AA203" s="221"/>
      <c r="AB203" s="221"/>
      <c r="AC203" s="221"/>
      <c r="AD203" s="221"/>
      <c r="AE203" s="221"/>
      <c r="AF203" s="221"/>
      <c r="AG203" s="221"/>
      <c r="AH203" s="221"/>
      <c r="AI203" s="221"/>
      <c r="AJ203" s="221"/>
      <c r="AK203" s="221"/>
      <c r="AL203" s="221"/>
      <c r="AM203" s="221"/>
      <c r="AN203" s="221"/>
      <c r="AO203" s="221"/>
      <c r="AP203" s="221"/>
      <c r="AQ203" s="221"/>
      <c r="AR203" s="221"/>
      <c r="AS203" s="221"/>
      <c r="AT203" s="222"/>
      <c r="AU203" s="222"/>
      <c r="AV203" s="221"/>
      <c r="AW203" s="221"/>
      <c r="AX203" s="221"/>
      <c r="AY203" s="221"/>
      <c r="AZ203" s="221"/>
      <c r="BA203" s="221"/>
      <c r="BB203" s="221"/>
      <c r="BC203" s="221"/>
      <c r="BD203" s="221"/>
      <c r="BE203" s="221"/>
      <c r="BF203" s="221"/>
      <c r="BG203" s="221"/>
      <c r="BH203" s="221"/>
      <c r="BI203" s="221"/>
      <c r="BJ203" s="221"/>
      <c r="BK203" s="221"/>
      <c r="BL203" s="221"/>
      <c r="BM203" s="221"/>
      <c r="BN203" s="221"/>
      <c r="BO203" s="221"/>
      <c r="BP203" s="221"/>
      <c r="BQ203" s="221"/>
      <c r="BR203" s="221"/>
      <c r="BS203" s="221"/>
      <c r="BT203" s="221"/>
      <c r="BU203" s="221"/>
      <c r="BV203" s="221"/>
      <c r="BW203" s="221"/>
      <c r="BX203" s="221"/>
      <c r="BY203" s="221"/>
      <c r="BZ203" s="221"/>
      <c r="CA203" s="221"/>
      <c r="CB203" s="221"/>
      <c r="CC203" s="221"/>
      <c r="CD203" s="221"/>
      <c r="CE203" s="221"/>
      <c r="CF203" s="221"/>
      <c r="CG203" s="221"/>
      <c r="CH203" s="221"/>
      <c r="CI203" s="221"/>
      <c r="CJ203" s="221"/>
      <c r="CK203" s="221"/>
      <c r="CL203" s="221"/>
      <c r="CM203" s="221"/>
      <c r="CN203" s="221"/>
      <c r="CO203" s="221"/>
      <c r="CP203" s="221"/>
      <c r="CQ203" s="221"/>
      <c r="CR203" s="221"/>
      <c r="CS203" s="221"/>
      <c r="CT203" s="221"/>
      <c r="CU203" s="221"/>
      <c r="CV203" s="221"/>
      <c r="CW203" s="221"/>
      <c r="CX203" s="221"/>
      <c r="CY203" s="221"/>
      <c r="CZ203" s="221"/>
      <c r="DA203" s="221"/>
      <c r="DB203" s="221"/>
      <c r="DC203" s="221"/>
      <c r="DD203" s="221"/>
      <c r="DE203" s="221"/>
      <c r="DF203" s="221"/>
      <c r="DG203" s="221"/>
      <c r="DH203" s="221"/>
      <c r="DI203" s="221"/>
      <c r="DJ203" s="221"/>
      <c r="DK203" s="221"/>
      <c r="DL203" s="221"/>
      <c r="DM203" s="221"/>
      <c r="DN203" s="221"/>
      <c r="DO203" s="221"/>
      <c r="DP203" s="221"/>
      <c r="DQ203" s="221"/>
      <c r="DR203" s="221"/>
      <c r="DS203" s="221"/>
      <c r="DT203" s="221"/>
      <c r="DU203" s="221"/>
      <c r="DV203" s="221"/>
      <c r="DW203" s="221"/>
      <c r="DX203" s="221"/>
      <c r="DY203" s="221"/>
      <c r="DZ203" s="221"/>
      <c r="EA203" s="221"/>
      <c r="EB203" s="221"/>
      <c r="EC203" s="221"/>
      <c r="ED203" s="221"/>
      <c r="EE203" s="221"/>
      <c r="EF203" s="221"/>
      <c r="EG203" s="221"/>
      <c r="EH203" s="221"/>
      <c r="EI203" s="221"/>
      <c r="EJ203" s="221"/>
      <c r="EK203" s="221"/>
      <c r="EL203" s="221"/>
      <c r="EM203" s="221"/>
      <c r="EN203" s="221"/>
      <c r="EO203" s="221"/>
      <c r="EP203" s="221"/>
      <c r="EQ203" s="221"/>
      <c r="ER203" s="221"/>
      <c r="ES203" s="221"/>
      <c r="ET203" s="221"/>
      <c r="EU203" s="221"/>
      <c r="EV203" s="221"/>
      <c r="EW203" s="221"/>
      <c r="EX203" s="221"/>
      <c r="EY203" s="221"/>
      <c r="EZ203" s="221"/>
      <c r="FA203" s="221"/>
      <c r="FB203" s="221"/>
      <c r="FC203" s="221"/>
      <c r="FD203" s="221"/>
      <c r="FE203" s="221"/>
      <c r="FF203" s="221"/>
      <c r="FG203" s="221"/>
      <c r="FH203" s="221"/>
      <c r="FI203" s="221"/>
      <c r="FJ203" s="221"/>
      <c r="FK203" s="221"/>
      <c r="FL203" s="221"/>
      <c r="FM203" s="221"/>
      <c r="FN203" s="221"/>
      <c r="FO203" s="221"/>
      <c r="FP203" s="221"/>
      <c r="FQ203" s="221"/>
      <c r="FR203" s="221"/>
      <c r="FS203" s="221"/>
      <c r="FT203" s="221"/>
      <c r="FU203" s="221"/>
      <c r="FV203" s="221"/>
      <c r="FW203" s="221"/>
      <c r="FX203" s="221"/>
      <c r="FY203" s="221"/>
      <c r="FZ203" s="221"/>
      <c r="GA203" s="221"/>
      <c r="GB203" s="221"/>
      <c r="GC203" s="221"/>
      <c r="GD203" s="221"/>
      <c r="GE203" s="221"/>
      <c r="GF203" s="221"/>
      <c r="GG203" s="221"/>
      <c r="GH203" s="221"/>
      <c r="GI203" s="221"/>
      <c r="GJ203" s="221"/>
      <c r="GK203" s="221"/>
      <c r="GL203" s="221"/>
      <c r="GM203" s="221"/>
      <c r="GN203" s="221"/>
      <c r="GO203" s="221"/>
      <c r="GP203" s="221"/>
      <c r="GQ203" s="221"/>
      <c r="GR203" s="221"/>
      <c r="GS203" s="221"/>
      <c r="GT203" s="221"/>
      <c r="GU203" s="221"/>
      <c r="GV203" s="221"/>
      <c r="GW203" s="221"/>
      <c r="GX203" s="221"/>
      <c r="GY203" s="221"/>
      <c r="GZ203" s="221"/>
      <c r="HA203" s="221"/>
      <c r="HB203" s="221"/>
      <c r="HC203" s="221"/>
      <c r="HD203" s="221"/>
      <c r="HE203" s="221"/>
      <c r="HF203" s="221"/>
      <c r="HG203" s="221"/>
      <c r="HH203" s="221"/>
      <c r="HI203" s="221"/>
      <c r="HJ203" s="221"/>
      <c r="HK203" s="221"/>
      <c r="HL203" s="221"/>
      <c r="HM203" s="221"/>
      <c r="HN203" s="221"/>
      <c r="HO203" s="221"/>
      <c r="HP203" s="221"/>
      <c r="HQ203" s="221"/>
      <c r="HR203" s="221"/>
      <c r="HS203" s="221"/>
      <c r="HT203" s="221"/>
      <c r="HU203" s="221"/>
      <c r="HV203" s="221"/>
      <c r="HW203" s="221"/>
      <c r="HX203" s="221"/>
      <c r="HY203" s="221"/>
      <c r="HZ203" s="221"/>
      <c r="IA203" s="221"/>
      <c r="IB203" s="221"/>
      <c r="IC203" s="221"/>
      <c r="ID203" s="221"/>
      <c r="IE203" s="221"/>
      <c r="IF203" s="221"/>
      <c r="IG203" s="221"/>
      <c r="IH203" s="221"/>
      <c r="II203" s="221"/>
      <c r="IJ203" s="221"/>
      <c r="IK203" s="221"/>
      <c r="IL203" s="221"/>
      <c r="IM203" s="221"/>
      <c r="IN203" s="221"/>
      <c r="IO203" s="221"/>
      <c r="IP203" s="221"/>
      <c r="IQ203" s="221"/>
      <c r="IR203" s="221"/>
      <c r="IS203" s="221"/>
      <c r="IT203" s="221"/>
      <c r="IU203" s="221"/>
      <c r="IV203" s="221"/>
    </row>
    <row r="204" spans="1:256" s="219" customFormat="1" ht="18" x14ac:dyDescent="0.25">
      <c r="A204" s="220"/>
      <c r="B204" s="220"/>
      <c r="C204" s="220"/>
      <c r="D204" s="215"/>
      <c r="E204" s="215"/>
      <c r="F204" s="216"/>
      <c r="G204" s="216"/>
      <c r="H204" s="216"/>
      <c r="I204" s="216"/>
      <c r="J204" s="216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7"/>
      <c r="W204" s="217"/>
      <c r="X204" s="217"/>
      <c r="Y204" s="217"/>
      <c r="Z204" s="217"/>
      <c r="AA204" s="217"/>
      <c r="AB204" s="217"/>
      <c r="AC204" s="217"/>
      <c r="AD204" s="217"/>
      <c r="AE204" s="217"/>
      <c r="AF204" s="217"/>
      <c r="AG204" s="217"/>
      <c r="AH204" s="217"/>
      <c r="AI204" s="217"/>
      <c r="AJ204" s="217"/>
      <c r="AK204" s="217"/>
      <c r="AL204" s="217"/>
      <c r="AM204" s="217"/>
      <c r="AN204" s="217"/>
      <c r="AO204" s="217"/>
      <c r="AP204" s="217"/>
      <c r="AQ204" s="217"/>
      <c r="AR204" s="217"/>
      <c r="AS204" s="217"/>
      <c r="AT204" s="218"/>
      <c r="AU204" s="218"/>
      <c r="AV204" s="217"/>
      <c r="AW204" s="217"/>
      <c r="AX204" s="217"/>
      <c r="AY204" s="217"/>
      <c r="AZ204" s="217"/>
      <c r="BA204" s="217"/>
      <c r="BB204" s="217"/>
      <c r="BC204" s="217"/>
      <c r="BD204" s="217"/>
      <c r="BE204" s="217"/>
      <c r="BF204" s="217"/>
      <c r="BG204" s="217"/>
      <c r="BH204" s="217"/>
      <c r="BI204" s="217"/>
      <c r="BJ204" s="217"/>
      <c r="BK204" s="217"/>
      <c r="BL204" s="217"/>
      <c r="BM204" s="217"/>
      <c r="BN204" s="217"/>
      <c r="BO204" s="217"/>
      <c r="BP204" s="217"/>
      <c r="BQ204" s="217"/>
      <c r="BR204" s="217"/>
      <c r="BS204" s="217"/>
      <c r="BT204" s="217"/>
      <c r="BU204" s="217"/>
      <c r="BV204" s="217"/>
      <c r="BW204" s="217"/>
      <c r="BX204" s="217"/>
      <c r="BY204" s="217"/>
      <c r="BZ204" s="217"/>
      <c r="CA204" s="217"/>
      <c r="CB204" s="217"/>
      <c r="CC204" s="217"/>
      <c r="CD204" s="217"/>
      <c r="CE204" s="217"/>
      <c r="CF204" s="217"/>
      <c r="CG204" s="217"/>
      <c r="CH204" s="217"/>
      <c r="CI204" s="217"/>
      <c r="CJ204" s="217"/>
      <c r="CK204" s="217"/>
      <c r="CL204" s="217"/>
      <c r="CM204" s="217"/>
      <c r="CN204" s="217"/>
      <c r="CO204" s="217"/>
      <c r="CP204" s="217"/>
      <c r="CQ204" s="217"/>
      <c r="CR204" s="217"/>
      <c r="CS204" s="217"/>
      <c r="CT204" s="217"/>
      <c r="CU204" s="217"/>
      <c r="CV204" s="217"/>
      <c r="CW204" s="217"/>
      <c r="CX204" s="217"/>
      <c r="CY204" s="217"/>
      <c r="CZ204" s="217"/>
      <c r="DA204" s="217"/>
      <c r="DB204" s="217"/>
      <c r="DC204" s="217"/>
      <c r="DD204" s="217"/>
      <c r="DE204" s="217"/>
      <c r="DF204" s="217"/>
      <c r="DG204" s="217"/>
      <c r="DH204" s="217"/>
      <c r="DI204" s="217"/>
      <c r="DJ204" s="217"/>
      <c r="DK204" s="217"/>
      <c r="DL204" s="217"/>
      <c r="DM204" s="217"/>
      <c r="DN204" s="217"/>
      <c r="DO204" s="217"/>
      <c r="DP204" s="217"/>
      <c r="DQ204" s="217"/>
      <c r="DR204" s="217"/>
      <c r="DS204" s="217"/>
      <c r="DT204" s="217"/>
      <c r="DU204" s="217"/>
      <c r="DV204" s="217"/>
      <c r="DW204" s="217"/>
      <c r="DX204" s="217"/>
      <c r="DY204" s="217"/>
      <c r="DZ204" s="217"/>
      <c r="EA204" s="217"/>
      <c r="EB204" s="217"/>
      <c r="EC204" s="217"/>
      <c r="ED204" s="217"/>
      <c r="EE204" s="217"/>
      <c r="EF204" s="217"/>
      <c r="EG204" s="217"/>
      <c r="EH204" s="217"/>
      <c r="EI204" s="217"/>
      <c r="EJ204" s="217"/>
      <c r="EK204" s="217"/>
      <c r="EL204" s="217"/>
      <c r="EM204" s="217"/>
      <c r="EN204" s="217"/>
      <c r="EO204" s="217"/>
      <c r="EP204" s="217"/>
      <c r="EQ204" s="217"/>
      <c r="ER204" s="217"/>
      <c r="ES204" s="217"/>
      <c r="ET204" s="217"/>
      <c r="EU204" s="217"/>
      <c r="EV204" s="217"/>
      <c r="EW204" s="217"/>
      <c r="EX204" s="217"/>
      <c r="EY204" s="217"/>
      <c r="EZ204" s="217"/>
      <c r="FA204" s="217"/>
      <c r="FB204" s="217"/>
      <c r="FC204" s="217"/>
      <c r="FD204" s="217"/>
      <c r="FE204" s="217"/>
      <c r="FF204" s="217"/>
      <c r="FG204" s="217"/>
      <c r="FH204" s="217"/>
      <c r="FI204" s="217"/>
      <c r="FJ204" s="217"/>
      <c r="FK204" s="217"/>
      <c r="FL204" s="217"/>
      <c r="FM204" s="217"/>
      <c r="FN204" s="217"/>
      <c r="FO204" s="217"/>
      <c r="FP204" s="217"/>
      <c r="FQ204" s="217"/>
      <c r="FR204" s="217"/>
      <c r="FS204" s="217"/>
      <c r="FT204" s="217"/>
      <c r="FU204" s="217"/>
      <c r="FV204" s="217"/>
      <c r="FW204" s="217"/>
      <c r="FX204" s="217"/>
      <c r="FY204" s="217"/>
      <c r="FZ204" s="217"/>
      <c r="GA204" s="217"/>
      <c r="GB204" s="217"/>
      <c r="GC204" s="217"/>
      <c r="GD204" s="217"/>
      <c r="GE204" s="217"/>
      <c r="GF204" s="217"/>
      <c r="GG204" s="217"/>
      <c r="GH204" s="217"/>
      <c r="GI204" s="217"/>
      <c r="GJ204" s="217"/>
      <c r="GK204" s="217"/>
      <c r="GL204" s="217"/>
      <c r="GM204" s="217"/>
      <c r="GN204" s="217"/>
      <c r="GO204" s="217"/>
      <c r="GP204" s="217"/>
      <c r="GQ204" s="217"/>
      <c r="GR204" s="217"/>
      <c r="GS204" s="217"/>
      <c r="GT204" s="217"/>
      <c r="GU204" s="217"/>
      <c r="GV204" s="217"/>
      <c r="GW204" s="217"/>
      <c r="GX204" s="217"/>
      <c r="GY204" s="217"/>
      <c r="GZ204" s="217"/>
      <c r="HA204" s="217"/>
      <c r="HB204" s="217"/>
      <c r="HC204" s="217"/>
      <c r="HD204" s="217"/>
      <c r="HE204" s="217"/>
      <c r="HF204" s="217"/>
      <c r="HG204" s="217"/>
      <c r="HH204" s="217"/>
      <c r="HI204" s="217"/>
      <c r="HJ204" s="217"/>
      <c r="HK204" s="217"/>
      <c r="HL204" s="217"/>
      <c r="HM204" s="217"/>
      <c r="HN204" s="217"/>
      <c r="HO204" s="217"/>
      <c r="HP204" s="217"/>
      <c r="HQ204" s="217"/>
      <c r="HR204" s="217"/>
      <c r="HS204" s="217"/>
      <c r="HT204" s="217"/>
      <c r="HU204" s="217"/>
      <c r="HV204" s="217"/>
      <c r="HW204" s="217"/>
      <c r="HX204" s="217"/>
      <c r="HY204" s="217"/>
      <c r="HZ204" s="217"/>
      <c r="IA204" s="217"/>
      <c r="IB204" s="217"/>
      <c r="IC204" s="217"/>
      <c r="ID204" s="217"/>
      <c r="IE204" s="217"/>
      <c r="IF204" s="217"/>
      <c r="IG204" s="217"/>
      <c r="IH204" s="217"/>
      <c r="II204" s="217"/>
      <c r="IJ204" s="217"/>
      <c r="IK204" s="217"/>
      <c r="IL204" s="217"/>
      <c r="IM204" s="217"/>
      <c r="IN204" s="217"/>
      <c r="IO204" s="217"/>
      <c r="IP204" s="217"/>
      <c r="IQ204" s="217"/>
      <c r="IR204" s="217"/>
      <c r="IS204" s="217"/>
      <c r="IT204" s="217"/>
      <c r="IU204" s="217"/>
      <c r="IV204" s="217"/>
    </row>
    <row r="205" spans="1:256" s="219" customFormat="1" ht="18" x14ac:dyDescent="0.25">
      <c r="A205" s="216"/>
      <c r="B205" s="216"/>
      <c r="C205" s="216"/>
      <c r="D205" s="215"/>
      <c r="E205" s="215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7"/>
      <c r="W205" s="217"/>
      <c r="X205" s="217"/>
      <c r="Y205" s="217"/>
      <c r="Z205" s="217"/>
      <c r="AA205" s="217"/>
      <c r="AB205" s="217"/>
      <c r="AC205" s="217"/>
      <c r="AD205" s="217"/>
      <c r="AE205" s="217"/>
      <c r="AF205" s="217"/>
      <c r="AG205" s="217"/>
      <c r="AH205" s="217"/>
      <c r="AI205" s="217"/>
      <c r="AJ205" s="217"/>
      <c r="AK205" s="217"/>
      <c r="AL205" s="217"/>
      <c r="AM205" s="217"/>
      <c r="AN205" s="217"/>
      <c r="AO205" s="217"/>
      <c r="AP205" s="217"/>
      <c r="AQ205" s="217"/>
      <c r="AR205" s="217"/>
      <c r="AS205" s="217"/>
      <c r="AT205" s="218"/>
      <c r="AU205" s="218"/>
      <c r="AV205" s="217"/>
      <c r="AW205" s="217"/>
      <c r="AX205" s="217"/>
      <c r="AY205" s="217"/>
      <c r="AZ205" s="217"/>
      <c r="BA205" s="217"/>
      <c r="BB205" s="217"/>
      <c r="BC205" s="217"/>
      <c r="BD205" s="217"/>
      <c r="BE205" s="217"/>
      <c r="BF205" s="217"/>
      <c r="BG205" s="217"/>
      <c r="BH205" s="217"/>
      <c r="BI205" s="217"/>
      <c r="BJ205" s="217"/>
      <c r="BK205" s="217"/>
      <c r="BL205" s="217"/>
      <c r="BM205" s="217"/>
      <c r="BN205" s="217"/>
      <c r="BO205" s="217"/>
      <c r="BP205" s="217"/>
      <c r="BQ205" s="217"/>
      <c r="BR205" s="217"/>
      <c r="BS205" s="217"/>
      <c r="BT205" s="217"/>
      <c r="BU205" s="217"/>
      <c r="BV205" s="217"/>
      <c r="BW205" s="217"/>
      <c r="BX205" s="217"/>
      <c r="BY205" s="217"/>
      <c r="BZ205" s="217"/>
      <c r="CA205" s="217"/>
      <c r="CB205" s="217"/>
      <c r="CC205" s="217"/>
      <c r="CD205" s="217"/>
      <c r="CE205" s="217"/>
      <c r="CF205" s="217"/>
      <c r="CG205" s="217"/>
      <c r="CH205" s="217"/>
      <c r="CI205" s="217"/>
      <c r="CJ205" s="217"/>
      <c r="CK205" s="217"/>
      <c r="CL205" s="217"/>
      <c r="CM205" s="217"/>
      <c r="CN205" s="217"/>
      <c r="CO205" s="217"/>
      <c r="CP205" s="217"/>
      <c r="CQ205" s="217"/>
      <c r="CR205" s="217"/>
      <c r="CS205" s="217"/>
      <c r="CT205" s="217"/>
      <c r="CU205" s="217"/>
      <c r="CV205" s="217"/>
      <c r="CW205" s="217"/>
      <c r="CX205" s="217"/>
      <c r="CY205" s="217"/>
      <c r="CZ205" s="217"/>
      <c r="DA205" s="217"/>
      <c r="DB205" s="217"/>
      <c r="DC205" s="217"/>
      <c r="DD205" s="217"/>
      <c r="DE205" s="217"/>
      <c r="DF205" s="217"/>
      <c r="DG205" s="217"/>
      <c r="DH205" s="217"/>
      <c r="DI205" s="217"/>
      <c r="DJ205" s="217"/>
      <c r="DK205" s="217"/>
      <c r="DL205" s="217"/>
      <c r="DM205" s="217"/>
      <c r="DN205" s="217"/>
      <c r="DO205" s="217"/>
      <c r="DP205" s="217"/>
      <c r="DQ205" s="217"/>
      <c r="DR205" s="217"/>
      <c r="DS205" s="217"/>
      <c r="DT205" s="217"/>
      <c r="DU205" s="217"/>
      <c r="DV205" s="217"/>
      <c r="DW205" s="217"/>
      <c r="DX205" s="217"/>
      <c r="DY205" s="217"/>
      <c r="DZ205" s="217"/>
      <c r="EA205" s="217"/>
      <c r="EB205" s="217"/>
      <c r="EC205" s="217"/>
      <c r="ED205" s="217"/>
      <c r="EE205" s="217"/>
      <c r="EF205" s="217"/>
      <c r="EG205" s="217"/>
      <c r="EH205" s="217"/>
      <c r="EI205" s="217"/>
      <c r="EJ205" s="217"/>
      <c r="EK205" s="217"/>
      <c r="EL205" s="217"/>
      <c r="EM205" s="217"/>
      <c r="EN205" s="217"/>
      <c r="EO205" s="217"/>
      <c r="EP205" s="217"/>
      <c r="EQ205" s="217"/>
      <c r="ER205" s="217"/>
      <c r="ES205" s="217"/>
      <c r="ET205" s="217"/>
      <c r="EU205" s="217"/>
      <c r="EV205" s="217"/>
      <c r="EW205" s="217"/>
      <c r="EX205" s="217"/>
      <c r="EY205" s="217"/>
      <c r="EZ205" s="217"/>
      <c r="FA205" s="217"/>
      <c r="FB205" s="217"/>
      <c r="FC205" s="217"/>
      <c r="FD205" s="217"/>
      <c r="FE205" s="217"/>
      <c r="FF205" s="217"/>
      <c r="FG205" s="217"/>
      <c r="FH205" s="217"/>
      <c r="FI205" s="217"/>
      <c r="FJ205" s="217"/>
      <c r="FK205" s="217"/>
      <c r="FL205" s="217"/>
      <c r="FM205" s="217"/>
      <c r="FN205" s="217"/>
      <c r="FO205" s="217"/>
      <c r="FP205" s="217"/>
      <c r="FQ205" s="217"/>
      <c r="FR205" s="217"/>
      <c r="FS205" s="217"/>
      <c r="FT205" s="217"/>
      <c r="FU205" s="217"/>
      <c r="FV205" s="217"/>
      <c r="FW205" s="217"/>
      <c r="FX205" s="217"/>
      <c r="FY205" s="217"/>
      <c r="FZ205" s="217"/>
      <c r="GA205" s="217"/>
      <c r="GB205" s="217"/>
      <c r="GC205" s="217"/>
      <c r="GD205" s="217"/>
      <c r="GE205" s="217"/>
      <c r="GF205" s="217"/>
      <c r="GG205" s="217"/>
      <c r="GH205" s="217"/>
      <c r="GI205" s="217"/>
      <c r="GJ205" s="217"/>
      <c r="GK205" s="217"/>
      <c r="GL205" s="217"/>
      <c r="GM205" s="217"/>
      <c r="GN205" s="217"/>
      <c r="GO205" s="217"/>
      <c r="GP205" s="217"/>
      <c r="GQ205" s="217"/>
      <c r="GR205" s="217"/>
      <c r="GS205" s="217"/>
      <c r="GT205" s="217"/>
      <c r="GU205" s="217"/>
      <c r="GV205" s="217"/>
      <c r="GW205" s="217"/>
      <c r="GX205" s="217"/>
      <c r="GY205" s="217"/>
      <c r="GZ205" s="217"/>
      <c r="HA205" s="217"/>
      <c r="HB205" s="217"/>
      <c r="HC205" s="217"/>
      <c r="HD205" s="217"/>
      <c r="HE205" s="217"/>
      <c r="HF205" s="217"/>
      <c r="HG205" s="217"/>
      <c r="HH205" s="217"/>
      <c r="HI205" s="217"/>
      <c r="HJ205" s="217"/>
      <c r="HK205" s="217"/>
      <c r="HL205" s="217"/>
      <c r="HM205" s="217"/>
      <c r="HN205" s="217"/>
      <c r="HO205" s="217"/>
      <c r="HP205" s="217"/>
      <c r="HQ205" s="217"/>
      <c r="HR205" s="217"/>
      <c r="HS205" s="217"/>
      <c r="HT205" s="217"/>
      <c r="HU205" s="217"/>
      <c r="HV205" s="217"/>
      <c r="HW205" s="217"/>
      <c r="HX205" s="217"/>
      <c r="HY205" s="217"/>
      <c r="HZ205" s="217"/>
      <c r="IA205" s="217"/>
      <c r="IB205" s="217"/>
      <c r="IC205" s="217"/>
      <c r="ID205" s="217"/>
      <c r="IE205" s="217"/>
      <c r="IF205" s="217"/>
      <c r="IG205" s="217"/>
      <c r="IH205" s="217"/>
      <c r="II205" s="217"/>
      <c r="IJ205" s="217"/>
      <c r="IK205" s="217"/>
      <c r="IL205" s="217"/>
      <c r="IM205" s="217"/>
      <c r="IN205" s="217"/>
      <c r="IO205" s="217"/>
      <c r="IP205" s="217"/>
      <c r="IQ205" s="217"/>
      <c r="IR205" s="217"/>
      <c r="IS205" s="217"/>
      <c r="IT205" s="217"/>
      <c r="IU205" s="217"/>
      <c r="IV205" s="217"/>
    </row>
    <row r="206" spans="1:256" s="219" customFormat="1" ht="18" x14ac:dyDescent="0.25">
      <c r="A206" s="216"/>
      <c r="B206" s="216"/>
      <c r="C206" s="216"/>
      <c r="D206" s="215"/>
      <c r="E206" s="215"/>
      <c r="F206" s="216"/>
      <c r="G206" s="216"/>
      <c r="H206" s="216"/>
      <c r="I206" s="216"/>
      <c r="J206" s="216"/>
      <c r="K206" s="216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7"/>
      <c r="W206" s="217"/>
      <c r="X206" s="217"/>
      <c r="Y206" s="217"/>
      <c r="Z206" s="217"/>
      <c r="AA206" s="217"/>
      <c r="AB206" s="217"/>
      <c r="AC206" s="217"/>
      <c r="AD206" s="217"/>
      <c r="AE206" s="217"/>
      <c r="AF206" s="217"/>
      <c r="AG206" s="217"/>
      <c r="AH206" s="217"/>
      <c r="AI206" s="217"/>
      <c r="AJ206" s="217"/>
      <c r="AK206" s="217"/>
      <c r="AL206" s="217"/>
      <c r="AM206" s="217"/>
      <c r="AN206" s="217"/>
      <c r="AO206" s="217"/>
      <c r="AP206" s="217"/>
      <c r="AQ206" s="217"/>
      <c r="AR206" s="217"/>
      <c r="AS206" s="217"/>
      <c r="AT206" s="218"/>
      <c r="AU206" s="218"/>
      <c r="AV206" s="217"/>
      <c r="AW206" s="217"/>
      <c r="AX206" s="217"/>
      <c r="AY206" s="217"/>
      <c r="AZ206" s="217"/>
      <c r="BA206" s="217"/>
      <c r="BB206" s="217"/>
      <c r="BC206" s="217"/>
      <c r="BD206" s="217"/>
      <c r="BE206" s="217"/>
      <c r="BF206" s="217"/>
      <c r="BG206" s="217"/>
      <c r="BH206" s="217"/>
      <c r="BI206" s="217"/>
      <c r="BJ206" s="217"/>
      <c r="BK206" s="217"/>
      <c r="BL206" s="217"/>
      <c r="BM206" s="217"/>
      <c r="BN206" s="217"/>
      <c r="BO206" s="217"/>
      <c r="BP206" s="217"/>
      <c r="BQ206" s="217"/>
      <c r="BR206" s="217"/>
      <c r="BS206" s="217"/>
      <c r="BT206" s="217"/>
      <c r="BU206" s="217"/>
      <c r="BV206" s="217"/>
      <c r="BW206" s="217"/>
      <c r="BX206" s="217"/>
      <c r="BY206" s="217"/>
      <c r="BZ206" s="217"/>
      <c r="CA206" s="217"/>
      <c r="CB206" s="217"/>
      <c r="CC206" s="217"/>
      <c r="CD206" s="217"/>
      <c r="CE206" s="217"/>
      <c r="CF206" s="217"/>
      <c r="CG206" s="217"/>
      <c r="CH206" s="217"/>
      <c r="CI206" s="217"/>
      <c r="CJ206" s="217"/>
      <c r="CK206" s="217"/>
      <c r="CL206" s="217"/>
      <c r="CM206" s="217"/>
      <c r="CN206" s="217"/>
      <c r="CO206" s="217"/>
      <c r="CP206" s="217"/>
      <c r="CQ206" s="217"/>
      <c r="CR206" s="217"/>
      <c r="CS206" s="217"/>
      <c r="CT206" s="217"/>
      <c r="CU206" s="217"/>
      <c r="CV206" s="217"/>
      <c r="CW206" s="217"/>
      <c r="CX206" s="217"/>
      <c r="CY206" s="217"/>
      <c r="CZ206" s="217"/>
      <c r="DA206" s="217"/>
      <c r="DB206" s="217"/>
      <c r="DC206" s="217"/>
      <c r="DD206" s="217"/>
      <c r="DE206" s="217"/>
      <c r="DF206" s="217"/>
      <c r="DG206" s="217"/>
      <c r="DH206" s="217"/>
      <c r="DI206" s="217"/>
      <c r="DJ206" s="217"/>
      <c r="DK206" s="217"/>
      <c r="DL206" s="217"/>
      <c r="DM206" s="217"/>
      <c r="DN206" s="217"/>
      <c r="DO206" s="217"/>
      <c r="DP206" s="217"/>
      <c r="DQ206" s="217"/>
      <c r="DR206" s="217"/>
      <c r="DS206" s="217"/>
      <c r="DT206" s="217"/>
      <c r="DU206" s="217"/>
      <c r="DV206" s="217"/>
      <c r="DW206" s="217"/>
      <c r="DX206" s="217"/>
      <c r="DY206" s="217"/>
      <c r="DZ206" s="217"/>
      <c r="EA206" s="217"/>
      <c r="EB206" s="217"/>
      <c r="EC206" s="217"/>
      <c r="ED206" s="217"/>
      <c r="EE206" s="217"/>
      <c r="EF206" s="217"/>
      <c r="EG206" s="217"/>
      <c r="EH206" s="217"/>
      <c r="EI206" s="217"/>
      <c r="EJ206" s="217"/>
      <c r="EK206" s="217"/>
      <c r="EL206" s="217"/>
      <c r="EM206" s="217"/>
      <c r="EN206" s="217"/>
      <c r="EO206" s="217"/>
      <c r="EP206" s="217"/>
      <c r="EQ206" s="217"/>
      <c r="ER206" s="217"/>
      <c r="ES206" s="217"/>
      <c r="ET206" s="217"/>
      <c r="EU206" s="217"/>
      <c r="EV206" s="217"/>
      <c r="EW206" s="217"/>
      <c r="EX206" s="217"/>
      <c r="EY206" s="217"/>
      <c r="EZ206" s="217"/>
      <c r="FA206" s="217"/>
      <c r="FB206" s="217"/>
      <c r="FC206" s="217"/>
      <c r="FD206" s="217"/>
      <c r="FE206" s="217"/>
      <c r="FF206" s="217"/>
      <c r="FG206" s="217"/>
      <c r="FH206" s="217"/>
      <c r="FI206" s="217"/>
      <c r="FJ206" s="217"/>
      <c r="FK206" s="217"/>
      <c r="FL206" s="217"/>
      <c r="FM206" s="217"/>
      <c r="FN206" s="217"/>
      <c r="FO206" s="217"/>
      <c r="FP206" s="217"/>
      <c r="FQ206" s="217"/>
      <c r="FR206" s="217"/>
      <c r="FS206" s="217"/>
      <c r="FT206" s="217"/>
      <c r="FU206" s="217"/>
      <c r="FV206" s="217"/>
      <c r="FW206" s="217"/>
      <c r="FX206" s="217"/>
      <c r="FY206" s="217"/>
      <c r="FZ206" s="217"/>
      <c r="GA206" s="217"/>
      <c r="GB206" s="217"/>
      <c r="GC206" s="217"/>
      <c r="GD206" s="217"/>
      <c r="GE206" s="217"/>
      <c r="GF206" s="217"/>
      <c r="GG206" s="217"/>
      <c r="GH206" s="217"/>
      <c r="GI206" s="217"/>
      <c r="GJ206" s="217"/>
      <c r="GK206" s="217"/>
      <c r="GL206" s="217"/>
      <c r="GM206" s="217"/>
      <c r="GN206" s="217"/>
      <c r="GO206" s="217"/>
      <c r="GP206" s="217"/>
      <c r="GQ206" s="217"/>
      <c r="GR206" s="217"/>
      <c r="GS206" s="217"/>
      <c r="GT206" s="217"/>
      <c r="GU206" s="217"/>
      <c r="GV206" s="217"/>
      <c r="GW206" s="217"/>
      <c r="GX206" s="217"/>
      <c r="GY206" s="217"/>
      <c r="GZ206" s="217"/>
      <c r="HA206" s="217"/>
      <c r="HB206" s="217"/>
      <c r="HC206" s="217"/>
      <c r="HD206" s="217"/>
      <c r="HE206" s="217"/>
      <c r="HF206" s="217"/>
      <c r="HG206" s="217"/>
      <c r="HH206" s="217"/>
      <c r="HI206" s="217"/>
      <c r="HJ206" s="217"/>
      <c r="HK206" s="217"/>
      <c r="HL206" s="217"/>
      <c r="HM206" s="217"/>
      <c r="HN206" s="217"/>
      <c r="HO206" s="217"/>
      <c r="HP206" s="217"/>
      <c r="HQ206" s="217"/>
      <c r="HR206" s="217"/>
      <c r="HS206" s="217"/>
      <c r="HT206" s="217"/>
      <c r="HU206" s="217"/>
      <c r="HV206" s="217"/>
      <c r="HW206" s="217"/>
      <c r="HX206" s="217"/>
      <c r="HY206" s="217"/>
      <c r="HZ206" s="217"/>
      <c r="IA206" s="217"/>
      <c r="IB206" s="217"/>
      <c r="IC206" s="217"/>
      <c r="ID206" s="217"/>
      <c r="IE206" s="217"/>
      <c r="IF206" s="217"/>
      <c r="IG206" s="217"/>
      <c r="IH206" s="217"/>
      <c r="II206" s="217"/>
      <c r="IJ206" s="217"/>
      <c r="IK206" s="217"/>
      <c r="IL206" s="217"/>
      <c r="IM206" s="217"/>
      <c r="IN206" s="217"/>
      <c r="IO206" s="217"/>
      <c r="IP206" s="217"/>
      <c r="IQ206" s="217"/>
      <c r="IR206" s="217"/>
      <c r="IS206" s="217"/>
      <c r="IT206" s="217"/>
      <c r="IU206" s="217"/>
      <c r="IV206" s="217"/>
    </row>
    <row r="207" spans="1:256" s="219" customFormat="1" ht="18" x14ac:dyDescent="0.25">
      <c r="A207" s="216"/>
      <c r="B207" s="216"/>
      <c r="C207" s="216"/>
      <c r="D207" s="215"/>
      <c r="E207" s="215"/>
      <c r="F207" s="216"/>
      <c r="G207" s="216"/>
      <c r="H207" s="216"/>
      <c r="I207" s="216"/>
      <c r="J207" s="216"/>
      <c r="K207" s="216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7"/>
      <c r="W207" s="217"/>
      <c r="X207" s="217"/>
      <c r="Y207" s="217"/>
      <c r="Z207" s="217"/>
      <c r="AA207" s="217"/>
      <c r="AB207" s="217"/>
      <c r="AC207" s="217"/>
      <c r="AD207" s="217"/>
      <c r="AE207" s="217"/>
      <c r="AF207" s="217"/>
      <c r="AG207" s="217"/>
      <c r="AH207" s="217"/>
      <c r="AI207" s="217"/>
      <c r="AJ207" s="217"/>
      <c r="AK207" s="217"/>
      <c r="AL207" s="217"/>
      <c r="AM207" s="217"/>
      <c r="AN207" s="217"/>
      <c r="AO207" s="217"/>
      <c r="AP207" s="217"/>
      <c r="AQ207" s="217"/>
      <c r="AR207" s="217"/>
      <c r="AS207" s="217"/>
      <c r="AT207" s="218"/>
      <c r="AU207" s="218"/>
      <c r="AV207" s="217"/>
      <c r="AW207" s="217"/>
      <c r="AX207" s="217"/>
      <c r="AY207" s="217"/>
      <c r="AZ207" s="217"/>
      <c r="BA207" s="217"/>
      <c r="BB207" s="217"/>
      <c r="BC207" s="217"/>
      <c r="BD207" s="217"/>
      <c r="BE207" s="217"/>
      <c r="BF207" s="217"/>
      <c r="BG207" s="217"/>
      <c r="BH207" s="217"/>
      <c r="BI207" s="217"/>
      <c r="BJ207" s="217"/>
      <c r="BK207" s="217"/>
      <c r="BL207" s="217"/>
      <c r="BM207" s="217"/>
      <c r="BN207" s="217"/>
      <c r="BO207" s="217"/>
      <c r="BP207" s="217"/>
      <c r="BQ207" s="217"/>
      <c r="BR207" s="217"/>
      <c r="BS207" s="217"/>
      <c r="BT207" s="217"/>
      <c r="BU207" s="217"/>
      <c r="BV207" s="217"/>
      <c r="BW207" s="217"/>
      <c r="BX207" s="217"/>
      <c r="BY207" s="217"/>
      <c r="BZ207" s="217"/>
      <c r="CA207" s="217"/>
      <c r="CB207" s="217"/>
      <c r="CC207" s="217"/>
      <c r="CD207" s="217"/>
      <c r="CE207" s="217"/>
      <c r="CF207" s="217"/>
      <c r="CG207" s="217"/>
      <c r="CH207" s="217"/>
      <c r="CI207" s="217"/>
      <c r="CJ207" s="217"/>
      <c r="CK207" s="217"/>
      <c r="CL207" s="217"/>
      <c r="CM207" s="217"/>
      <c r="CN207" s="217"/>
      <c r="CO207" s="217"/>
      <c r="CP207" s="217"/>
      <c r="CQ207" s="217"/>
      <c r="CR207" s="217"/>
      <c r="CS207" s="217"/>
      <c r="CT207" s="217"/>
      <c r="CU207" s="217"/>
      <c r="CV207" s="217"/>
      <c r="CW207" s="217"/>
      <c r="CX207" s="217"/>
      <c r="CY207" s="217"/>
      <c r="CZ207" s="217"/>
      <c r="DA207" s="217"/>
      <c r="DB207" s="217"/>
      <c r="DC207" s="217"/>
      <c r="DD207" s="217"/>
      <c r="DE207" s="217"/>
      <c r="DF207" s="217"/>
      <c r="DG207" s="217"/>
      <c r="DH207" s="217"/>
      <c r="DI207" s="217"/>
      <c r="DJ207" s="217"/>
      <c r="DK207" s="217"/>
      <c r="DL207" s="217"/>
      <c r="DM207" s="217"/>
      <c r="DN207" s="217"/>
      <c r="DO207" s="217"/>
      <c r="DP207" s="217"/>
      <c r="DQ207" s="217"/>
      <c r="DR207" s="217"/>
      <c r="DS207" s="217"/>
      <c r="DT207" s="217"/>
      <c r="DU207" s="217"/>
      <c r="DV207" s="217"/>
      <c r="DW207" s="217"/>
      <c r="DX207" s="217"/>
      <c r="DY207" s="217"/>
      <c r="DZ207" s="217"/>
      <c r="EA207" s="217"/>
      <c r="EB207" s="217"/>
      <c r="EC207" s="217"/>
      <c r="ED207" s="217"/>
      <c r="EE207" s="217"/>
      <c r="EF207" s="217"/>
      <c r="EG207" s="217"/>
      <c r="EH207" s="217"/>
      <c r="EI207" s="217"/>
      <c r="EJ207" s="217"/>
      <c r="EK207" s="217"/>
      <c r="EL207" s="217"/>
      <c r="EM207" s="217"/>
      <c r="EN207" s="217"/>
      <c r="EO207" s="217"/>
      <c r="EP207" s="217"/>
      <c r="EQ207" s="217"/>
      <c r="ER207" s="217"/>
      <c r="ES207" s="217"/>
      <c r="ET207" s="217"/>
      <c r="EU207" s="217"/>
      <c r="EV207" s="217"/>
      <c r="EW207" s="217"/>
      <c r="EX207" s="217"/>
      <c r="EY207" s="217"/>
      <c r="EZ207" s="217"/>
      <c r="FA207" s="217"/>
      <c r="FB207" s="217"/>
      <c r="FC207" s="217"/>
      <c r="FD207" s="217"/>
      <c r="FE207" s="217"/>
      <c r="FF207" s="217"/>
      <c r="FG207" s="217"/>
      <c r="FH207" s="217"/>
      <c r="FI207" s="217"/>
      <c r="FJ207" s="217"/>
      <c r="FK207" s="217"/>
      <c r="FL207" s="217"/>
      <c r="FM207" s="217"/>
      <c r="FN207" s="217"/>
      <c r="FO207" s="217"/>
      <c r="FP207" s="217"/>
      <c r="FQ207" s="217"/>
      <c r="FR207" s="217"/>
      <c r="FS207" s="217"/>
      <c r="FT207" s="217"/>
      <c r="FU207" s="217"/>
      <c r="FV207" s="217"/>
      <c r="FW207" s="217"/>
      <c r="FX207" s="217"/>
      <c r="FY207" s="217"/>
      <c r="FZ207" s="217"/>
      <c r="GA207" s="217"/>
      <c r="GB207" s="217"/>
      <c r="GC207" s="217"/>
      <c r="GD207" s="217"/>
      <c r="GE207" s="217"/>
      <c r="GF207" s="217"/>
      <c r="GG207" s="217"/>
      <c r="GH207" s="217"/>
      <c r="GI207" s="217"/>
      <c r="GJ207" s="217"/>
      <c r="GK207" s="217"/>
      <c r="GL207" s="217"/>
      <c r="GM207" s="217"/>
      <c r="GN207" s="217"/>
      <c r="GO207" s="217"/>
      <c r="GP207" s="217"/>
      <c r="GQ207" s="217"/>
      <c r="GR207" s="217"/>
      <c r="GS207" s="217"/>
      <c r="GT207" s="217"/>
      <c r="GU207" s="217"/>
      <c r="GV207" s="217"/>
      <c r="GW207" s="217"/>
      <c r="GX207" s="217"/>
      <c r="GY207" s="217"/>
      <c r="GZ207" s="217"/>
      <c r="HA207" s="217"/>
      <c r="HB207" s="217"/>
      <c r="HC207" s="217"/>
      <c r="HD207" s="217"/>
      <c r="HE207" s="217"/>
      <c r="HF207" s="217"/>
      <c r="HG207" s="217"/>
      <c r="HH207" s="217"/>
      <c r="HI207" s="217"/>
      <c r="HJ207" s="217"/>
      <c r="HK207" s="217"/>
      <c r="HL207" s="217"/>
      <c r="HM207" s="217"/>
      <c r="HN207" s="217"/>
      <c r="HO207" s="217"/>
      <c r="HP207" s="217"/>
      <c r="HQ207" s="217"/>
      <c r="HR207" s="217"/>
      <c r="HS207" s="217"/>
      <c r="HT207" s="217"/>
      <c r="HU207" s="217"/>
      <c r="HV207" s="217"/>
      <c r="HW207" s="217"/>
      <c r="HX207" s="217"/>
      <c r="HY207" s="217"/>
      <c r="HZ207" s="217"/>
      <c r="IA207" s="217"/>
      <c r="IB207" s="217"/>
      <c r="IC207" s="217"/>
      <c r="ID207" s="217"/>
      <c r="IE207" s="217"/>
      <c r="IF207" s="217"/>
      <c r="IG207" s="217"/>
      <c r="IH207" s="217"/>
      <c r="II207" s="217"/>
      <c r="IJ207" s="217"/>
      <c r="IK207" s="217"/>
      <c r="IL207" s="217"/>
      <c r="IM207" s="217"/>
      <c r="IN207" s="217"/>
      <c r="IO207" s="217"/>
      <c r="IP207" s="217"/>
      <c r="IQ207" s="217"/>
      <c r="IR207" s="217"/>
      <c r="IS207" s="217"/>
      <c r="IT207" s="217"/>
      <c r="IU207" s="217"/>
      <c r="IV207" s="217"/>
    </row>
    <row r="208" spans="1:256" s="219" customFormat="1" ht="18" x14ac:dyDescent="0.25">
      <c r="A208" s="216"/>
      <c r="B208" s="216"/>
      <c r="C208" s="216"/>
      <c r="D208" s="215"/>
      <c r="E208" s="215"/>
      <c r="F208" s="216"/>
      <c r="G208" s="216"/>
      <c r="H208" s="216"/>
      <c r="I208" s="216"/>
      <c r="J208" s="216"/>
      <c r="K208" s="216"/>
      <c r="L208" s="216"/>
      <c r="M208" s="216"/>
      <c r="N208" s="216"/>
      <c r="O208" s="216"/>
      <c r="P208" s="216"/>
      <c r="Q208" s="216"/>
      <c r="R208" s="216"/>
      <c r="S208" s="216"/>
      <c r="T208" s="216"/>
      <c r="U208" s="216"/>
      <c r="V208" s="217"/>
      <c r="W208" s="217"/>
      <c r="X208" s="217"/>
      <c r="Y208" s="217"/>
      <c r="Z208" s="217"/>
      <c r="AA208" s="217"/>
      <c r="AB208" s="217"/>
      <c r="AC208" s="217"/>
      <c r="AD208" s="217"/>
      <c r="AE208" s="217"/>
      <c r="AF208" s="217"/>
      <c r="AG208" s="217"/>
      <c r="AH208" s="217"/>
      <c r="AI208" s="217"/>
      <c r="AJ208" s="217"/>
      <c r="AK208" s="217"/>
      <c r="AL208" s="217"/>
      <c r="AM208" s="217"/>
      <c r="AN208" s="217"/>
      <c r="AO208" s="217"/>
      <c r="AP208" s="217"/>
      <c r="AQ208" s="217"/>
      <c r="AR208" s="217"/>
      <c r="AS208" s="217"/>
      <c r="AT208" s="218"/>
      <c r="AU208" s="218"/>
      <c r="AV208" s="217"/>
      <c r="AW208" s="217"/>
      <c r="AX208" s="217"/>
      <c r="AY208" s="217"/>
      <c r="AZ208" s="217"/>
      <c r="BA208" s="217"/>
      <c r="BB208" s="217"/>
      <c r="BC208" s="217"/>
      <c r="BD208" s="217"/>
      <c r="BE208" s="217"/>
      <c r="BF208" s="217"/>
      <c r="BG208" s="217"/>
      <c r="BH208" s="217"/>
      <c r="BI208" s="217"/>
      <c r="BJ208" s="217"/>
      <c r="BK208" s="217"/>
      <c r="BL208" s="217"/>
      <c r="BM208" s="217"/>
      <c r="BN208" s="217"/>
      <c r="BO208" s="217"/>
      <c r="BP208" s="217"/>
      <c r="BQ208" s="217"/>
      <c r="BR208" s="217"/>
      <c r="BS208" s="217"/>
      <c r="BT208" s="217"/>
      <c r="BU208" s="217"/>
      <c r="BV208" s="217"/>
      <c r="BW208" s="217"/>
      <c r="BX208" s="217"/>
      <c r="BY208" s="217"/>
      <c r="BZ208" s="217"/>
      <c r="CA208" s="217"/>
      <c r="CB208" s="217"/>
      <c r="CC208" s="217"/>
      <c r="CD208" s="217"/>
      <c r="CE208" s="217"/>
      <c r="CF208" s="217"/>
      <c r="CG208" s="217"/>
      <c r="CH208" s="217"/>
      <c r="CI208" s="217"/>
      <c r="CJ208" s="217"/>
      <c r="CK208" s="217"/>
      <c r="CL208" s="217"/>
      <c r="CM208" s="217"/>
      <c r="CN208" s="217"/>
      <c r="CO208" s="217"/>
      <c r="CP208" s="217"/>
      <c r="CQ208" s="217"/>
      <c r="CR208" s="217"/>
      <c r="CS208" s="217"/>
      <c r="CT208" s="217"/>
      <c r="CU208" s="217"/>
      <c r="CV208" s="217"/>
      <c r="CW208" s="217"/>
      <c r="CX208" s="217"/>
      <c r="CY208" s="217"/>
      <c r="CZ208" s="217"/>
      <c r="DA208" s="217"/>
      <c r="DB208" s="217"/>
      <c r="DC208" s="217"/>
      <c r="DD208" s="217"/>
      <c r="DE208" s="217"/>
      <c r="DF208" s="217"/>
      <c r="DG208" s="217"/>
      <c r="DH208" s="217"/>
      <c r="DI208" s="217"/>
      <c r="DJ208" s="217"/>
      <c r="DK208" s="217"/>
      <c r="DL208" s="217"/>
      <c r="DM208" s="217"/>
      <c r="DN208" s="217"/>
      <c r="DO208" s="217"/>
      <c r="DP208" s="217"/>
      <c r="DQ208" s="217"/>
      <c r="DR208" s="217"/>
      <c r="DS208" s="217"/>
      <c r="DT208" s="217"/>
      <c r="DU208" s="217"/>
      <c r="DV208" s="217"/>
      <c r="DW208" s="217"/>
      <c r="DX208" s="217"/>
      <c r="DY208" s="217"/>
      <c r="DZ208" s="217"/>
      <c r="EA208" s="217"/>
      <c r="EB208" s="217"/>
      <c r="EC208" s="217"/>
      <c r="ED208" s="217"/>
      <c r="EE208" s="217"/>
      <c r="EF208" s="217"/>
      <c r="EG208" s="217"/>
      <c r="EH208" s="217"/>
      <c r="EI208" s="217"/>
      <c r="EJ208" s="217"/>
      <c r="EK208" s="217"/>
      <c r="EL208" s="217"/>
      <c r="EM208" s="217"/>
      <c r="EN208" s="217"/>
      <c r="EO208" s="217"/>
      <c r="EP208" s="217"/>
      <c r="EQ208" s="217"/>
      <c r="ER208" s="217"/>
      <c r="ES208" s="217"/>
      <c r="ET208" s="217"/>
      <c r="EU208" s="217"/>
      <c r="EV208" s="217"/>
      <c r="EW208" s="217"/>
      <c r="EX208" s="217"/>
      <c r="EY208" s="217"/>
      <c r="EZ208" s="217"/>
      <c r="FA208" s="217"/>
      <c r="FB208" s="217"/>
      <c r="FC208" s="217"/>
      <c r="FD208" s="217"/>
      <c r="FE208" s="217"/>
      <c r="FF208" s="217"/>
      <c r="FG208" s="217"/>
      <c r="FH208" s="217"/>
      <c r="FI208" s="217"/>
      <c r="FJ208" s="217"/>
      <c r="FK208" s="217"/>
      <c r="FL208" s="217"/>
      <c r="FM208" s="217"/>
      <c r="FN208" s="217"/>
      <c r="FO208" s="217"/>
      <c r="FP208" s="217"/>
      <c r="FQ208" s="217"/>
      <c r="FR208" s="217"/>
      <c r="FS208" s="217"/>
      <c r="FT208" s="217"/>
      <c r="FU208" s="217"/>
      <c r="FV208" s="217"/>
      <c r="FW208" s="217"/>
      <c r="FX208" s="217"/>
      <c r="FY208" s="217"/>
      <c r="FZ208" s="217"/>
      <c r="GA208" s="217"/>
      <c r="GB208" s="217"/>
      <c r="GC208" s="217"/>
      <c r="GD208" s="217"/>
      <c r="GE208" s="217"/>
      <c r="GF208" s="217"/>
      <c r="GG208" s="217"/>
      <c r="GH208" s="217"/>
      <c r="GI208" s="217"/>
      <c r="GJ208" s="217"/>
      <c r="GK208" s="217"/>
      <c r="GL208" s="217"/>
      <c r="GM208" s="217"/>
      <c r="GN208" s="217"/>
      <c r="GO208" s="217"/>
      <c r="GP208" s="217"/>
      <c r="GQ208" s="217"/>
      <c r="GR208" s="217"/>
      <c r="GS208" s="217"/>
      <c r="GT208" s="217"/>
      <c r="GU208" s="217"/>
      <c r="GV208" s="217"/>
      <c r="GW208" s="217"/>
      <c r="GX208" s="217"/>
      <c r="GY208" s="217"/>
      <c r="GZ208" s="217"/>
      <c r="HA208" s="217"/>
      <c r="HB208" s="217"/>
      <c r="HC208" s="217"/>
      <c r="HD208" s="217"/>
      <c r="HE208" s="217"/>
      <c r="HF208" s="217"/>
      <c r="HG208" s="217"/>
      <c r="HH208" s="217"/>
      <c r="HI208" s="217"/>
      <c r="HJ208" s="217"/>
      <c r="HK208" s="217"/>
      <c r="HL208" s="217"/>
      <c r="HM208" s="217"/>
      <c r="HN208" s="217"/>
      <c r="HO208" s="217"/>
      <c r="HP208" s="217"/>
      <c r="HQ208" s="217"/>
      <c r="HR208" s="217"/>
      <c r="HS208" s="217"/>
      <c r="HT208" s="217"/>
      <c r="HU208" s="217"/>
      <c r="HV208" s="217"/>
      <c r="HW208" s="217"/>
      <c r="HX208" s="217"/>
      <c r="HY208" s="217"/>
      <c r="HZ208" s="217"/>
      <c r="IA208" s="217"/>
      <c r="IB208" s="217"/>
      <c r="IC208" s="217"/>
      <c r="ID208" s="217"/>
      <c r="IE208" s="217"/>
      <c r="IF208" s="217"/>
      <c r="IG208" s="217"/>
      <c r="IH208" s="217"/>
      <c r="II208" s="217"/>
      <c r="IJ208" s="217"/>
      <c r="IK208" s="217"/>
      <c r="IL208" s="217"/>
      <c r="IM208" s="217"/>
      <c r="IN208" s="217"/>
      <c r="IO208" s="217"/>
      <c r="IP208" s="217"/>
      <c r="IQ208" s="217"/>
      <c r="IR208" s="217"/>
      <c r="IS208" s="217"/>
      <c r="IT208" s="217"/>
      <c r="IU208" s="217"/>
      <c r="IV208" s="217"/>
    </row>
    <row r="209" spans="1:256" s="219" customFormat="1" ht="18" x14ac:dyDescent="0.25">
      <c r="A209" s="216"/>
      <c r="B209" s="216"/>
      <c r="C209" s="216"/>
      <c r="D209" s="215"/>
      <c r="E209" s="215"/>
      <c r="F209" s="216"/>
      <c r="G209" s="216"/>
      <c r="H209" s="216"/>
      <c r="I209" s="216"/>
      <c r="J209" s="216"/>
      <c r="K209" s="216"/>
      <c r="L209" s="216"/>
      <c r="M209" s="216"/>
      <c r="N209" s="216"/>
      <c r="O209" s="216"/>
      <c r="P209" s="216"/>
      <c r="Q209" s="216"/>
      <c r="R209" s="216"/>
      <c r="S209" s="216"/>
      <c r="T209" s="216"/>
      <c r="U209" s="216"/>
      <c r="V209" s="216"/>
      <c r="W209" s="216"/>
      <c r="X209" s="216"/>
      <c r="Y209" s="216"/>
      <c r="Z209" s="216"/>
      <c r="AA209" s="216"/>
      <c r="AB209" s="216"/>
      <c r="AC209" s="216"/>
      <c r="AD209" s="216"/>
      <c r="AE209" s="216"/>
      <c r="AF209" s="216"/>
      <c r="AG209" s="216"/>
      <c r="AH209" s="216"/>
      <c r="AI209" s="216"/>
      <c r="AJ209" s="216"/>
      <c r="AK209" s="216"/>
      <c r="AL209" s="216"/>
      <c r="AM209" s="216"/>
      <c r="AN209" s="216"/>
      <c r="AO209" s="216"/>
      <c r="AP209" s="216"/>
      <c r="AQ209" s="216"/>
      <c r="AR209" s="216"/>
      <c r="AS209" s="216"/>
      <c r="AT209" s="224"/>
      <c r="AU209" s="224"/>
      <c r="AV209" s="216"/>
      <c r="AW209" s="216"/>
      <c r="AX209" s="216"/>
      <c r="AY209" s="216"/>
      <c r="AZ209" s="216"/>
      <c r="BA209" s="216"/>
      <c r="BB209" s="216"/>
      <c r="BC209" s="216"/>
      <c r="BD209" s="217"/>
      <c r="BE209" s="217"/>
      <c r="BF209" s="217"/>
      <c r="BG209" s="217"/>
      <c r="BH209" s="217"/>
      <c r="BI209" s="217"/>
      <c r="BJ209" s="217"/>
      <c r="BK209" s="217"/>
      <c r="BL209" s="217"/>
      <c r="BM209" s="217"/>
      <c r="BN209" s="217"/>
      <c r="BO209" s="217"/>
      <c r="BP209" s="217"/>
      <c r="BQ209" s="217"/>
      <c r="BR209" s="217"/>
      <c r="BS209" s="217"/>
      <c r="BT209" s="217"/>
      <c r="BU209" s="217"/>
      <c r="BV209" s="217"/>
      <c r="BW209" s="217"/>
      <c r="BX209" s="217"/>
      <c r="BY209" s="217"/>
      <c r="BZ209" s="217"/>
      <c r="CA209" s="217"/>
      <c r="CB209" s="217"/>
      <c r="CC209" s="217"/>
      <c r="CD209" s="217"/>
      <c r="CE209" s="217"/>
      <c r="CF209" s="217"/>
      <c r="CG209" s="217"/>
      <c r="CH209" s="217"/>
      <c r="CI209" s="217"/>
      <c r="CJ209" s="217"/>
      <c r="CK209" s="217"/>
      <c r="CL209" s="217"/>
      <c r="CM209" s="217"/>
      <c r="CN209" s="217"/>
      <c r="CO209" s="217"/>
      <c r="CP209" s="217"/>
      <c r="CQ209" s="217"/>
      <c r="CR209" s="217"/>
      <c r="CS209" s="217"/>
      <c r="CT209" s="217"/>
      <c r="CU209" s="217"/>
      <c r="CV209" s="217"/>
      <c r="CW209" s="217"/>
      <c r="CX209" s="217"/>
      <c r="CY209" s="217"/>
      <c r="CZ209" s="217"/>
      <c r="DA209" s="217"/>
      <c r="DB209" s="217"/>
      <c r="DC209" s="217"/>
      <c r="DD209" s="217"/>
      <c r="DE209" s="217"/>
      <c r="DF209" s="217"/>
      <c r="DG209" s="217"/>
      <c r="DH209" s="217"/>
      <c r="DI209" s="217"/>
      <c r="DJ209" s="217"/>
      <c r="DK209" s="217"/>
      <c r="DL209" s="217"/>
      <c r="DM209" s="217"/>
      <c r="DN209" s="217"/>
      <c r="DO209" s="217"/>
      <c r="DP209" s="217"/>
      <c r="DQ209" s="217"/>
      <c r="DR209" s="217"/>
      <c r="DS209" s="217"/>
      <c r="DT209" s="217"/>
      <c r="DU209" s="217"/>
      <c r="DV209" s="217"/>
      <c r="DW209" s="217"/>
      <c r="DX209" s="217"/>
      <c r="DY209" s="217"/>
      <c r="DZ209" s="217"/>
      <c r="EA209" s="217"/>
      <c r="EB209" s="217"/>
      <c r="EC209" s="217"/>
      <c r="ED209" s="217"/>
      <c r="EE209" s="217"/>
      <c r="EF209" s="217"/>
      <c r="EG209" s="217"/>
      <c r="EH209" s="217"/>
      <c r="EI209" s="217"/>
      <c r="EJ209" s="217"/>
      <c r="EK209" s="217"/>
      <c r="EL209" s="217"/>
      <c r="EM209" s="217"/>
      <c r="EN209" s="217"/>
      <c r="EO209" s="217"/>
      <c r="EP209" s="217"/>
      <c r="EQ209" s="217"/>
      <c r="ER209" s="217"/>
      <c r="ES209" s="217"/>
      <c r="ET209" s="217"/>
      <c r="EU209" s="217"/>
      <c r="EV209" s="217"/>
      <c r="EW209" s="217"/>
      <c r="EX209" s="217"/>
      <c r="EY209" s="217"/>
      <c r="EZ209" s="217"/>
      <c r="FA209" s="217"/>
      <c r="FB209" s="217"/>
      <c r="FC209" s="217"/>
      <c r="FD209" s="217"/>
      <c r="FE209" s="217"/>
      <c r="FF209" s="217"/>
      <c r="FG209" s="217"/>
      <c r="FH209" s="217"/>
      <c r="FI209" s="217"/>
      <c r="FJ209" s="217"/>
      <c r="FK209" s="217"/>
      <c r="FL209" s="217"/>
      <c r="FM209" s="217"/>
      <c r="FN209" s="217"/>
      <c r="FO209" s="217"/>
      <c r="FP209" s="217"/>
      <c r="FQ209" s="217"/>
      <c r="FR209" s="217"/>
      <c r="FS209" s="217"/>
      <c r="FT209" s="217"/>
      <c r="FU209" s="217"/>
      <c r="FV209" s="217"/>
      <c r="FW209" s="217"/>
      <c r="FX209" s="217"/>
      <c r="FY209" s="217"/>
      <c r="FZ209" s="217"/>
      <c r="GA209" s="217"/>
      <c r="GB209" s="217"/>
      <c r="GC209" s="217"/>
      <c r="GD209" s="217"/>
      <c r="GE209" s="217"/>
      <c r="GF209" s="217"/>
      <c r="GG209" s="217"/>
      <c r="GH209" s="217"/>
      <c r="GI209" s="217"/>
      <c r="GJ209" s="217"/>
      <c r="GK209" s="217"/>
      <c r="GL209" s="217"/>
      <c r="GM209" s="217"/>
      <c r="GN209" s="217"/>
      <c r="GO209" s="217"/>
      <c r="GP209" s="217"/>
      <c r="GQ209" s="217"/>
      <c r="GR209" s="217"/>
      <c r="GS209" s="217"/>
      <c r="GT209" s="217"/>
      <c r="GU209" s="217"/>
      <c r="GV209" s="217"/>
      <c r="GW209" s="217"/>
      <c r="GX209" s="217"/>
      <c r="GY209" s="217"/>
      <c r="GZ209" s="217"/>
      <c r="HA209" s="217"/>
      <c r="HB209" s="217"/>
      <c r="HC209" s="217"/>
      <c r="HD209" s="217"/>
      <c r="HE209" s="217"/>
      <c r="HF209" s="217"/>
      <c r="HG209" s="217"/>
      <c r="HH209" s="217"/>
      <c r="HI209" s="217"/>
      <c r="HJ209" s="217"/>
      <c r="HK209" s="217"/>
      <c r="HL209" s="217"/>
      <c r="HM209" s="217"/>
      <c r="HN209" s="217"/>
      <c r="HO209" s="217"/>
      <c r="HP209" s="217"/>
      <c r="HQ209" s="217"/>
      <c r="HR209" s="217"/>
      <c r="HS209" s="217"/>
      <c r="HT209" s="217"/>
      <c r="HU209" s="217"/>
      <c r="HV209" s="217"/>
      <c r="HW209" s="217"/>
      <c r="HX209" s="217"/>
      <c r="HY209" s="217"/>
      <c r="HZ209" s="217"/>
      <c r="IA209" s="217"/>
      <c r="IB209" s="217"/>
      <c r="IC209" s="217"/>
      <c r="ID209" s="217"/>
      <c r="IE209" s="217"/>
      <c r="IF209" s="217"/>
      <c r="IG209" s="217"/>
      <c r="IH209" s="217"/>
      <c r="II209" s="217"/>
      <c r="IJ209" s="217"/>
      <c r="IK209" s="217"/>
      <c r="IL209" s="217"/>
      <c r="IM209" s="217"/>
      <c r="IN209" s="217"/>
      <c r="IO209" s="217"/>
      <c r="IP209" s="217"/>
      <c r="IQ209" s="217"/>
      <c r="IR209" s="217"/>
      <c r="IS209" s="217"/>
      <c r="IT209" s="217"/>
      <c r="IU209" s="217"/>
      <c r="IV209" s="217"/>
    </row>
    <row r="210" spans="1:256" s="219" customFormat="1" ht="18" x14ac:dyDescent="0.25">
      <c r="A210" s="216"/>
      <c r="B210" s="216"/>
      <c r="C210" s="216"/>
      <c r="D210" s="215"/>
      <c r="E210" s="215"/>
      <c r="F210" s="216"/>
      <c r="G210" s="216"/>
      <c r="H210" s="216"/>
      <c r="I210" s="216"/>
      <c r="J210" s="216"/>
      <c r="K210" s="216"/>
      <c r="L210" s="216"/>
      <c r="M210" s="216"/>
      <c r="N210" s="216"/>
      <c r="O210" s="216"/>
      <c r="P210" s="216"/>
      <c r="Q210" s="216"/>
      <c r="R210" s="216"/>
      <c r="S210" s="216"/>
      <c r="T210" s="216"/>
      <c r="U210" s="216"/>
      <c r="V210" s="217"/>
      <c r="W210" s="217"/>
      <c r="X210" s="217"/>
      <c r="Y210" s="217"/>
      <c r="Z210" s="217"/>
      <c r="AA210" s="217"/>
      <c r="AB210" s="217"/>
      <c r="AC210" s="217"/>
      <c r="AD210" s="217"/>
      <c r="AE210" s="217"/>
      <c r="AF210" s="217"/>
      <c r="AG210" s="217"/>
      <c r="AH210" s="217"/>
      <c r="AI210" s="217"/>
      <c r="AJ210" s="217"/>
      <c r="AK210" s="217"/>
      <c r="AL210" s="217"/>
      <c r="AM210" s="217"/>
      <c r="AN210" s="217"/>
      <c r="AO210" s="217"/>
      <c r="AP210" s="217"/>
      <c r="AQ210" s="217"/>
      <c r="AR210" s="217"/>
      <c r="AS210" s="217"/>
      <c r="AT210" s="218"/>
      <c r="AU210" s="218"/>
      <c r="AV210" s="217"/>
      <c r="AW210" s="217"/>
      <c r="AX210" s="217"/>
      <c r="AY210" s="217"/>
      <c r="AZ210" s="217"/>
      <c r="BA210" s="217"/>
      <c r="BB210" s="217"/>
      <c r="BC210" s="217"/>
      <c r="BD210" s="217"/>
      <c r="BE210" s="217"/>
      <c r="BF210" s="217"/>
      <c r="BG210" s="217"/>
      <c r="BH210" s="217"/>
      <c r="BI210" s="217"/>
      <c r="BJ210" s="217"/>
      <c r="BK210" s="217"/>
      <c r="BL210" s="217"/>
      <c r="BM210" s="217"/>
      <c r="BN210" s="217"/>
      <c r="BO210" s="217"/>
      <c r="BP210" s="217"/>
      <c r="BQ210" s="217"/>
      <c r="BR210" s="217"/>
      <c r="BS210" s="217"/>
      <c r="BT210" s="217"/>
      <c r="BU210" s="217"/>
      <c r="BV210" s="217"/>
      <c r="BW210" s="217"/>
      <c r="BX210" s="217"/>
      <c r="BY210" s="217"/>
      <c r="BZ210" s="217"/>
      <c r="CA210" s="217"/>
      <c r="CB210" s="217"/>
      <c r="CC210" s="217"/>
      <c r="CD210" s="217"/>
      <c r="CE210" s="217"/>
      <c r="CF210" s="217"/>
      <c r="CG210" s="217"/>
      <c r="CH210" s="217"/>
      <c r="CI210" s="217"/>
      <c r="CJ210" s="217"/>
      <c r="CK210" s="217"/>
      <c r="CL210" s="217"/>
      <c r="CM210" s="217"/>
      <c r="CN210" s="217"/>
      <c r="CO210" s="217"/>
      <c r="CP210" s="217"/>
      <c r="CQ210" s="217"/>
      <c r="CR210" s="217"/>
      <c r="CS210" s="217"/>
      <c r="CT210" s="217"/>
      <c r="CU210" s="217"/>
      <c r="CV210" s="217"/>
      <c r="CW210" s="217"/>
      <c r="CX210" s="217"/>
      <c r="CY210" s="217"/>
      <c r="CZ210" s="217"/>
      <c r="DA210" s="217"/>
      <c r="DB210" s="217"/>
      <c r="DC210" s="217"/>
      <c r="DD210" s="217"/>
      <c r="DE210" s="217"/>
      <c r="DF210" s="217"/>
      <c r="DG210" s="217"/>
      <c r="DH210" s="217"/>
      <c r="DI210" s="217"/>
      <c r="DJ210" s="217"/>
      <c r="DK210" s="217"/>
      <c r="DL210" s="217"/>
      <c r="DM210" s="217"/>
      <c r="DN210" s="217"/>
      <c r="DO210" s="217"/>
      <c r="DP210" s="217"/>
      <c r="DQ210" s="217"/>
      <c r="DR210" s="217"/>
      <c r="DS210" s="217"/>
      <c r="DT210" s="217"/>
      <c r="DU210" s="217"/>
      <c r="DV210" s="217"/>
      <c r="DW210" s="217"/>
      <c r="DX210" s="217"/>
      <c r="DY210" s="217"/>
      <c r="DZ210" s="217"/>
      <c r="EA210" s="217"/>
      <c r="EB210" s="217"/>
      <c r="EC210" s="217"/>
      <c r="ED210" s="217"/>
      <c r="EE210" s="217"/>
      <c r="EF210" s="217"/>
      <c r="EG210" s="217"/>
      <c r="EH210" s="217"/>
      <c r="EI210" s="217"/>
      <c r="EJ210" s="217"/>
      <c r="EK210" s="217"/>
      <c r="EL210" s="217"/>
      <c r="EM210" s="217"/>
      <c r="EN210" s="217"/>
      <c r="EO210" s="217"/>
      <c r="EP210" s="217"/>
      <c r="EQ210" s="217"/>
      <c r="ER210" s="217"/>
      <c r="ES210" s="217"/>
      <c r="ET210" s="217"/>
      <c r="EU210" s="217"/>
      <c r="EV210" s="217"/>
      <c r="EW210" s="217"/>
      <c r="EX210" s="217"/>
      <c r="EY210" s="217"/>
      <c r="EZ210" s="217"/>
      <c r="FA210" s="217"/>
      <c r="FB210" s="217"/>
      <c r="FC210" s="217"/>
      <c r="FD210" s="217"/>
      <c r="FE210" s="217"/>
      <c r="FF210" s="217"/>
      <c r="FG210" s="217"/>
      <c r="FH210" s="217"/>
      <c r="FI210" s="217"/>
      <c r="FJ210" s="217"/>
      <c r="FK210" s="217"/>
      <c r="FL210" s="217"/>
      <c r="FM210" s="217"/>
      <c r="FN210" s="217"/>
      <c r="FO210" s="217"/>
      <c r="FP210" s="217"/>
      <c r="FQ210" s="217"/>
      <c r="FR210" s="217"/>
      <c r="FS210" s="217"/>
      <c r="FT210" s="217"/>
      <c r="FU210" s="217"/>
      <c r="FV210" s="217"/>
      <c r="FW210" s="217"/>
      <c r="FX210" s="217"/>
      <c r="FY210" s="217"/>
      <c r="FZ210" s="217"/>
      <c r="GA210" s="217"/>
      <c r="GB210" s="217"/>
      <c r="GC210" s="217"/>
      <c r="GD210" s="217"/>
      <c r="GE210" s="217"/>
      <c r="GF210" s="217"/>
      <c r="GG210" s="217"/>
      <c r="GH210" s="217"/>
      <c r="GI210" s="217"/>
      <c r="GJ210" s="217"/>
      <c r="GK210" s="217"/>
      <c r="GL210" s="217"/>
      <c r="GM210" s="217"/>
      <c r="GN210" s="217"/>
      <c r="GO210" s="217"/>
      <c r="GP210" s="217"/>
      <c r="GQ210" s="217"/>
      <c r="GR210" s="217"/>
      <c r="GS210" s="217"/>
      <c r="GT210" s="217"/>
      <c r="GU210" s="217"/>
      <c r="GV210" s="217"/>
      <c r="GW210" s="217"/>
      <c r="GX210" s="217"/>
      <c r="GY210" s="217"/>
      <c r="GZ210" s="217"/>
      <c r="HA210" s="217"/>
      <c r="HB210" s="217"/>
      <c r="HC210" s="217"/>
      <c r="HD210" s="217"/>
      <c r="HE210" s="217"/>
      <c r="HF210" s="217"/>
      <c r="HG210" s="217"/>
      <c r="HH210" s="217"/>
      <c r="HI210" s="217"/>
      <c r="HJ210" s="217"/>
      <c r="HK210" s="217"/>
      <c r="HL210" s="217"/>
      <c r="HM210" s="217"/>
      <c r="HN210" s="217"/>
      <c r="HO210" s="217"/>
      <c r="HP210" s="217"/>
      <c r="HQ210" s="217"/>
      <c r="HR210" s="217"/>
      <c r="HS210" s="217"/>
      <c r="HT210" s="217"/>
      <c r="HU210" s="217"/>
      <c r="HV210" s="217"/>
      <c r="HW210" s="217"/>
      <c r="HX210" s="217"/>
      <c r="HY210" s="217"/>
      <c r="HZ210" s="217"/>
      <c r="IA210" s="217"/>
      <c r="IB210" s="217"/>
      <c r="IC210" s="217"/>
      <c r="ID210" s="217"/>
      <c r="IE210" s="217"/>
      <c r="IF210" s="217"/>
      <c r="IG210" s="217"/>
      <c r="IH210" s="217"/>
      <c r="II210" s="217"/>
      <c r="IJ210" s="217"/>
      <c r="IK210" s="217"/>
      <c r="IL210" s="217"/>
      <c r="IM210" s="217"/>
      <c r="IN210" s="217"/>
      <c r="IO210" s="217"/>
      <c r="IP210" s="217"/>
      <c r="IQ210" s="217"/>
      <c r="IR210" s="217"/>
      <c r="IS210" s="217"/>
      <c r="IT210" s="217"/>
      <c r="IU210" s="217"/>
      <c r="IV210" s="217"/>
    </row>
    <row r="211" spans="1:256" s="219" customFormat="1" ht="18" x14ac:dyDescent="0.25">
      <c r="A211" s="216"/>
      <c r="B211" s="216"/>
      <c r="C211" s="216"/>
      <c r="D211" s="215"/>
      <c r="E211" s="215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6"/>
      <c r="Q211" s="216"/>
      <c r="R211" s="216"/>
      <c r="S211" s="216"/>
      <c r="T211" s="216"/>
      <c r="U211" s="216"/>
      <c r="V211" s="217"/>
      <c r="W211" s="217"/>
      <c r="X211" s="217"/>
      <c r="Y211" s="217"/>
      <c r="Z211" s="217"/>
      <c r="AA211" s="217"/>
      <c r="AB211" s="217"/>
      <c r="AC211" s="217"/>
      <c r="AD211" s="217"/>
      <c r="AE211" s="217"/>
      <c r="AF211" s="217"/>
      <c r="AG211" s="217"/>
      <c r="AH211" s="217"/>
      <c r="AI211" s="217"/>
      <c r="AJ211" s="217"/>
      <c r="AK211" s="217"/>
      <c r="AL211" s="217"/>
      <c r="AM211" s="217"/>
      <c r="AN211" s="217"/>
      <c r="AO211" s="217"/>
      <c r="AP211" s="217"/>
      <c r="AQ211" s="217"/>
      <c r="AR211" s="217"/>
      <c r="AS211" s="217"/>
      <c r="AT211" s="218"/>
      <c r="AU211" s="218"/>
      <c r="AV211" s="217"/>
      <c r="AW211" s="217"/>
      <c r="AX211" s="217"/>
      <c r="AY211" s="217"/>
      <c r="AZ211" s="217"/>
      <c r="BA211" s="217"/>
      <c r="BB211" s="217"/>
      <c r="BC211" s="217"/>
      <c r="BD211" s="217"/>
      <c r="BE211" s="217"/>
      <c r="BF211" s="217"/>
      <c r="BG211" s="217"/>
      <c r="BH211" s="217"/>
      <c r="BI211" s="217"/>
      <c r="BJ211" s="217"/>
      <c r="BK211" s="217"/>
      <c r="BL211" s="217"/>
      <c r="BM211" s="217"/>
      <c r="BN211" s="217"/>
      <c r="BO211" s="217"/>
      <c r="BP211" s="217"/>
      <c r="BQ211" s="217"/>
      <c r="BR211" s="217"/>
      <c r="BS211" s="217"/>
      <c r="BT211" s="217"/>
      <c r="BU211" s="217"/>
      <c r="BV211" s="217"/>
      <c r="BW211" s="217"/>
      <c r="BX211" s="217"/>
      <c r="BY211" s="217"/>
      <c r="BZ211" s="217"/>
      <c r="CA211" s="217"/>
      <c r="CB211" s="217"/>
      <c r="CC211" s="217"/>
      <c r="CD211" s="217"/>
      <c r="CE211" s="217"/>
      <c r="CF211" s="217"/>
      <c r="CG211" s="217"/>
      <c r="CH211" s="217"/>
      <c r="CI211" s="217"/>
      <c r="CJ211" s="217"/>
      <c r="CK211" s="217"/>
      <c r="CL211" s="217"/>
      <c r="CM211" s="217"/>
      <c r="CN211" s="217"/>
      <c r="CO211" s="217"/>
      <c r="CP211" s="217"/>
      <c r="CQ211" s="217"/>
      <c r="CR211" s="217"/>
      <c r="CS211" s="217"/>
      <c r="CT211" s="217"/>
      <c r="CU211" s="217"/>
      <c r="CV211" s="217"/>
      <c r="CW211" s="217"/>
      <c r="CX211" s="217"/>
      <c r="CY211" s="217"/>
      <c r="CZ211" s="217"/>
      <c r="DA211" s="217"/>
      <c r="DB211" s="217"/>
      <c r="DC211" s="217"/>
      <c r="DD211" s="217"/>
      <c r="DE211" s="217"/>
      <c r="DF211" s="217"/>
      <c r="DG211" s="217"/>
      <c r="DH211" s="217"/>
      <c r="DI211" s="217"/>
      <c r="DJ211" s="217"/>
      <c r="DK211" s="217"/>
      <c r="DL211" s="217"/>
      <c r="DM211" s="217"/>
      <c r="DN211" s="217"/>
      <c r="DO211" s="217"/>
      <c r="DP211" s="217"/>
      <c r="DQ211" s="217"/>
      <c r="DR211" s="217"/>
      <c r="DS211" s="217"/>
      <c r="DT211" s="217"/>
      <c r="DU211" s="217"/>
      <c r="DV211" s="217"/>
      <c r="DW211" s="217"/>
      <c r="DX211" s="217"/>
      <c r="DY211" s="217"/>
      <c r="DZ211" s="217"/>
      <c r="EA211" s="217"/>
      <c r="EB211" s="217"/>
      <c r="EC211" s="217"/>
      <c r="ED211" s="217"/>
      <c r="EE211" s="217"/>
      <c r="EF211" s="217"/>
      <c r="EG211" s="217"/>
      <c r="EH211" s="217"/>
      <c r="EI211" s="217"/>
      <c r="EJ211" s="217"/>
      <c r="EK211" s="217"/>
      <c r="EL211" s="217"/>
      <c r="EM211" s="217"/>
      <c r="EN211" s="217"/>
      <c r="EO211" s="217"/>
      <c r="EP211" s="217"/>
      <c r="EQ211" s="217"/>
      <c r="ER211" s="217"/>
      <c r="ES211" s="217"/>
      <c r="ET211" s="217"/>
      <c r="EU211" s="217"/>
      <c r="EV211" s="217"/>
      <c r="EW211" s="217"/>
      <c r="EX211" s="217"/>
      <c r="EY211" s="217"/>
      <c r="EZ211" s="217"/>
      <c r="FA211" s="217"/>
      <c r="FB211" s="217"/>
      <c r="FC211" s="217"/>
      <c r="FD211" s="217"/>
      <c r="FE211" s="217"/>
      <c r="FF211" s="217"/>
      <c r="FG211" s="217"/>
      <c r="FH211" s="217"/>
      <c r="FI211" s="217"/>
      <c r="FJ211" s="217"/>
      <c r="FK211" s="217"/>
      <c r="FL211" s="217"/>
      <c r="FM211" s="217"/>
      <c r="FN211" s="217"/>
      <c r="FO211" s="217"/>
      <c r="FP211" s="217"/>
      <c r="FQ211" s="217"/>
      <c r="FR211" s="217"/>
      <c r="FS211" s="217"/>
      <c r="FT211" s="217"/>
      <c r="FU211" s="217"/>
      <c r="FV211" s="217"/>
      <c r="FW211" s="217"/>
      <c r="FX211" s="217"/>
      <c r="FY211" s="217"/>
      <c r="FZ211" s="217"/>
      <c r="GA211" s="217"/>
      <c r="GB211" s="217"/>
      <c r="GC211" s="217"/>
      <c r="GD211" s="217"/>
      <c r="GE211" s="217"/>
      <c r="GF211" s="217"/>
      <c r="GG211" s="217"/>
      <c r="GH211" s="217"/>
      <c r="GI211" s="217"/>
      <c r="GJ211" s="217"/>
      <c r="GK211" s="217"/>
      <c r="GL211" s="217"/>
      <c r="GM211" s="217"/>
      <c r="GN211" s="217"/>
      <c r="GO211" s="217"/>
      <c r="GP211" s="217"/>
      <c r="GQ211" s="217"/>
      <c r="GR211" s="217"/>
      <c r="GS211" s="217"/>
      <c r="GT211" s="217"/>
      <c r="GU211" s="217"/>
      <c r="GV211" s="217"/>
      <c r="GW211" s="217"/>
      <c r="GX211" s="217"/>
      <c r="GY211" s="217"/>
      <c r="GZ211" s="217"/>
      <c r="HA211" s="217"/>
      <c r="HB211" s="217"/>
      <c r="HC211" s="217"/>
      <c r="HD211" s="217"/>
      <c r="HE211" s="217"/>
      <c r="HF211" s="217"/>
      <c r="HG211" s="217"/>
      <c r="HH211" s="217"/>
      <c r="HI211" s="217"/>
      <c r="HJ211" s="217"/>
      <c r="HK211" s="217"/>
      <c r="HL211" s="217"/>
      <c r="HM211" s="217"/>
      <c r="HN211" s="217"/>
      <c r="HO211" s="217"/>
      <c r="HP211" s="217"/>
      <c r="HQ211" s="217"/>
      <c r="HR211" s="217"/>
      <c r="HS211" s="217"/>
      <c r="HT211" s="217"/>
      <c r="HU211" s="217"/>
      <c r="HV211" s="217"/>
      <c r="HW211" s="217"/>
      <c r="HX211" s="217"/>
      <c r="HY211" s="217"/>
      <c r="HZ211" s="217"/>
      <c r="IA211" s="217"/>
      <c r="IB211" s="217"/>
      <c r="IC211" s="217"/>
      <c r="ID211" s="217"/>
      <c r="IE211" s="217"/>
      <c r="IF211" s="217"/>
      <c r="IG211" s="217"/>
      <c r="IH211" s="217"/>
      <c r="II211" s="217"/>
      <c r="IJ211" s="217"/>
      <c r="IK211" s="217"/>
      <c r="IL211" s="217"/>
      <c r="IM211" s="217"/>
      <c r="IN211" s="217"/>
      <c r="IO211" s="217"/>
      <c r="IP211" s="217"/>
      <c r="IQ211" s="217"/>
      <c r="IR211" s="217"/>
      <c r="IS211" s="217"/>
      <c r="IT211" s="217"/>
      <c r="IU211" s="217"/>
      <c r="IV211" s="217"/>
    </row>
    <row r="212" spans="1:256" s="219" customFormat="1" ht="18" x14ac:dyDescent="0.25">
      <c r="A212" s="216"/>
      <c r="B212" s="216"/>
      <c r="C212" s="216"/>
      <c r="D212" s="215"/>
      <c r="E212" s="215"/>
      <c r="F212" s="216"/>
      <c r="G212" s="216"/>
      <c r="H212" s="216"/>
      <c r="I212" s="216"/>
      <c r="J212" s="216"/>
      <c r="K212" s="216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7"/>
      <c r="W212" s="217"/>
      <c r="X212" s="217"/>
      <c r="Y212" s="217"/>
      <c r="Z212" s="217"/>
      <c r="AA212" s="217"/>
      <c r="AB212" s="217"/>
      <c r="AC212" s="217"/>
      <c r="AD212" s="217"/>
      <c r="AE212" s="217"/>
      <c r="AF212" s="217"/>
      <c r="AG212" s="217"/>
      <c r="AH212" s="217"/>
      <c r="AI212" s="217"/>
      <c r="AJ212" s="217"/>
      <c r="AK212" s="217"/>
      <c r="AL212" s="217"/>
      <c r="AM212" s="217"/>
      <c r="AN212" s="217"/>
      <c r="AO212" s="217"/>
      <c r="AP212" s="217"/>
      <c r="AQ212" s="217"/>
      <c r="AR212" s="217"/>
      <c r="AS212" s="217"/>
      <c r="AT212" s="218"/>
      <c r="AU212" s="218"/>
      <c r="AV212" s="217"/>
      <c r="AW212" s="217"/>
      <c r="AX212" s="217"/>
      <c r="AY212" s="217"/>
      <c r="AZ212" s="217"/>
      <c r="BA212" s="217"/>
      <c r="BB212" s="217"/>
      <c r="BC212" s="217"/>
      <c r="BD212" s="217"/>
      <c r="BE212" s="217"/>
      <c r="BF212" s="217"/>
      <c r="BG212" s="217"/>
      <c r="BH212" s="217"/>
      <c r="BI212" s="217"/>
      <c r="BJ212" s="217"/>
      <c r="BK212" s="217"/>
      <c r="BL212" s="217"/>
      <c r="BM212" s="217"/>
      <c r="BN212" s="217"/>
      <c r="BO212" s="217"/>
      <c r="BP212" s="217"/>
      <c r="BQ212" s="217"/>
      <c r="BR212" s="217"/>
      <c r="BS212" s="217"/>
      <c r="BT212" s="217"/>
      <c r="BU212" s="217"/>
      <c r="BV212" s="217"/>
      <c r="BW212" s="217"/>
      <c r="BX212" s="217"/>
      <c r="BY212" s="217"/>
      <c r="BZ212" s="217"/>
      <c r="CA212" s="217"/>
      <c r="CB212" s="217"/>
      <c r="CC212" s="217"/>
      <c r="CD212" s="217"/>
      <c r="CE212" s="217"/>
      <c r="CF212" s="217"/>
      <c r="CG212" s="217"/>
      <c r="CH212" s="217"/>
      <c r="CI212" s="217"/>
      <c r="CJ212" s="217"/>
      <c r="CK212" s="217"/>
      <c r="CL212" s="217"/>
      <c r="CM212" s="217"/>
      <c r="CN212" s="217"/>
      <c r="CO212" s="217"/>
      <c r="CP212" s="217"/>
      <c r="CQ212" s="217"/>
      <c r="CR212" s="217"/>
      <c r="CS212" s="217"/>
      <c r="CT212" s="217"/>
      <c r="CU212" s="217"/>
      <c r="CV212" s="217"/>
      <c r="CW212" s="217"/>
      <c r="CX212" s="217"/>
      <c r="CY212" s="217"/>
      <c r="CZ212" s="217"/>
      <c r="DA212" s="217"/>
      <c r="DB212" s="217"/>
      <c r="DC212" s="217"/>
      <c r="DD212" s="217"/>
      <c r="DE212" s="217"/>
      <c r="DF212" s="217"/>
      <c r="DG212" s="217"/>
      <c r="DH212" s="217"/>
      <c r="DI212" s="217"/>
      <c r="DJ212" s="217"/>
      <c r="DK212" s="217"/>
      <c r="DL212" s="217"/>
      <c r="DM212" s="217"/>
      <c r="DN212" s="217"/>
      <c r="DO212" s="217"/>
      <c r="DP212" s="217"/>
      <c r="DQ212" s="217"/>
      <c r="DR212" s="217"/>
      <c r="DS212" s="217"/>
      <c r="DT212" s="217"/>
      <c r="DU212" s="217"/>
      <c r="DV212" s="217"/>
      <c r="DW212" s="217"/>
      <c r="DX212" s="217"/>
      <c r="DY212" s="217"/>
      <c r="DZ212" s="217"/>
      <c r="EA212" s="217"/>
      <c r="EB212" s="217"/>
      <c r="EC212" s="217"/>
      <c r="ED212" s="217"/>
      <c r="EE212" s="217"/>
      <c r="EF212" s="217"/>
      <c r="EG212" s="217"/>
      <c r="EH212" s="217"/>
      <c r="EI212" s="217"/>
      <c r="EJ212" s="217"/>
      <c r="EK212" s="217"/>
      <c r="EL212" s="217"/>
      <c r="EM212" s="217"/>
      <c r="EN212" s="217"/>
      <c r="EO212" s="217"/>
      <c r="EP212" s="217"/>
      <c r="EQ212" s="217"/>
      <c r="ER212" s="217"/>
      <c r="ES212" s="217"/>
      <c r="ET212" s="217"/>
      <c r="EU212" s="217"/>
      <c r="EV212" s="217"/>
      <c r="EW212" s="217"/>
      <c r="EX212" s="217"/>
      <c r="EY212" s="217"/>
      <c r="EZ212" s="217"/>
      <c r="FA212" s="217"/>
      <c r="FB212" s="217"/>
      <c r="FC212" s="217"/>
      <c r="FD212" s="217"/>
      <c r="FE212" s="217"/>
      <c r="FF212" s="217"/>
      <c r="FG212" s="217"/>
      <c r="FH212" s="217"/>
      <c r="FI212" s="217"/>
      <c r="FJ212" s="217"/>
      <c r="FK212" s="217"/>
      <c r="FL212" s="217"/>
      <c r="FM212" s="217"/>
      <c r="FN212" s="217"/>
      <c r="FO212" s="217"/>
      <c r="FP212" s="217"/>
      <c r="FQ212" s="217"/>
      <c r="FR212" s="217"/>
      <c r="FS212" s="217"/>
      <c r="FT212" s="217"/>
      <c r="FU212" s="217"/>
      <c r="FV212" s="217"/>
      <c r="FW212" s="217"/>
      <c r="FX212" s="217"/>
      <c r="FY212" s="217"/>
      <c r="FZ212" s="217"/>
      <c r="GA212" s="217"/>
      <c r="GB212" s="217"/>
      <c r="GC212" s="217"/>
      <c r="GD212" s="217"/>
      <c r="GE212" s="217"/>
      <c r="GF212" s="217"/>
      <c r="GG212" s="217"/>
      <c r="GH212" s="217"/>
      <c r="GI212" s="217"/>
      <c r="GJ212" s="217"/>
      <c r="GK212" s="217"/>
      <c r="GL212" s="217"/>
      <c r="GM212" s="217"/>
      <c r="GN212" s="217"/>
      <c r="GO212" s="217"/>
      <c r="GP212" s="217"/>
      <c r="GQ212" s="217"/>
      <c r="GR212" s="217"/>
      <c r="GS212" s="217"/>
      <c r="GT212" s="217"/>
      <c r="GU212" s="217"/>
      <c r="GV212" s="217"/>
      <c r="GW212" s="217"/>
      <c r="GX212" s="217"/>
      <c r="GY212" s="217"/>
      <c r="GZ212" s="217"/>
      <c r="HA212" s="217"/>
      <c r="HB212" s="217"/>
      <c r="HC212" s="217"/>
      <c r="HD212" s="217"/>
      <c r="HE212" s="217"/>
      <c r="HF212" s="217"/>
      <c r="HG212" s="217"/>
      <c r="HH212" s="217"/>
      <c r="HI212" s="217"/>
      <c r="HJ212" s="217"/>
      <c r="HK212" s="217"/>
      <c r="HL212" s="217"/>
      <c r="HM212" s="217"/>
      <c r="HN212" s="217"/>
      <c r="HO212" s="217"/>
      <c r="HP212" s="217"/>
      <c r="HQ212" s="217"/>
      <c r="HR212" s="217"/>
      <c r="HS212" s="217"/>
      <c r="HT212" s="217"/>
      <c r="HU212" s="217"/>
      <c r="HV212" s="217"/>
      <c r="HW212" s="217"/>
      <c r="HX212" s="217"/>
      <c r="HY212" s="217"/>
      <c r="HZ212" s="217"/>
      <c r="IA212" s="217"/>
      <c r="IB212" s="217"/>
      <c r="IC212" s="217"/>
      <c r="ID212" s="217"/>
      <c r="IE212" s="217"/>
      <c r="IF212" s="217"/>
      <c r="IG212" s="217"/>
      <c r="IH212" s="217"/>
      <c r="II212" s="217"/>
      <c r="IJ212" s="217"/>
      <c r="IK212" s="217"/>
      <c r="IL212" s="217"/>
      <c r="IM212" s="217"/>
      <c r="IN212" s="217"/>
      <c r="IO212" s="217"/>
      <c r="IP212" s="217"/>
      <c r="IQ212" s="217"/>
      <c r="IR212" s="217"/>
      <c r="IS212" s="217"/>
      <c r="IT212" s="217"/>
      <c r="IU212" s="217"/>
      <c r="IV212" s="217"/>
    </row>
    <row r="213" spans="1:256" s="219" customFormat="1" x14ac:dyDescent="0.2">
      <c r="A213" s="216"/>
      <c r="B213" s="216"/>
      <c r="C213" s="216"/>
      <c r="D213" s="216"/>
      <c r="E213" s="216"/>
      <c r="F213" s="216"/>
      <c r="G213" s="216"/>
      <c r="H213" s="216"/>
      <c r="I213" s="216"/>
      <c r="J213" s="216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7"/>
      <c r="W213" s="217"/>
      <c r="X213" s="217"/>
      <c r="Y213" s="217"/>
      <c r="Z213" s="217"/>
      <c r="AA213" s="217"/>
      <c r="AB213" s="217"/>
      <c r="AC213" s="217"/>
      <c r="AD213" s="217"/>
      <c r="AE213" s="217"/>
      <c r="AF213" s="217"/>
      <c r="AG213" s="217"/>
      <c r="AH213" s="217"/>
      <c r="AI213" s="217"/>
      <c r="AJ213" s="217"/>
      <c r="AK213" s="217"/>
      <c r="AL213" s="217"/>
      <c r="AM213" s="217"/>
      <c r="AN213" s="217"/>
      <c r="AO213" s="217"/>
      <c r="AP213" s="217"/>
      <c r="AQ213" s="217"/>
      <c r="AR213" s="217"/>
      <c r="AS213" s="217"/>
      <c r="AT213" s="218"/>
      <c r="AU213" s="218"/>
      <c r="AV213" s="217"/>
      <c r="AW213" s="217"/>
      <c r="AX213" s="217"/>
      <c r="AY213" s="217"/>
      <c r="AZ213" s="217"/>
      <c r="BA213" s="217"/>
      <c r="BB213" s="217"/>
      <c r="BC213" s="217"/>
      <c r="BD213" s="217"/>
      <c r="BE213" s="217"/>
      <c r="BF213" s="217"/>
      <c r="BG213" s="217"/>
      <c r="BH213" s="217"/>
      <c r="BI213" s="217"/>
      <c r="BJ213" s="217"/>
      <c r="BK213" s="217"/>
      <c r="BL213" s="217"/>
      <c r="BM213" s="217"/>
      <c r="BN213" s="217"/>
      <c r="BO213" s="217"/>
      <c r="BP213" s="217"/>
      <c r="BQ213" s="217"/>
      <c r="BR213" s="217"/>
      <c r="BS213" s="217"/>
      <c r="BT213" s="217"/>
      <c r="BU213" s="217"/>
      <c r="BV213" s="217"/>
      <c r="BW213" s="217"/>
      <c r="BX213" s="217"/>
      <c r="BY213" s="217"/>
      <c r="BZ213" s="217"/>
      <c r="CA213" s="217"/>
      <c r="CB213" s="217"/>
      <c r="CC213" s="217"/>
      <c r="CD213" s="217"/>
      <c r="CE213" s="217"/>
      <c r="CF213" s="217"/>
      <c r="CG213" s="217"/>
      <c r="CH213" s="217"/>
      <c r="CI213" s="217"/>
      <c r="CJ213" s="217"/>
      <c r="CK213" s="217"/>
      <c r="CL213" s="217"/>
      <c r="CM213" s="217"/>
      <c r="CN213" s="217"/>
      <c r="CO213" s="217"/>
      <c r="CP213" s="217"/>
      <c r="CQ213" s="217"/>
      <c r="CR213" s="217"/>
      <c r="CS213" s="217"/>
      <c r="CT213" s="217"/>
      <c r="CU213" s="217"/>
      <c r="CV213" s="217"/>
      <c r="CW213" s="217"/>
      <c r="CX213" s="217"/>
      <c r="CY213" s="217"/>
      <c r="CZ213" s="217"/>
      <c r="DA213" s="217"/>
      <c r="DB213" s="217"/>
      <c r="DC213" s="217"/>
      <c r="DD213" s="217"/>
      <c r="DE213" s="217"/>
      <c r="DF213" s="217"/>
      <c r="DG213" s="217"/>
      <c r="DH213" s="217"/>
      <c r="DI213" s="217"/>
      <c r="DJ213" s="217"/>
      <c r="DK213" s="217"/>
      <c r="DL213" s="217"/>
      <c r="DM213" s="217"/>
      <c r="DN213" s="217"/>
      <c r="DO213" s="217"/>
      <c r="DP213" s="217"/>
      <c r="DQ213" s="217"/>
      <c r="DR213" s="217"/>
      <c r="DS213" s="217"/>
      <c r="DT213" s="217"/>
      <c r="DU213" s="217"/>
      <c r="DV213" s="217"/>
      <c r="DW213" s="217"/>
      <c r="DX213" s="217"/>
      <c r="DY213" s="217"/>
      <c r="DZ213" s="217"/>
      <c r="EA213" s="217"/>
      <c r="EB213" s="217"/>
      <c r="EC213" s="217"/>
      <c r="ED213" s="217"/>
      <c r="EE213" s="217"/>
      <c r="EF213" s="217"/>
      <c r="EG213" s="217"/>
      <c r="EH213" s="217"/>
      <c r="EI213" s="217"/>
      <c r="EJ213" s="217"/>
      <c r="EK213" s="217"/>
      <c r="EL213" s="217"/>
      <c r="EM213" s="217"/>
      <c r="EN213" s="217"/>
      <c r="EO213" s="217"/>
      <c r="EP213" s="217"/>
      <c r="EQ213" s="217"/>
      <c r="ER213" s="217"/>
      <c r="ES213" s="217"/>
      <c r="ET213" s="217"/>
      <c r="EU213" s="217"/>
      <c r="EV213" s="217"/>
      <c r="EW213" s="217"/>
      <c r="EX213" s="217"/>
      <c r="EY213" s="217"/>
      <c r="EZ213" s="217"/>
      <c r="FA213" s="217"/>
      <c r="FB213" s="217"/>
      <c r="FC213" s="217"/>
      <c r="FD213" s="217"/>
      <c r="FE213" s="217"/>
      <c r="FF213" s="217"/>
      <c r="FG213" s="217"/>
      <c r="FH213" s="217"/>
      <c r="FI213" s="217"/>
      <c r="FJ213" s="217"/>
      <c r="FK213" s="217"/>
      <c r="FL213" s="217"/>
      <c r="FM213" s="217"/>
      <c r="FN213" s="217"/>
      <c r="FO213" s="217"/>
      <c r="FP213" s="217"/>
      <c r="FQ213" s="217"/>
      <c r="FR213" s="217"/>
      <c r="FS213" s="217"/>
      <c r="FT213" s="217"/>
      <c r="FU213" s="217"/>
      <c r="FV213" s="217"/>
      <c r="FW213" s="217"/>
      <c r="FX213" s="217"/>
      <c r="FY213" s="217"/>
      <c r="FZ213" s="217"/>
      <c r="GA213" s="217"/>
      <c r="GB213" s="217"/>
      <c r="GC213" s="217"/>
      <c r="GD213" s="217"/>
      <c r="GE213" s="217"/>
      <c r="GF213" s="217"/>
      <c r="GG213" s="217"/>
      <c r="GH213" s="217"/>
      <c r="GI213" s="217"/>
      <c r="GJ213" s="217"/>
      <c r="GK213" s="217"/>
      <c r="GL213" s="217"/>
      <c r="GM213" s="217"/>
      <c r="GN213" s="217"/>
      <c r="GO213" s="217"/>
      <c r="GP213" s="217"/>
      <c r="GQ213" s="217"/>
      <c r="GR213" s="217"/>
      <c r="GS213" s="217"/>
      <c r="GT213" s="217"/>
      <c r="GU213" s="217"/>
      <c r="GV213" s="217"/>
      <c r="GW213" s="217"/>
      <c r="GX213" s="217"/>
      <c r="GY213" s="217"/>
      <c r="GZ213" s="217"/>
      <c r="HA213" s="217"/>
      <c r="HB213" s="217"/>
      <c r="HC213" s="217"/>
      <c r="HD213" s="217"/>
      <c r="HE213" s="217"/>
      <c r="HF213" s="217"/>
      <c r="HG213" s="217"/>
      <c r="HH213" s="217"/>
      <c r="HI213" s="217"/>
      <c r="HJ213" s="217"/>
      <c r="HK213" s="217"/>
      <c r="HL213" s="217"/>
      <c r="HM213" s="217"/>
      <c r="HN213" s="217"/>
      <c r="HO213" s="217"/>
      <c r="HP213" s="217"/>
      <c r="HQ213" s="217"/>
      <c r="HR213" s="217"/>
      <c r="HS213" s="217"/>
      <c r="HT213" s="217"/>
      <c r="HU213" s="217"/>
      <c r="HV213" s="217"/>
      <c r="HW213" s="217"/>
      <c r="HX213" s="217"/>
      <c r="HY213" s="217"/>
      <c r="HZ213" s="217"/>
      <c r="IA213" s="217"/>
      <c r="IB213" s="217"/>
      <c r="IC213" s="217"/>
      <c r="ID213" s="217"/>
      <c r="IE213" s="217"/>
      <c r="IF213" s="217"/>
      <c r="IG213" s="217"/>
      <c r="IH213" s="217"/>
      <c r="II213" s="217"/>
      <c r="IJ213" s="217"/>
      <c r="IK213" s="217"/>
      <c r="IL213" s="217"/>
      <c r="IM213" s="217"/>
      <c r="IN213" s="217"/>
      <c r="IO213" s="217"/>
      <c r="IP213" s="217"/>
      <c r="IQ213" s="217"/>
      <c r="IR213" s="217"/>
      <c r="IS213" s="217"/>
      <c r="IT213" s="217"/>
      <c r="IU213" s="217"/>
      <c r="IV213" s="217"/>
    </row>
    <row r="214" spans="1:256" s="219" customFormat="1" x14ac:dyDescent="0.2">
      <c r="A214" s="216"/>
      <c r="B214" s="216"/>
      <c r="C214" s="216"/>
      <c r="D214" s="216"/>
      <c r="E214" s="216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7"/>
      <c r="W214" s="217"/>
      <c r="X214" s="217"/>
      <c r="Y214" s="217"/>
      <c r="Z214" s="217"/>
      <c r="AA214" s="217"/>
      <c r="AB214" s="217"/>
      <c r="AC214" s="217"/>
      <c r="AD214" s="217"/>
      <c r="AE214" s="217"/>
      <c r="AF214" s="217"/>
      <c r="AG214" s="217"/>
      <c r="AH214" s="217"/>
      <c r="AI214" s="217"/>
      <c r="AJ214" s="217"/>
      <c r="AK214" s="217"/>
      <c r="AL214" s="217"/>
      <c r="AM214" s="217"/>
      <c r="AN214" s="217"/>
      <c r="AO214" s="217"/>
      <c r="AP214" s="217"/>
      <c r="AQ214" s="217"/>
      <c r="AR214" s="217"/>
      <c r="AS214" s="217"/>
      <c r="AT214" s="218"/>
      <c r="AU214" s="218"/>
      <c r="AV214" s="217"/>
      <c r="AW214" s="217"/>
      <c r="AX214" s="217"/>
      <c r="AY214" s="217"/>
      <c r="AZ214" s="217"/>
      <c r="BA214" s="217"/>
      <c r="BB214" s="217"/>
      <c r="BC214" s="217"/>
      <c r="BD214" s="217"/>
      <c r="BE214" s="217"/>
      <c r="BF214" s="217"/>
      <c r="BG214" s="217"/>
      <c r="BH214" s="217"/>
      <c r="BI214" s="217"/>
      <c r="BJ214" s="217"/>
      <c r="BK214" s="217"/>
      <c r="BL214" s="217"/>
      <c r="BM214" s="217"/>
      <c r="BN214" s="217"/>
      <c r="BO214" s="217"/>
      <c r="BP214" s="217"/>
      <c r="BQ214" s="217"/>
      <c r="BR214" s="217"/>
      <c r="BS214" s="217"/>
      <c r="BT214" s="217"/>
      <c r="BU214" s="217"/>
      <c r="BV214" s="217"/>
      <c r="BW214" s="217"/>
      <c r="BX214" s="217"/>
      <c r="BY214" s="217"/>
      <c r="BZ214" s="217"/>
      <c r="CA214" s="217"/>
      <c r="CB214" s="217"/>
      <c r="CC214" s="217"/>
      <c r="CD214" s="217"/>
      <c r="CE214" s="217"/>
      <c r="CF214" s="217"/>
      <c r="CG214" s="217"/>
      <c r="CH214" s="217"/>
      <c r="CI214" s="217"/>
      <c r="CJ214" s="217"/>
      <c r="CK214" s="217"/>
      <c r="CL214" s="217"/>
      <c r="CM214" s="217"/>
      <c r="CN214" s="217"/>
      <c r="CO214" s="217"/>
      <c r="CP214" s="217"/>
      <c r="CQ214" s="217"/>
      <c r="CR214" s="217"/>
      <c r="CS214" s="217"/>
      <c r="CT214" s="217"/>
      <c r="CU214" s="217"/>
      <c r="CV214" s="217"/>
      <c r="CW214" s="217"/>
      <c r="CX214" s="217"/>
      <c r="CY214" s="217"/>
      <c r="CZ214" s="217"/>
      <c r="DA214" s="217"/>
      <c r="DB214" s="217"/>
      <c r="DC214" s="217"/>
      <c r="DD214" s="217"/>
      <c r="DE214" s="217"/>
      <c r="DF214" s="217"/>
      <c r="DG214" s="217"/>
      <c r="DH214" s="217"/>
      <c r="DI214" s="217"/>
      <c r="DJ214" s="217"/>
      <c r="DK214" s="217"/>
      <c r="DL214" s="217"/>
      <c r="DM214" s="217"/>
      <c r="DN214" s="217"/>
      <c r="DO214" s="217"/>
      <c r="DP214" s="217"/>
      <c r="DQ214" s="217"/>
      <c r="DR214" s="217"/>
      <c r="DS214" s="217"/>
      <c r="DT214" s="217"/>
      <c r="DU214" s="217"/>
      <c r="DV214" s="217"/>
      <c r="DW214" s="217"/>
      <c r="DX214" s="217"/>
      <c r="DY214" s="217"/>
      <c r="DZ214" s="217"/>
      <c r="EA214" s="217"/>
      <c r="EB214" s="217"/>
      <c r="EC214" s="217"/>
      <c r="ED214" s="217"/>
      <c r="EE214" s="217"/>
      <c r="EF214" s="217"/>
      <c r="EG214" s="217"/>
      <c r="EH214" s="217"/>
      <c r="EI214" s="217"/>
      <c r="EJ214" s="217"/>
      <c r="EK214" s="217"/>
      <c r="EL214" s="217"/>
      <c r="EM214" s="217"/>
      <c r="EN214" s="217"/>
      <c r="EO214" s="217"/>
      <c r="EP214" s="217"/>
      <c r="EQ214" s="217"/>
      <c r="ER214" s="217"/>
      <c r="ES214" s="217"/>
      <c r="ET214" s="217"/>
      <c r="EU214" s="217"/>
      <c r="EV214" s="217"/>
      <c r="EW214" s="217"/>
      <c r="EX214" s="217"/>
      <c r="EY214" s="217"/>
      <c r="EZ214" s="217"/>
      <c r="FA214" s="217"/>
      <c r="FB214" s="217"/>
      <c r="FC214" s="217"/>
      <c r="FD214" s="217"/>
      <c r="FE214" s="217"/>
      <c r="FF214" s="217"/>
      <c r="FG214" s="217"/>
      <c r="FH214" s="217"/>
      <c r="FI214" s="217"/>
      <c r="FJ214" s="217"/>
      <c r="FK214" s="217"/>
      <c r="FL214" s="217"/>
      <c r="FM214" s="217"/>
      <c r="FN214" s="217"/>
      <c r="FO214" s="217"/>
      <c r="FP214" s="217"/>
      <c r="FQ214" s="217"/>
      <c r="FR214" s="217"/>
      <c r="FS214" s="217"/>
      <c r="FT214" s="217"/>
      <c r="FU214" s="217"/>
      <c r="FV214" s="217"/>
      <c r="FW214" s="217"/>
      <c r="FX214" s="217"/>
      <c r="FY214" s="217"/>
      <c r="FZ214" s="217"/>
      <c r="GA214" s="217"/>
      <c r="GB214" s="217"/>
      <c r="GC214" s="217"/>
      <c r="GD214" s="217"/>
      <c r="GE214" s="217"/>
      <c r="GF214" s="217"/>
      <c r="GG214" s="217"/>
      <c r="GH214" s="217"/>
      <c r="GI214" s="217"/>
      <c r="GJ214" s="217"/>
      <c r="GK214" s="217"/>
      <c r="GL214" s="217"/>
      <c r="GM214" s="217"/>
      <c r="GN214" s="217"/>
      <c r="GO214" s="217"/>
      <c r="GP214" s="217"/>
      <c r="GQ214" s="217"/>
      <c r="GR214" s="217"/>
      <c r="GS214" s="217"/>
      <c r="GT214" s="217"/>
      <c r="GU214" s="217"/>
      <c r="GV214" s="217"/>
      <c r="GW214" s="217"/>
      <c r="GX214" s="217"/>
      <c r="GY214" s="217"/>
      <c r="GZ214" s="217"/>
      <c r="HA214" s="217"/>
      <c r="HB214" s="217"/>
      <c r="HC214" s="217"/>
      <c r="HD214" s="217"/>
      <c r="HE214" s="217"/>
      <c r="HF214" s="217"/>
      <c r="HG214" s="217"/>
      <c r="HH214" s="217"/>
      <c r="HI214" s="217"/>
      <c r="HJ214" s="217"/>
      <c r="HK214" s="217"/>
      <c r="HL214" s="217"/>
      <c r="HM214" s="217"/>
      <c r="HN214" s="217"/>
      <c r="HO214" s="217"/>
      <c r="HP214" s="217"/>
      <c r="HQ214" s="217"/>
      <c r="HR214" s="217"/>
      <c r="HS214" s="217"/>
      <c r="HT214" s="217"/>
      <c r="HU214" s="217"/>
      <c r="HV214" s="217"/>
      <c r="HW214" s="217"/>
      <c r="HX214" s="217"/>
      <c r="HY214" s="217"/>
      <c r="HZ214" s="217"/>
      <c r="IA214" s="217"/>
      <c r="IB214" s="217"/>
      <c r="IC214" s="217"/>
      <c r="ID214" s="217"/>
      <c r="IE214" s="217"/>
      <c r="IF214" s="217"/>
      <c r="IG214" s="217"/>
      <c r="IH214" s="217"/>
      <c r="II214" s="217"/>
      <c r="IJ214" s="217"/>
      <c r="IK214" s="217"/>
      <c r="IL214" s="217"/>
      <c r="IM214" s="217"/>
      <c r="IN214" s="217"/>
      <c r="IO214" s="217"/>
      <c r="IP214" s="217"/>
      <c r="IQ214" s="217"/>
      <c r="IR214" s="217"/>
      <c r="IS214" s="217"/>
      <c r="IT214" s="217"/>
      <c r="IU214" s="217"/>
      <c r="IV214" s="217"/>
    </row>
    <row r="215" spans="1:256" s="219" customFormat="1" ht="15" customHeight="1" x14ac:dyDescent="0.2">
      <c r="A215" s="216"/>
      <c r="B215" s="216"/>
      <c r="C215" s="216"/>
      <c r="D215" s="216"/>
      <c r="E215" s="216"/>
      <c r="F215" s="216"/>
      <c r="G215" s="216"/>
      <c r="H215" s="216"/>
      <c r="I215" s="216"/>
      <c r="J215" s="216"/>
      <c r="K215" s="216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7"/>
      <c r="W215" s="217"/>
      <c r="X215" s="217"/>
      <c r="Y215" s="217"/>
      <c r="Z215" s="217"/>
      <c r="AA215" s="217"/>
      <c r="AB215" s="217"/>
      <c r="AC215" s="217"/>
      <c r="AD215" s="217"/>
      <c r="AE215" s="217"/>
      <c r="AF215" s="217"/>
      <c r="AG215" s="217"/>
      <c r="AH215" s="217"/>
      <c r="AI215" s="217"/>
      <c r="AJ215" s="217"/>
      <c r="AK215" s="217"/>
      <c r="AL215" s="217"/>
      <c r="AM215" s="217"/>
      <c r="AN215" s="217"/>
      <c r="AO215" s="217"/>
      <c r="AP215" s="217"/>
      <c r="AQ215" s="217"/>
      <c r="AR215" s="217"/>
      <c r="AS215" s="217"/>
      <c r="AT215" s="218"/>
      <c r="AU215" s="218"/>
      <c r="AV215" s="217"/>
      <c r="AW215" s="217"/>
      <c r="AX215" s="217"/>
      <c r="AY215" s="217"/>
      <c r="AZ215" s="217"/>
      <c r="BA215" s="217"/>
      <c r="BB215" s="217"/>
      <c r="BC215" s="217"/>
      <c r="BD215" s="217"/>
      <c r="BE215" s="217"/>
      <c r="BF215" s="217"/>
      <c r="BG215" s="217"/>
      <c r="BH215" s="217"/>
      <c r="BI215" s="217"/>
      <c r="BJ215" s="217"/>
      <c r="BK215" s="217"/>
      <c r="BL215" s="217"/>
      <c r="BM215" s="217"/>
      <c r="BN215" s="217"/>
      <c r="BO215" s="217"/>
      <c r="BP215" s="217"/>
      <c r="BQ215" s="217"/>
      <c r="BR215" s="217"/>
      <c r="BS215" s="217"/>
      <c r="BT215" s="217"/>
      <c r="BU215" s="217"/>
      <c r="BV215" s="217"/>
      <c r="BW215" s="217"/>
      <c r="BX215" s="217"/>
      <c r="BY215" s="217"/>
      <c r="BZ215" s="217"/>
      <c r="CA215" s="217"/>
      <c r="CB215" s="217"/>
      <c r="CC215" s="217"/>
      <c r="CD215" s="217"/>
      <c r="CE215" s="217"/>
      <c r="CF215" s="217"/>
      <c r="CG215" s="217"/>
      <c r="CH215" s="217"/>
      <c r="CI215" s="217"/>
      <c r="CJ215" s="217"/>
      <c r="CK215" s="217"/>
      <c r="CL215" s="217"/>
      <c r="CM215" s="217"/>
      <c r="CN215" s="217"/>
      <c r="CO215" s="217"/>
      <c r="CP215" s="217"/>
      <c r="CQ215" s="217"/>
      <c r="CR215" s="217"/>
      <c r="CS215" s="217"/>
      <c r="CT215" s="217"/>
      <c r="CU215" s="217"/>
      <c r="CV215" s="217"/>
      <c r="CW215" s="217"/>
      <c r="CX215" s="217"/>
      <c r="CY215" s="217"/>
      <c r="CZ215" s="217"/>
      <c r="DA215" s="217"/>
      <c r="DB215" s="217"/>
      <c r="DC215" s="217"/>
      <c r="DD215" s="217"/>
      <c r="DE215" s="217"/>
      <c r="DF215" s="217"/>
      <c r="DG215" s="217"/>
      <c r="DH215" s="217"/>
      <c r="DI215" s="217"/>
      <c r="DJ215" s="217"/>
      <c r="DK215" s="217"/>
      <c r="DL215" s="217"/>
      <c r="DM215" s="217"/>
      <c r="DN215" s="217"/>
      <c r="DO215" s="217"/>
      <c r="DP215" s="217"/>
      <c r="DQ215" s="217"/>
      <c r="DR215" s="217"/>
      <c r="DS215" s="217"/>
      <c r="DT215" s="217"/>
      <c r="DU215" s="217"/>
      <c r="DV215" s="217"/>
      <c r="DW215" s="217"/>
      <c r="DX215" s="217"/>
      <c r="DY215" s="217"/>
      <c r="DZ215" s="217"/>
      <c r="EA215" s="217"/>
      <c r="EB215" s="217"/>
      <c r="EC215" s="217"/>
      <c r="ED215" s="217"/>
      <c r="EE215" s="217"/>
      <c r="EF215" s="217"/>
      <c r="EG215" s="217"/>
      <c r="EH215" s="217"/>
      <c r="EI215" s="217"/>
      <c r="EJ215" s="217"/>
      <c r="EK215" s="217"/>
      <c r="EL215" s="217"/>
      <c r="EM215" s="217"/>
      <c r="EN215" s="217"/>
      <c r="EO215" s="217"/>
      <c r="EP215" s="217"/>
      <c r="EQ215" s="217"/>
      <c r="ER215" s="217"/>
      <c r="ES215" s="217"/>
      <c r="ET215" s="217"/>
      <c r="EU215" s="217"/>
      <c r="EV215" s="217"/>
      <c r="EW215" s="217"/>
      <c r="EX215" s="217"/>
      <c r="EY215" s="217"/>
      <c r="EZ215" s="217"/>
      <c r="FA215" s="217"/>
      <c r="FB215" s="217"/>
      <c r="FC215" s="217"/>
      <c r="FD215" s="217"/>
      <c r="FE215" s="217"/>
      <c r="FF215" s="217"/>
      <c r="FG215" s="217"/>
      <c r="FH215" s="217"/>
      <c r="FI215" s="217"/>
      <c r="FJ215" s="217"/>
      <c r="FK215" s="217"/>
      <c r="FL215" s="217"/>
      <c r="FM215" s="217"/>
      <c r="FN215" s="217"/>
      <c r="FO215" s="217"/>
      <c r="FP215" s="217"/>
      <c r="FQ215" s="217"/>
      <c r="FR215" s="217"/>
      <c r="FS215" s="217"/>
      <c r="FT215" s="217"/>
      <c r="FU215" s="217"/>
      <c r="FV215" s="217"/>
      <c r="FW215" s="217"/>
      <c r="FX215" s="217"/>
      <c r="FY215" s="217"/>
      <c r="FZ215" s="217"/>
      <c r="GA215" s="217"/>
      <c r="GB215" s="217"/>
      <c r="GC215" s="217"/>
      <c r="GD215" s="217"/>
      <c r="GE215" s="217"/>
      <c r="GF215" s="217"/>
      <c r="GG215" s="217"/>
      <c r="GH215" s="217"/>
      <c r="GI215" s="217"/>
      <c r="GJ215" s="217"/>
      <c r="GK215" s="217"/>
      <c r="GL215" s="217"/>
      <c r="GM215" s="217"/>
      <c r="GN215" s="217"/>
      <c r="GO215" s="217"/>
      <c r="GP215" s="217"/>
      <c r="GQ215" s="217"/>
      <c r="GR215" s="217"/>
      <c r="GS215" s="217"/>
      <c r="GT215" s="217"/>
      <c r="GU215" s="217"/>
      <c r="GV215" s="217"/>
      <c r="GW215" s="217"/>
      <c r="GX215" s="217"/>
      <c r="GY215" s="217"/>
      <c r="GZ215" s="217"/>
      <c r="HA215" s="217"/>
      <c r="HB215" s="217"/>
      <c r="HC215" s="217"/>
      <c r="HD215" s="217"/>
      <c r="HE215" s="217"/>
      <c r="HF215" s="217"/>
      <c r="HG215" s="217"/>
      <c r="HH215" s="217"/>
      <c r="HI215" s="217"/>
      <c r="HJ215" s="217"/>
      <c r="HK215" s="217"/>
      <c r="HL215" s="217"/>
      <c r="HM215" s="217"/>
      <c r="HN215" s="217"/>
      <c r="HO215" s="217"/>
      <c r="HP215" s="217"/>
      <c r="HQ215" s="217"/>
      <c r="HR215" s="217"/>
      <c r="HS215" s="217"/>
      <c r="HT215" s="217"/>
      <c r="HU215" s="217"/>
      <c r="HV215" s="217"/>
      <c r="HW215" s="217"/>
      <c r="HX215" s="217"/>
      <c r="HY215" s="217"/>
      <c r="HZ215" s="217"/>
      <c r="IA215" s="217"/>
      <c r="IB215" s="217"/>
      <c r="IC215" s="217"/>
      <c r="ID215" s="217"/>
      <c r="IE215" s="217"/>
      <c r="IF215" s="217"/>
      <c r="IG215" s="217"/>
      <c r="IH215" s="217"/>
      <c r="II215" s="217"/>
      <c r="IJ215" s="217"/>
      <c r="IK215" s="217"/>
      <c r="IL215" s="217"/>
      <c r="IM215" s="217"/>
      <c r="IN215" s="217"/>
      <c r="IO215" s="217"/>
      <c r="IP215" s="217"/>
      <c r="IQ215" s="217"/>
      <c r="IR215" s="217"/>
      <c r="IS215" s="217"/>
      <c r="IT215" s="217"/>
      <c r="IU215" s="217"/>
      <c r="IV215" s="217"/>
    </row>
    <row r="216" spans="1:256" s="219" customFormat="1" x14ac:dyDescent="0.2">
      <c r="A216" s="216"/>
      <c r="B216" s="216"/>
      <c r="C216" s="216"/>
      <c r="D216" s="216"/>
      <c r="E216" s="216"/>
      <c r="F216" s="216"/>
      <c r="G216" s="216"/>
      <c r="H216" s="216"/>
      <c r="I216" s="216"/>
      <c r="J216" s="216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7"/>
      <c r="W216" s="217"/>
      <c r="X216" s="217"/>
      <c r="Y216" s="217"/>
      <c r="Z216" s="217"/>
      <c r="AA216" s="217"/>
      <c r="AB216" s="217"/>
      <c r="AC216" s="217"/>
      <c r="AD216" s="217"/>
      <c r="AE216" s="217"/>
      <c r="AF216" s="217"/>
      <c r="AG216" s="217"/>
      <c r="AH216" s="217"/>
      <c r="AI216" s="217"/>
      <c r="AJ216" s="217"/>
      <c r="AK216" s="217"/>
      <c r="AL216" s="217"/>
      <c r="AM216" s="217"/>
      <c r="AN216" s="217"/>
      <c r="AO216" s="217"/>
      <c r="AP216" s="217"/>
      <c r="AQ216" s="217"/>
      <c r="AR216" s="217"/>
      <c r="AS216" s="217"/>
      <c r="AT216" s="218"/>
      <c r="AU216" s="218"/>
      <c r="AV216" s="217"/>
      <c r="AW216" s="217"/>
      <c r="AX216" s="217"/>
      <c r="AY216" s="217"/>
      <c r="AZ216" s="217"/>
      <c r="BA216" s="217"/>
      <c r="BB216" s="217"/>
      <c r="BC216" s="217"/>
      <c r="BD216" s="217"/>
      <c r="BE216" s="217"/>
      <c r="BF216" s="217"/>
      <c r="BG216" s="217"/>
      <c r="BH216" s="217"/>
      <c r="BI216" s="217"/>
      <c r="BJ216" s="217"/>
      <c r="BK216" s="217"/>
      <c r="BL216" s="217"/>
      <c r="BM216" s="217"/>
      <c r="BN216" s="217"/>
      <c r="BO216" s="217"/>
      <c r="BP216" s="217"/>
      <c r="BQ216" s="217"/>
      <c r="BR216" s="217"/>
      <c r="BS216" s="217"/>
      <c r="BT216" s="217"/>
      <c r="BU216" s="217"/>
      <c r="BV216" s="217"/>
      <c r="BW216" s="217"/>
      <c r="BX216" s="217"/>
      <c r="BY216" s="217"/>
      <c r="BZ216" s="217"/>
      <c r="CA216" s="217"/>
      <c r="CB216" s="217"/>
      <c r="CC216" s="217"/>
      <c r="CD216" s="217"/>
      <c r="CE216" s="217"/>
      <c r="CF216" s="217"/>
      <c r="CG216" s="217"/>
      <c r="CH216" s="217"/>
      <c r="CI216" s="217"/>
      <c r="CJ216" s="217"/>
      <c r="CK216" s="217"/>
      <c r="CL216" s="217"/>
      <c r="CM216" s="217"/>
      <c r="CN216" s="217"/>
      <c r="CO216" s="217"/>
      <c r="CP216" s="217"/>
      <c r="CQ216" s="217"/>
      <c r="CR216" s="217"/>
      <c r="CS216" s="217"/>
      <c r="CT216" s="217"/>
      <c r="CU216" s="217"/>
      <c r="CV216" s="217"/>
      <c r="CW216" s="217"/>
      <c r="CX216" s="217"/>
      <c r="CY216" s="217"/>
      <c r="CZ216" s="217"/>
      <c r="DA216" s="217"/>
      <c r="DB216" s="217"/>
      <c r="DC216" s="217"/>
      <c r="DD216" s="217"/>
      <c r="DE216" s="217"/>
      <c r="DF216" s="217"/>
      <c r="DG216" s="217"/>
      <c r="DH216" s="217"/>
      <c r="DI216" s="217"/>
      <c r="DJ216" s="217"/>
      <c r="DK216" s="217"/>
      <c r="DL216" s="217"/>
      <c r="DM216" s="217"/>
      <c r="DN216" s="217"/>
      <c r="DO216" s="217"/>
      <c r="DP216" s="217"/>
      <c r="DQ216" s="217"/>
      <c r="DR216" s="217"/>
      <c r="DS216" s="217"/>
      <c r="DT216" s="217"/>
      <c r="DU216" s="217"/>
      <c r="DV216" s="217"/>
      <c r="DW216" s="217"/>
      <c r="DX216" s="217"/>
      <c r="DY216" s="217"/>
      <c r="DZ216" s="217"/>
      <c r="EA216" s="217"/>
      <c r="EB216" s="217"/>
      <c r="EC216" s="217"/>
      <c r="ED216" s="217"/>
      <c r="EE216" s="217"/>
      <c r="EF216" s="217"/>
      <c r="EG216" s="217"/>
      <c r="EH216" s="217"/>
      <c r="EI216" s="217"/>
      <c r="EJ216" s="217"/>
      <c r="EK216" s="217"/>
      <c r="EL216" s="217"/>
      <c r="EM216" s="217"/>
      <c r="EN216" s="217"/>
      <c r="EO216" s="217"/>
      <c r="EP216" s="217"/>
      <c r="EQ216" s="217"/>
      <c r="ER216" s="217"/>
      <c r="ES216" s="217"/>
      <c r="ET216" s="217"/>
      <c r="EU216" s="217"/>
      <c r="EV216" s="217"/>
      <c r="EW216" s="217"/>
      <c r="EX216" s="217"/>
      <c r="EY216" s="217"/>
      <c r="EZ216" s="217"/>
      <c r="FA216" s="217"/>
      <c r="FB216" s="217"/>
      <c r="FC216" s="217"/>
      <c r="FD216" s="217"/>
      <c r="FE216" s="217"/>
      <c r="FF216" s="217"/>
      <c r="FG216" s="217"/>
      <c r="FH216" s="217"/>
      <c r="FI216" s="217"/>
      <c r="FJ216" s="217"/>
      <c r="FK216" s="217"/>
      <c r="FL216" s="217"/>
      <c r="FM216" s="217"/>
      <c r="FN216" s="217"/>
      <c r="FO216" s="217"/>
      <c r="FP216" s="217"/>
      <c r="FQ216" s="217"/>
      <c r="FR216" s="217"/>
      <c r="FS216" s="217"/>
      <c r="FT216" s="217"/>
      <c r="FU216" s="217"/>
      <c r="FV216" s="217"/>
      <c r="FW216" s="217"/>
      <c r="FX216" s="217"/>
      <c r="FY216" s="217"/>
      <c r="FZ216" s="217"/>
      <c r="GA216" s="217"/>
      <c r="GB216" s="217"/>
      <c r="GC216" s="217"/>
      <c r="GD216" s="217"/>
      <c r="GE216" s="217"/>
      <c r="GF216" s="217"/>
      <c r="GG216" s="217"/>
      <c r="GH216" s="217"/>
      <c r="GI216" s="217"/>
      <c r="GJ216" s="217"/>
      <c r="GK216" s="217"/>
      <c r="GL216" s="217"/>
      <c r="GM216" s="217"/>
      <c r="GN216" s="217"/>
      <c r="GO216" s="217"/>
      <c r="GP216" s="217"/>
      <c r="GQ216" s="217"/>
      <c r="GR216" s="217"/>
      <c r="GS216" s="217"/>
      <c r="GT216" s="217"/>
      <c r="GU216" s="217"/>
      <c r="GV216" s="217"/>
      <c r="GW216" s="217"/>
      <c r="GX216" s="217"/>
      <c r="GY216" s="217"/>
      <c r="GZ216" s="217"/>
      <c r="HA216" s="217"/>
      <c r="HB216" s="217"/>
      <c r="HC216" s="217"/>
      <c r="HD216" s="217"/>
      <c r="HE216" s="217"/>
      <c r="HF216" s="217"/>
      <c r="HG216" s="217"/>
      <c r="HH216" s="217"/>
      <c r="HI216" s="217"/>
      <c r="HJ216" s="217"/>
      <c r="HK216" s="217"/>
      <c r="HL216" s="217"/>
      <c r="HM216" s="217"/>
      <c r="HN216" s="217"/>
      <c r="HO216" s="217"/>
      <c r="HP216" s="217"/>
      <c r="HQ216" s="217"/>
      <c r="HR216" s="217"/>
      <c r="HS216" s="217"/>
      <c r="HT216" s="217"/>
      <c r="HU216" s="217"/>
      <c r="HV216" s="217"/>
      <c r="HW216" s="217"/>
      <c r="HX216" s="217"/>
      <c r="HY216" s="217"/>
      <c r="HZ216" s="217"/>
      <c r="IA216" s="217"/>
      <c r="IB216" s="217"/>
      <c r="IC216" s="217"/>
      <c r="ID216" s="217"/>
      <c r="IE216" s="217"/>
      <c r="IF216" s="217"/>
      <c r="IG216" s="217"/>
      <c r="IH216" s="217"/>
      <c r="II216" s="217"/>
      <c r="IJ216" s="217"/>
      <c r="IK216" s="217"/>
      <c r="IL216" s="217"/>
      <c r="IM216" s="217"/>
      <c r="IN216" s="217"/>
      <c r="IO216" s="217"/>
      <c r="IP216" s="217"/>
      <c r="IQ216" s="217"/>
      <c r="IR216" s="217"/>
      <c r="IS216" s="217"/>
      <c r="IT216" s="217"/>
      <c r="IU216" s="217"/>
      <c r="IV216" s="217"/>
    </row>
    <row r="217" spans="1:256" s="219" customFormat="1" x14ac:dyDescent="0.2">
      <c r="A217" s="216"/>
      <c r="B217" s="216"/>
      <c r="C217" s="216"/>
      <c r="D217" s="216"/>
      <c r="E217" s="216"/>
      <c r="F217" s="216"/>
      <c r="G217" s="216"/>
      <c r="H217" s="216"/>
      <c r="I217" s="216"/>
      <c r="J217" s="216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7"/>
      <c r="W217" s="217"/>
      <c r="X217" s="217"/>
      <c r="Y217" s="217"/>
      <c r="Z217" s="217"/>
      <c r="AA217" s="217"/>
      <c r="AB217" s="217"/>
      <c r="AC217" s="217"/>
      <c r="AD217" s="217"/>
      <c r="AE217" s="217"/>
      <c r="AF217" s="217"/>
      <c r="AG217" s="217"/>
      <c r="AH217" s="217"/>
      <c r="AI217" s="217"/>
      <c r="AJ217" s="217"/>
      <c r="AK217" s="217"/>
      <c r="AL217" s="217"/>
      <c r="AM217" s="217"/>
      <c r="AN217" s="217"/>
      <c r="AO217" s="217"/>
      <c r="AP217" s="217"/>
      <c r="AQ217" s="217"/>
      <c r="AR217" s="217"/>
      <c r="AS217" s="217"/>
      <c r="AT217" s="218"/>
      <c r="AU217" s="218"/>
      <c r="AV217" s="217"/>
      <c r="AW217" s="217"/>
      <c r="AX217" s="217"/>
      <c r="AY217" s="217"/>
      <c r="AZ217" s="217"/>
      <c r="BA217" s="217"/>
      <c r="BB217" s="217"/>
      <c r="BC217" s="217"/>
      <c r="BD217" s="217"/>
      <c r="BE217" s="217"/>
      <c r="BF217" s="217"/>
      <c r="BG217" s="217"/>
      <c r="BH217" s="217"/>
      <c r="BI217" s="217"/>
      <c r="BJ217" s="217"/>
      <c r="BK217" s="217"/>
      <c r="BL217" s="217"/>
      <c r="BM217" s="217"/>
      <c r="BN217" s="217"/>
      <c r="BO217" s="217"/>
      <c r="BP217" s="217"/>
      <c r="BQ217" s="217"/>
      <c r="BR217" s="217"/>
      <c r="BS217" s="217"/>
      <c r="BT217" s="217"/>
      <c r="BU217" s="217"/>
      <c r="BV217" s="217"/>
      <c r="BW217" s="217"/>
      <c r="BX217" s="217"/>
      <c r="BY217" s="217"/>
      <c r="BZ217" s="217"/>
      <c r="CA217" s="217"/>
      <c r="CB217" s="217"/>
      <c r="CC217" s="217"/>
      <c r="CD217" s="217"/>
      <c r="CE217" s="217"/>
      <c r="CF217" s="217"/>
      <c r="CG217" s="217"/>
      <c r="CH217" s="217"/>
      <c r="CI217" s="217"/>
      <c r="CJ217" s="217"/>
      <c r="CK217" s="217"/>
      <c r="CL217" s="217"/>
      <c r="CM217" s="217"/>
      <c r="CN217" s="217"/>
      <c r="CO217" s="217"/>
      <c r="CP217" s="217"/>
      <c r="CQ217" s="217"/>
      <c r="CR217" s="217"/>
      <c r="CS217" s="217"/>
      <c r="CT217" s="217"/>
      <c r="CU217" s="217"/>
      <c r="CV217" s="217"/>
      <c r="CW217" s="217"/>
      <c r="CX217" s="217"/>
      <c r="CY217" s="217"/>
      <c r="CZ217" s="217"/>
      <c r="DA217" s="217"/>
      <c r="DB217" s="217"/>
      <c r="DC217" s="217"/>
      <c r="DD217" s="217"/>
      <c r="DE217" s="217"/>
      <c r="DF217" s="217"/>
      <c r="DG217" s="217"/>
      <c r="DH217" s="217"/>
      <c r="DI217" s="217"/>
      <c r="DJ217" s="217"/>
      <c r="DK217" s="217"/>
      <c r="DL217" s="217"/>
      <c r="DM217" s="217"/>
      <c r="DN217" s="217"/>
      <c r="DO217" s="217"/>
      <c r="DP217" s="217"/>
      <c r="DQ217" s="217"/>
      <c r="DR217" s="217"/>
      <c r="DS217" s="217"/>
      <c r="DT217" s="217"/>
      <c r="DU217" s="217"/>
      <c r="DV217" s="217"/>
      <c r="DW217" s="217"/>
      <c r="DX217" s="217"/>
      <c r="DY217" s="217"/>
      <c r="DZ217" s="217"/>
      <c r="EA217" s="217"/>
      <c r="EB217" s="217"/>
      <c r="EC217" s="217"/>
      <c r="ED217" s="217"/>
      <c r="EE217" s="217"/>
      <c r="EF217" s="217"/>
      <c r="EG217" s="217"/>
      <c r="EH217" s="217"/>
      <c r="EI217" s="217"/>
      <c r="EJ217" s="217"/>
      <c r="EK217" s="217"/>
      <c r="EL217" s="217"/>
      <c r="EM217" s="217"/>
      <c r="EN217" s="217"/>
      <c r="EO217" s="217"/>
      <c r="EP217" s="217"/>
      <c r="EQ217" s="217"/>
      <c r="ER217" s="217"/>
      <c r="ES217" s="217"/>
      <c r="ET217" s="217"/>
      <c r="EU217" s="217"/>
      <c r="EV217" s="217"/>
      <c r="EW217" s="217"/>
      <c r="EX217" s="217"/>
      <c r="EY217" s="217"/>
      <c r="EZ217" s="217"/>
      <c r="FA217" s="217"/>
      <c r="FB217" s="217"/>
      <c r="FC217" s="217"/>
      <c r="FD217" s="217"/>
      <c r="FE217" s="217"/>
      <c r="FF217" s="217"/>
      <c r="FG217" s="217"/>
      <c r="FH217" s="217"/>
      <c r="FI217" s="217"/>
      <c r="FJ217" s="217"/>
      <c r="FK217" s="217"/>
      <c r="FL217" s="217"/>
      <c r="FM217" s="217"/>
      <c r="FN217" s="217"/>
      <c r="FO217" s="217"/>
      <c r="FP217" s="217"/>
      <c r="FQ217" s="217"/>
      <c r="FR217" s="217"/>
      <c r="FS217" s="217"/>
      <c r="FT217" s="217"/>
      <c r="FU217" s="217"/>
      <c r="FV217" s="217"/>
      <c r="FW217" s="217"/>
      <c r="FX217" s="217"/>
      <c r="FY217" s="217"/>
      <c r="FZ217" s="217"/>
      <c r="GA217" s="217"/>
      <c r="GB217" s="217"/>
      <c r="GC217" s="217"/>
      <c r="GD217" s="217"/>
      <c r="GE217" s="217"/>
      <c r="GF217" s="217"/>
      <c r="GG217" s="217"/>
      <c r="GH217" s="217"/>
      <c r="GI217" s="217"/>
      <c r="GJ217" s="217"/>
      <c r="GK217" s="217"/>
      <c r="GL217" s="217"/>
      <c r="GM217" s="217"/>
      <c r="GN217" s="217"/>
      <c r="GO217" s="217"/>
      <c r="GP217" s="217"/>
      <c r="GQ217" s="217"/>
      <c r="GR217" s="217"/>
      <c r="GS217" s="217"/>
      <c r="GT217" s="217"/>
      <c r="GU217" s="217"/>
      <c r="GV217" s="217"/>
      <c r="GW217" s="217"/>
      <c r="GX217" s="217"/>
      <c r="GY217" s="217"/>
      <c r="GZ217" s="217"/>
      <c r="HA217" s="217"/>
      <c r="HB217" s="217"/>
      <c r="HC217" s="217"/>
      <c r="HD217" s="217"/>
      <c r="HE217" s="217"/>
      <c r="HF217" s="217"/>
      <c r="HG217" s="217"/>
      <c r="HH217" s="217"/>
      <c r="HI217" s="217"/>
      <c r="HJ217" s="217"/>
      <c r="HK217" s="217"/>
      <c r="HL217" s="217"/>
      <c r="HM217" s="217"/>
      <c r="HN217" s="217"/>
      <c r="HO217" s="217"/>
      <c r="HP217" s="217"/>
      <c r="HQ217" s="217"/>
      <c r="HR217" s="217"/>
      <c r="HS217" s="217"/>
      <c r="HT217" s="217"/>
      <c r="HU217" s="217"/>
      <c r="HV217" s="217"/>
      <c r="HW217" s="217"/>
      <c r="HX217" s="217"/>
      <c r="HY217" s="217"/>
      <c r="HZ217" s="217"/>
      <c r="IA217" s="217"/>
      <c r="IB217" s="217"/>
      <c r="IC217" s="217"/>
      <c r="ID217" s="217"/>
      <c r="IE217" s="217"/>
      <c r="IF217" s="217"/>
      <c r="IG217" s="217"/>
      <c r="IH217" s="217"/>
      <c r="II217" s="217"/>
      <c r="IJ217" s="217"/>
      <c r="IK217" s="217"/>
      <c r="IL217" s="217"/>
      <c r="IM217" s="217"/>
      <c r="IN217" s="217"/>
      <c r="IO217" s="217"/>
      <c r="IP217" s="217"/>
      <c r="IQ217" s="217"/>
      <c r="IR217" s="217"/>
      <c r="IS217" s="217"/>
      <c r="IT217" s="217"/>
      <c r="IU217" s="217"/>
      <c r="IV217" s="217"/>
    </row>
    <row r="218" spans="1:256" s="219" customFormat="1" x14ac:dyDescent="0.2">
      <c r="A218" s="216"/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7"/>
      <c r="W218" s="217"/>
      <c r="X218" s="217"/>
      <c r="Y218" s="217"/>
      <c r="Z218" s="217"/>
      <c r="AA218" s="217"/>
      <c r="AB218" s="217"/>
      <c r="AC218" s="217"/>
      <c r="AD218" s="217"/>
      <c r="AE218" s="217"/>
      <c r="AF218" s="217"/>
      <c r="AG218" s="217"/>
      <c r="AH218" s="217"/>
      <c r="AI218" s="217"/>
      <c r="AJ218" s="217"/>
      <c r="AK218" s="217"/>
      <c r="AL218" s="217"/>
      <c r="AM218" s="217"/>
      <c r="AN218" s="217"/>
      <c r="AO218" s="217"/>
      <c r="AP218" s="217"/>
      <c r="AQ218" s="217"/>
      <c r="AR218" s="217"/>
      <c r="AS218" s="217"/>
      <c r="AT218" s="218"/>
      <c r="AU218" s="218"/>
      <c r="AV218" s="217"/>
      <c r="AW218" s="217"/>
      <c r="AX218" s="217"/>
      <c r="AY218" s="217"/>
      <c r="AZ218" s="217"/>
      <c r="BA218" s="217"/>
      <c r="BB218" s="217"/>
      <c r="BC218" s="217"/>
      <c r="BD218" s="217"/>
      <c r="BE218" s="217"/>
      <c r="BF218" s="217"/>
      <c r="BG218" s="217"/>
      <c r="BH218" s="217"/>
      <c r="BI218" s="217"/>
      <c r="BJ218" s="217"/>
      <c r="BK218" s="217"/>
      <c r="BL218" s="217"/>
      <c r="BM218" s="217"/>
      <c r="BN218" s="217"/>
      <c r="BO218" s="217"/>
      <c r="BP218" s="217"/>
      <c r="BQ218" s="217"/>
      <c r="BR218" s="217"/>
      <c r="BS218" s="217"/>
      <c r="BT218" s="217"/>
      <c r="BU218" s="217"/>
      <c r="BV218" s="217"/>
      <c r="BW218" s="217"/>
      <c r="BX218" s="217"/>
      <c r="BY218" s="217"/>
      <c r="BZ218" s="217"/>
      <c r="CA218" s="217"/>
      <c r="CB218" s="217"/>
      <c r="CC218" s="217"/>
      <c r="CD218" s="217"/>
      <c r="CE218" s="217"/>
      <c r="CF218" s="217"/>
      <c r="CG218" s="217"/>
      <c r="CH218" s="217"/>
      <c r="CI218" s="217"/>
      <c r="CJ218" s="217"/>
      <c r="CK218" s="217"/>
      <c r="CL218" s="217"/>
      <c r="CM218" s="217"/>
      <c r="CN218" s="217"/>
      <c r="CO218" s="217"/>
      <c r="CP218" s="217"/>
      <c r="CQ218" s="217"/>
      <c r="CR218" s="217"/>
      <c r="CS218" s="217"/>
      <c r="CT218" s="217"/>
      <c r="CU218" s="217"/>
      <c r="CV218" s="217"/>
      <c r="CW218" s="217"/>
      <c r="CX218" s="217"/>
      <c r="CY218" s="217"/>
      <c r="CZ218" s="217"/>
      <c r="DA218" s="217"/>
      <c r="DB218" s="217"/>
      <c r="DC218" s="217"/>
      <c r="DD218" s="217"/>
      <c r="DE218" s="217"/>
      <c r="DF218" s="217"/>
      <c r="DG218" s="217"/>
      <c r="DH218" s="217"/>
      <c r="DI218" s="217"/>
      <c r="DJ218" s="217"/>
      <c r="DK218" s="217"/>
      <c r="DL218" s="217"/>
      <c r="DM218" s="217"/>
      <c r="DN218" s="217"/>
      <c r="DO218" s="217"/>
      <c r="DP218" s="217"/>
      <c r="DQ218" s="217"/>
      <c r="DR218" s="217"/>
      <c r="DS218" s="217"/>
      <c r="DT218" s="217"/>
      <c r="DU218" s="217"/>
      <c r="DV218" s="217"/>
      <c r="DW218" s="217"/>
      <c r="DX218" s="217"/>
      <c r="DY218" s="217"/>
      <c r="DZ218" s="217"/>
      <c r="EA218" s="217"/>
      <c r="EB218" s="217"/>
      <c r="EC218" s="217"/>
      <c r="ED218" s="217"/>
      <c r="EE218" s="217"/>
      <c r="EF218" s="217"/>
      <c r="EG218" s="217"/>
      <c r="EH218" s="217"/>
      <c r="EI218" s="217"/>
      <c r="EJ218" s="217"/>
      <c r="EK218" s="217"/>
      <c r="EL218" s="217"/>
      <c r="EM218" s="217"/>
      <c r="EN218" s="217"/>
      <c r="EO218" s="217"/>
      <c r="EP218" s="217"/>
      <c r="EQ218" s="217"/>
      <c r="ER218" s="217"/>
      <c r="ES218" s="217"/>
      <c r="ET218" s="217"/>
      <c r="EU218" s="217"/>
      <c r="EV218" s="217"/>
      <c r="EW218" s="217"/>
      <c r="EX218" s="217"/>
      <c r="EY218" s="217"/>
      <c r="EZ218" s="217"/>
      <c r="FA218" s="217"/>
      <c r="FB218" s="217"/>
      <c r="FC218" s="217"/>
      <c r="FD218" s="217"/>
      <c r="FE218" s="217"/>
      <c r="FF218" s="217"/>
      <c r="FG218" s="217"/>
      <c r="FH218" s="217"/>
      <c r="FI218" s="217"/>
      <c r="FJ218" s="217"/>
      <c r="FK218" s="217"/>
      <c r="FL218" s="217"/>
      <c r="FM218" s="217"/>
      <c r="FN218" s="217"/>
      <c r="FO218" s="217"/>
      <c r="FP218" s="217"/>
      <c r="FQ218" s="217"/>
      <c r="FR218" s="217"/>
      <c r="FS218" s="217"/>
      <c r="FT218" s="217"/>
      <c r="FU218" s="217"/>
      <c r="FV218" s="217"/>
      <c r="FW218" s="217"/>
      <c r="FX218" s="217"/>
      <c r="FY218" s="217"/>
      <c r="FZ218" s="217"/>
      <c r="GA218" s="217"/>
      <c r="GB218" s="217"/>
      <c r="GC218" s="217"/>
      <c r="GD218" s="217"/>
      <c r="GE218" s="217"/>
      <c r="GF218" s="217"/>
      <c r="GG218" s="217"/>
      <c r="GH218" s="217"/>
      <c r="GI218" s="217"/>
      <c r="GJ218" s="217"/>
      <c r="GK218" s="217"/>
      <c r="GL218" s="217"/>
      <c r="GM218" s="217"/>
      <c r="GN218" s="217"/>
      <c r="GO218" s="217"/>
      <c r="GP218" s="217"/>
      <c r="GQ218" s="217"/>
      <c r="GR218" s="217"/>
      <c r="GS218" s="217"/>
      <c r="GT218" s="217"/>
      <c r="GU218" s="217"/>
      <c r="GV218" s="217"/>
      <c r="GW218" s="217"/>
      <c r="GX218" s="217"/>
      <c r="GY218" s="217"/>
      <c r="GZ218" s="217"/>
      <c r="HA218" s="217"/>
      <c r="HB218" s="217"/>
      <c r="HC218" s="217"/>
      <c r="HD218" s="217"/>
      <c r="HE218" s="217"/>
      <c r="HF218" s="217"/>
      <c r="HG218" s="217"/>
      <c r="HH218" s="217"/>
      <c r="HI218" s="217"/>
      <c r="HJ218" s="217"/>
      <c r="HK218" s="217"/>
      <c r="HL218" s="217"/>
      <c r="HM218" s="217"/>
      <c r="HN218" s="217"/>
      <c r="HO218" s="217"/>
      <c r="HP218" s="217"/>
      <c r="HQ218" s="217"/>
      <c r="HR218" s="217"/>
      <c r="HS218" s="217"/>
      <c r="HT218" s="217"/>
      <c r="HU218" s="217"/>
      <c r="HV218" s="217"/>
      <c r="HW218" s="217"/>
      <c r="HX218" s="217"/>
      <c r="HY218" s="217"/>
      <c r="HZ218" s="217"/>
      <c r="IA218" s="217"/>
      <c r="IB218" s="217"/>
      <c r="IC218" s="217"/>
      <c r="ID218" s="217"/>
      <c r="IE218" s="217"/>
      <c r="IF218" s="217"/>
      <c r="IG218" s="217"/>
      <c r="IH218" s="217"/>
      <c r="II218" s="217"/>
      <c r="IJ218" s="217"/>
      <c r="IK218" s="217"/>
      <c r="IL218" s="217"/>
      <c r="IM218" s="217"/>
      <c r="IN218" s="217"/>
      <c r="IO218" s="217"/>
      <c r="IP218" s="217"/>
      <c r="IQ218" s="217"/>
      <c r="IR218" s="217"/>
      <c r="IS218" s="217"/>
      <c r="IT218" s="217"/>
      <c r="IU218" s="217"/>
      <c r="IV218" s="217"/>
    </row>
    <row r="219" spans="1:256" s="219" customFormat="1" ht="12.75" customHeight="1" x14ac:dyDescent="0.2">
      <c r="A219" s="216"/>
      <c r="B219" s="216"/>
      <c r="C219" s="216"/>
      <c r="D219" s="216"/>
      <c r="E219" s="216"/>
      <c r="F219" s="216"/>
      <c r="G219" s="216"/>
      <c r="H219" s="216"/>
      <c r="I219" s="216"/>
      <c r="J219" s="216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7"/>
      <c r="W219" s="217"/>
      <c r="X219" s="217"/>
      <c r="Y219" s="217"/>
      <c r="Z219" s="217"/>
      <c r="AA219" s="217"/>
      <c r="AB219" s="217"/>
      <c r="AC219" s="217"/>
      <c r="AD219" s="217"/>
      <c r="AE219" s="217"/>
      <c r="AF219" s="217"/>
      <c r="AG219" s="217"/>
      <c r="AH219" s="217"/>
      <c r="AI219" s="217"/>
      <c r="AJ219" s="217"/>
      <c r="AK219" s="217"/>
      <c r="AL219" s="217"/>
      <c r="AM219" s="217"/>
      <c r="AN219" s="217"/>
      <c r="AO219" s="217"/>
      <c r="AP219" s="217"/>
      <c r="AQ219" s="217"/>
      <c r="AR219" s="217"/>
      <c r="AS219" s="217"/>
      <c r="AT219" s="218"/>
      <c r="AU219" s="218"/>
      <c r="AV219" s="217"/>
      <c r="AW219" s="217"/>
      <c r="AX219" s="217"/>
      <c r="AY219" s="217"/>
      <c r="AZ219" s="217"/>
      <c r="BA219" s="217"/>
      <c r="BB219" s="217"/>
      <c r="BC219" s="217"/>
      <c r="BD219" s="217"/>
      <c r="BE219" s="217"/>
      <c r="BF219" s="217"/>
      <c r="BG219" s="217"/>
      <c r="BH219" s="217"/>
      <c r="BI219" s="217"/>
      <c r="BJ219" s="217"/>
      <c r="BK219" s="217"/>
      <c r="BL219" s="217"/>
      <c r="BM219" s="217"/>
      <c r="BN219" s="217"/>
      <c r="BO219" s="217"/>
      <c r="BP219" s="217"/>
      <c r="BQ219" s="217"/>
      <c r="BR219" s="217"/>
      <c r="BS219" s="217"/>
      <c r="BT219" s="217"/>
      <c r="BU219" s="217"/>
      <c r="BV219" s="217"/>
      <c r="BW219" s="217"/>
      <c r="BX219" s="217"/>
      <c r="BY219" s="217"/>
      <c r="BZ219" s="217"/>
      <c r="CA219" s="217"/>
      <c r="CB219" s="217"/>
      <c r="CC219" s="217"/>
      <c r="CD219" s="217"/>
      <c r="CE219" s="217"/>
      <c r="CF219" s="217"/>
      <c r="CG219" s="217"/>
      <c r="CH219" s="217"/>
      <c r="CI219" s="217"/>
      <c r="CJ219" s="217"/>
      <c r="CK219" s="217"/>
      <c r="CL219" s="217"/>
      <c r="CM219" s="217"/>
      <c r="CN219" s="217"/>
      <c r="CO219" s="217"/>
      <c r="CP219" s="217"/>
      <c r="CQ219" s="217"/>
      <c r="CR219" s="217"/>
      <c r="CS219" s="217"/>
      <c r="CT219" s="217"/>
      <c r="CU219" s="217"/>
      <c r="CV219" s="217"/>
      <c r="CW219" s="217"/>
      <c r="CX219" s="217"/>
      <c r="CY219" s="217"/>
      <c r="CZ219" s="217"/>
      <c r="DA219" s="217"/>
      <c r="DB219" s="217"/>
      <c r="DC219" s="217"/>
      <c r="DD219" s="217"/>
      <c r="DE219" s="217"/>
      <c r="DF219" s="217"/>
      <c r="DG219" s="217"/>
      <c r="DH219" s="217"/>
      <c r="DI219" s="217"/>
      <c r="DJ219" s="217"/>
      <c r="DK219" s="217"/>
      <c r="DL219" s="217"/>
      <c r="DM219" s="217"/>
      <c r="DN219" s="217"/>
      <c r="DO219" s="217"/>
      <c r="DP219" s="217"/>
      <c r="DQ219" s="217"/>
      <c r="DR219" s="217"/>
      <c r="DS219" s="217"/>
      <c r="DT219" s="217"/>
      <c r="DU219" s="217"/>
      <c r="DV219" s="217"/>
      <c r="DW219" s="217"/>
      <c r="DX219" s="217"/>
      <c r="DY219" s="217"/>
      <c r="DZ219" s="217"/>
      <c r="EA219" s="217"/>
      <c r="EB219" s="217"/>
      <c r="EC219" s="217"/>
      <c r="ED219" s="217"/>
      <c r="EE219" s="217"/>
      <c r="EF219" s="217"/>
      <c r="EG219" s="217"/>
      <c r="EH219" s="217"/>
      <c r="EI219" s="217"/>
      <c r="EJ219" s="217"/>
      <c r="EK219" s="217"/>
      <c r="EL219" s="217"/>
      <c r="EM219" s="217"/>
      <c r="EN219" s="217"/>
      <c r="EO219" s="217"/>
      <c r="EP219" s="217"/>
      <c r="EQ219" s="217"/>
      <c r="ER219" s="217"/>
      <c r="ES219" s="217"/>
      <c r="ET219" s="217"/>
      <c r="EU219" s="217"/>
      <c r="EV219" s="217"/>
      <c r="EW219" s="217"/>
      <c r="EX219" s="217"/>
      <c r="EY219" s="217"/>
      <c r="EZ219" s="217"/>
      <c r="FA219" s="217"/>
      <c r="FB219" s="217"/>
      <c r="FC219" s="217"/>
      <c r="FD219" s="217"/>
      <c r="FE219" s="217"/>
      <c r="FF219" s="217"/>
      <c r="FG219" s="217"/>
      <c r="FH219" s="217"/>
      <c r="FI219" s="217"/>
      <c r="FJ219" s="217"/>
      <c r="FK219" s="217"/>
      <c r="FL219" s="217"/>
      <c r="FM219" s="217"/>
      <c r="FN219" s="217"/>
      <c r="FO219" s="217"/>
      <c r="FP219" s="217"/>
      <c r="FQ219" s="217"/>
      <c r="FR219" s="217"/>
      <c r="FS219" s="217"/>
      <c r="FT219" s="217"/>
      <c r="FU219" s="217"/>
      <c r="FV219" s="217"/>
      <c r="FW219" s="217"/>
      <c r="FX219" s="217"/>
      <c r="FY219" s="217"/>
      <c r="FZ219" s="217"/>
      <c r="GA219" s="217"/>
      <c r="GB219" s="217"/>
      <c r="GC219" s="217"/>
      <c r="GD219" s="217"/>
      <c r="GE219" s="217"/>
      <c r="GF219" s="217"/>
      <c r="GG219" s="217"/>
      <c r="GH219" s="217"/>
      <c r="GI219" s="217"/>
      <c r="GJ219" s="217"/>
      <c r="GK219" s="217"/>
      <c r="GL219" s="217"/>
      <c r="GM219" s="217"/>
      <c r="GN219" s="217"/>
      <c r="GO219" s="217"/>
      <c r="GP219" s="217"/>
      <c r="GQ219" s="217"/>
      <c r="GR219" s="217"/>
      <c r="GS219" s="217"/>
      <c r="GT219" s="217"/>
      <c r="GU219" s="217"/>
      <c r="GV219" s="217"/>
      <c r="GW219" s="217"/>
      <c r="GX219" s="217"/>
      <c r="GY219" s="217"/>
      <c r="GZ219" s="217"/>
      <c r="HA219" s="217"/>
      <c r="HB219" s="217"/>
      <c r="HC219" s="217"/>
      <c r="HD219" s="217"/>
      <c r="HE219" s="217"/>
      <c r="HF219" s="217"/>
      <c r="HG219" s="217"/>
      <c r="HH219" s="217"/>
      <c r="HI219" s="217"/>
      <c r="HJ219" s="217"/>
      <c r="HK219" s="217"/>
      <c r="HL219" s="217"/>
      <c r="HM219" s="217"/>
      <c r="HN219" s="217"/>
      <c r="HO219" s="217"/>
      <c r="HP219" s="217"/>
      <c r="HQ219" s="217"/>
      <c r="HR219" s="217"/>
      <c r="HS219" s="217"/>
      <c r="HT219" s="217"/>
      <c r="HU219" s="217"/>
      <c r="HV219" s="217"/>
      <c r="HW219" s="217"/>
      <c r="HX219" s="217"/>
      <c r="HY219" s="217"/>
      <c r="HZ219" s="217"/>
      <c r="IA219" s="217"/>
      <c r="IB219" s="217"/>
      <c r="IC219" s="217"/>
      <c r="ID219" s="217"/>
      <c r="IE219" s="217"/>
      <c r="IF219" s="217"/>
      <c r="IG219" s="217"/>
      <c r="IH219" s="217"/>
      <c r="II219" s="217"/>
      <c r="IJ219" s="217"/>
      <c r="IK219" s="217"/>
      <c r="IL219" s="217"/>
      <c r="IM219" s="217"/>
      <c r="IN219" s="217"/>
      <c r="IO219" s="217"/>
      <c r="IP219" s="217"/>
      <c r="IQ219" s="217"/>
      <c r="IR219" s="217"/>
      <c r="IS219" s="217"/>
      <c r="IT219" s="217"/>
      <c r="IU219" s="217"/>
      <c r="IV219" s="217"/>
    </row>
    <row r="220" spans="1:256" s="219" customFormat="1" ht="13.5" customHeight="1" x14ac:dyDescent="0.2">
      <c r="A220" s="216"/>
      <c r="B220" s="216"/>
      <c r="C220" s="216"/>
      <c r="D220" s="216"/>
      <c r="E220" s="216"/>
      <c r="F220" s="216"/>
      <c r="G220" s="216"/>
      <c r="H220" s="216"/>
      <c r="I220" s="216"/>
      <c r="J220" s="216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7"/>
      <c r="W220" s="217"/>
      <c r="X220" s="217"/>
      <c r="Y220" s="217"/>
      <c r="Z220" s="217"/>
      <c r="AA220" s="217"/>
      <c r="AB220" s="217"/>
      <c r="AC220" s="217"/>
      <c r="AD220" s="217"/>
      <c r="AE220" s="217"/>
      <c r="AF220" s="217"/>
      <c r="AG220" s="217"/>
      <c r="AH220" s="217"/>
      <c r="AI220" s="217"/>
      <c r="AJ220" s="217"/>
      <c r="AK220" s="217"/>
      <c r="AL220" s="217"/>
      <c r="AM220" s="217"/>
      <c r="AN220" s="217"/>
      <c r="AO220" s="217"/>
      <c r="AP220" s="217"/>
      <c r="AQ220" s="217"/>
      <c r="AR220" s="217"/>
      <c r="AS220" s="217"/>
      <c r="AT220" s="218"/>
      <c r="AU220" s="218"/>
      <c r="AV220" s="217"/>
      <c r="AW220" s="217"/>
      <c r="AX220" s="217"/>
      <c r="AY220" s="217"/>
      <c r="AZ220" s="217"/>
      <c r="BA220" s="217"/>
      <c r="BB220" s="217"/>
      <c r="BC220" s="217"/>
      <c r="BD220" s="217"/>
      <c r="BE220" s="217"/>
      <c r="BF220" s="217"/>
      <c r="BG220" s="217"/>
      <c r="BH220" s="217"/>
      <c r="BI220" s="217"/>
      <c r="BJ220" s="217"/>
      <c r="BK220" s="217"/>
      <c r="BL220" s="217"/>
      <c r="BM220" s="217"/>
      <c r="BN220" s="217"/>
      <c r="BO220" s="217"/>
      <c r="BP220" s="217"/>
      <c r="BQ220" s="217"/>
      <c r="BR220" s="217"/>
      <c r="BS220" s="217"/>
      <c r="BT220" s="217"/>
      <c r="BU220" s="217"/>
      <c r="BV220" s="217"/>
      <c r="BW220" s="217"/>
      <c r="BX220" s="217"/>
      <c r="BY220" s="217"/>
      <c r="BZ220" s="217"/>
      <c r="CA220" s="217"/>
      <c r="CB220" s="217"/>
      <c r="CC220" s="217"/>
      <c r="CD220" s="217"/>
      <c r="CE220" s="217"/>
      <c r="CF220" s="217"/>
      <c r="CG220" s="217"/>
      <c r="CH220" s="217"/>
      <c r="CI220" s="217"/>
      <c r="CJ220" s="217"/>
      <c r="CK220" s="217"/>
      <c r="CL220" s="217"/>
      <c r="CM220" s="217"/>
      <c r="CN220" s="217"/>
      <c r="CO220" s="217"/>
      <c r="CP220" s="217"/>
      <c r="CQ220" s="217"/>
      <c r="CR220" s="217"/>
      <c r="CS220" s="217"/>
      <c r="CT220" s="217"/>
      <c r="CU220" s="217"/>
      <c r="CV220" s="217"/>
      <c r="CW220" s="217"/>
      <c r="CX220" s="217"/>
      <c r="CY220" s="217"/>
      <c r="CZ220" s="217"/>
      <c r="DA220" s="217"/>
      <c r="DB220" s="217"/>
      <c r="DC220" s="217"/>
      <c r="DD220" s="217"/>
      <c r="DE220" s="217"/>
      <c r="DF220" s="217"/>
      <c r="DG220" s="217"/>
      <c r="DH220" s="217"/>
      <c r="DI220" s="217"/>
      <c r="DJ220" s="217"/>
      <c r="DK220" s="217"/>
      <c r="DL220" s="217"/>
      <c r="DM220" s="217"/>
      <c r="DN220" s="217"/>
      <c r="DO220" s="217"/>
      <c r="DP220" s="217"/>
      <c r="DQ220" s="217"/>
      <c r="DR220" s="217"/>
      <c r="DS220" s="217"/>
      <c r="DT220" s="217"/>
      <c r="DU220" s="217"/>
      <c r="DV220" s="217"/>
      <c r="DW220" s="217"/>
      <c r="DX220" s="217"/>
      <c r="DY220" s="217"/>
      <c r="DZ220" s="217"/>
      <c r="EA220" s="217"/>
      <c r="EB220" s="217"/>
      <c r="EC220" s="217"/>
      <c r="ED220" s="217"/>
      <c r="EE220" s="217"/>
      <c r="EF220" s="217"/>
      <c r="EG220" s="217"/>
      <c r="EH220" s="217"/>
      <c r="EI220" s="217"/>
      <c r="EJ220" s="217"/>
      <c r="EK220" s="217"/>
      <c r="EL220" s="217"/>
      <c r="EM220" s="217"/>
      <c r="EN220" s="217"/>
      <c r="EO220" s="217"/>
      <c r="EP220" s="217"/>
      <c r="EQ220" s="217"/>
      <c r="ER220" s="217"/>
      <c r="ES220" s="217"/>
      <c r="ET220" s="217"/>
      <c r="EU220" s="217"/>
      <c r="EV220" s="217"/>
      <c r="EW220" s="217"/>
      <c r="EX220" s="217"/>
      <c r="EY220" s="217"/>
      <c r="EZ220" s="217"/>
      <c r="FA220" s="217"/>
      <c r="FB220" s="217"/>
      <c r="FC220" s="217"/>
      <c r="FD220" s="217"/>
      <c r="FE220" s="217"/>
      <c r="FF220" s="217"/>
      <c r="FG220" s="217"/>
      <c r="FH220" s="217"/>
      <c r="FI220" s="217"/>
      <c r="FJ220" s="217"/>
      <c r="FK220" s="217"/>
      <c r="FL220" s="217"/>
      <c r="FM220" s="217"/>
      <c r="FN220" s="217"/>
      <c r="FO220" s="217"/>
      <c r="FP220" s="217"/>
      <c r="FQ220" s="217"/>
      <c r="FR220" s="217"/>
      <c r="FS220" s="217"/>
      <c r="FT220" s="217"/>
      <c r="FU220" s="217"/>
      <c r="FV220" s="217"/>
      <c r="FW220" s="217"/>
      <c r="FX220" s="217"/>
      <c r="FY220" s="217"/>
      <c r="FZ220" s="217"/>
      <c r="GA220" s="217"/>
      <c r="GB220" s="217"/>
      <c r="GC220" s="217"/>
      <c r="GD220" s="217"/>
      <c r="GE220" s="217"/>
      <c r="GF220" s="217"/>
      <c r="GG220" s="217"/>
      <c r="GH220" s="217"/>
      <c r="GI220" s="217"/>
      <c r="GJ220" s="217"/>
      <c r="GK220" s="217"/>
      <c r="GL220" s="217"/>
      <c r="GM220" s="217"/>
      <c r="GN220" s="217"/>
      <c r="GO220" s="217"/>
      <c r="GP220" s="217"/>
      <c r="GQ220" s="217"/>
      <c r="GR220" s="217"/>
      <c r="GS220" s="217"/>
      <c r="GT220" s="217"/>
      <c r="GU220" s="217"/>
      <c r="GV220" s="217"/>
      <c r="GW220" s="217"/>
      <c r="GX220" s="217"/>
      <c r="GY220" s="217"/>
      <c r="GZ220" s="217"/>
      <c r="HA220" s="217"/>
      <c r="HB220" s="217"/>
      <c r="HC220" s="217"/>
      <c r="HD220" s="217"/>
      <c r="HE220" s="217"/>
      <c r="HF220" s="217"/>
      <c r="HG220" s="217"/>
      <c r="HH220" s="217"/>
      <c r="HI220" s="217"/>
      <c r="HJ220" s="217"/>
      <c r="HK220" s="217"/>
      <c r="HL220" s="217"/>
      <c r="HM220" s="217"/>
      <c r="HN220" s="217"/>
      <c r="HO220" s="217"/>
      <c r="HP220" s="217"/>
      <c r="HQ220" s="217"/>
      <c r="HR220" s="217"/>
      <c r="HS220" s="217"/>
      <c r="HT220" s="217"/>
      <c r="HU220" s="217"/>
      <c r="HV220" s="217"/>
      <c r="HW220" s="217"/>
      <c r="HX220" s="217"/>
      <c r="HY220" s="217"/>
      <c r="HZ220" s="217"/>
      <c r="IA220" s="217"/>
      <c r="IB220" s="217"/>
      <c r="IC220" s="217"/>
      <c r="ID220" s="217"/>
      <c r="IE220" s="217"/>
      <c r="IF220" s="217"/>
      <c r="IG220" s="217"/>
      <c r="IH220" s="217"/>
      <c r="II220" s="217"/>
      <c r="IJ220" s="217"/>
      <c r="IK220" s="217"/>
      <c r="IL220" s="217"/>
      <c r="IM220" s="217"/>
      <c r="IN220" s="217"/>
      <c r="IO220" s="217"/>
      <c r="IP220" s="217"/>
      <c r="IQ220" s="217"/>
      <c r="IR220" s="217"/>
      <c r="IS220" s="217"/>
      <c r="IT220" s="217"/>
      <c r="IU220" s="217"/>
      <c r="IV220" s="217"/>
    </row>
    <row r="221" spans="1:256" s="219" customFormat="1" x14ac:dyDescent="0.2">
      <c r="A221" s="216"/>
      <c r="B221" s="216"/>
      <c r="C221" s="216"/>
      <c r="D221" s="216"/>
      <c r="E221" s="216"/>
      <c r="F221" s="216"/>
      <c r="G221" s="216"/>
      <c r="H221" s="216"/>
      <c r="I221" s="216"/>
      <c r="J221" s="216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7"/>
      <c r="W221" s="217"/>
      <c r="X221" s="217"/>
      <c r="Y221" s="217"/>
      <c r="Z221" s="217"/>
      <c r="AA221" s="217"/>
      <c r="AB221" s="217"/>
      <c r="AC221" s="217"/>
      <c r="AD221" s="217"/>
      <c r="AE221" s="217"/>
      <c r="AF221" s="217"/>
      <c r="AG221" s="217"/>
      <c r="AH221" s="217"/>
      <c r="AI221" s="217"/>
      <c r="AJ221" s="217"/>
      <c r="AK221" s="217"/>
      <c r="AL221" s="217"/>
      <c r="AM221" s="217"/>
      <c r="AN221" s="217"/>
      <c r="AO221" s="217"/>
      <c r="AP221" s="217"/>
      <c r="AQ221" s="217"/>
      <c r="AR221" s="217"/>
      <c r="AS221" s="218"/>
      <c r="AT221" s="218"/>
      <c r="AU221" s="217"/>
      <c r="AV221" s="217"/>
      <c r="AW221" s="217"/>
      <c r="AX221" s="217"/>
      <c r="AY221" s="217"/>
      <c r="AZ221" s="217"/>
      <c r="BA221" s="217"/>
      <c r="BB221" s="217"/>
      <c r="BC221" s="217"/>
      <c r="BD221" s="217"/>
      <c r="BE221" s="217"/>
      <c r="BF221" s="217"/>
      <c r="BG221" s="217"/>
      <c r="BH221" s="217"/>
      <c r="BI221" s="217"/>
      <c r="BJ221" s="217"/>
      <c r="BK221" s="217"/>
      <c r="BL221" s="217"/>
      <c r="BM221" s="217"/>
      <c r="BN221" s="217"/>
      <c r="BO221" s="217"/>
      <c r="BP221" s="217"/>
      <c r="BQ221" s="217"/>
      <c r="BR221" s="217"/>
      <c r="BS221" s="217"/>
      <c r="BT221" s="217"/>
      <c r="BU221" s="217"/>
      <c r="BV221" s="217"/>
      <c r="BW221" s="217"/>
      <c r="BX221" s="217"/>
      <c r="BY221" s="217"/>
      <c r="BZ221" s="217"/>
      <c r="CA221" s="217"/>
      <c r="CB221" s="217"/>
      <c r="CC221" s="217"/>
      <c r="CD221" s="217"/>
      <c r="CE221" s="217"/>
      <c r="CF221" s="217"/>
      <c r="CG221" s="217"/>
      <c r="CH221" s="217"/>
      <c r="CI221" s="217"/>
      <c r="CJ221" s="217"/>
      <c r="CK221" s="217"/>
      <c r="CL221" s="217"/>
      <c r="CM221" s="217"/>
      <c r="CN221" s="217"/>
      <c r="CO221" s="217"/>
      <c r="CP221" s="217"/>
      <c r="CQ221" s="217"/>
      <c r="CR221" s="217"/>
      <c r="CS221" s="217"/>
      <c r="CT221" s="217"/>
      <c r="CU221" s="217"/>
      <c r="CV221" s="217"/>
      <c r="CW221" s="217"/>
      <c r="CX221" s="217"/>
      <c r="CY221" s="217"/>
      <c r="CZ221" s="217"/>
      <c r="DA221" s="217"/>
      <c r="DB221" s="217"/>
      <c r="DC221" s="217"/>
      <c r="DD221" s="217"/>
      <c r="DE221" s="217"/>
      <c r="DF221" s="217"/>
      <c r="DG221" s="217"/>
      <c r="DH221" s="217"/>
      <c r="DI221" s="217"/>
      <c r="DJ221" s="217"/>
      <c r="DK221" s="217"/>
      <c r="DL221" s="217"/>
      <c r="DM221" s="217"/>
      <c r="DN221" s="217"/>
      <c r="DO221" s="217"/>
      <c r="DP221" s="217"/>
      <c r="DQ221" s="217"/>
      <c r="DR221" s="217"/>
      <c r="DS221" s="217"/>
      <c r="DT221" s="217"/>
      <c r="DU221" s="217"/>
      <c r="DV221" s="217"/>
      <c r="DW221" s="217"/>
      <c r="DX221" s="217"/>
      <c r="DY221" s="217"/>
      <c r="DZ221" s="217"/>
      <c r="EA221" s="217"/>
      <c r="EB221" s="217"/>
      <c r="EC221" s="217"/>
      <c r="ED221" s="217"/>
      <c r="EE221" s="217"/>
      <c r="EF221" s="217"/>
      <c r="EG221" s="217"/>
      <c r="EH221" s="217"/>
      <c r="EI221" s="217"/>
      <c r="EJ221" s="217"/>
      <c r="EK221" s="217"/>
      <c r="EL221" s="217"/>
      <c r="EM221" s="217"/>
      <c r="EN221" s="217"/>
      <c r="EO221" s="217"/>
      <c r="EP221" s="217"/>
      <c r="EQ221" s="217"/>
      <c r="ER221" s="217"/>
      <c r="ES221" s="217"/>
      <c r="ET221" s="217"/>
      <c r="EU221" s="217"/>
      <c r="EV221" s="217"/>
      <c r="EW221" s="217"/>
      <c r="EX221" s="217"/>
      <c r="EY221" s="217"/>
      <c r="EZ221" s="217"/>
      <c r="FA221" s="217"/>
      <c r="FB221" s="217"/>
      <c r="FC221" s="217"/>
      <c r="FD221" s="217"/>
      <c r="FE221" s="217"/>
      <c r="FF221" s="217"/>
      <c r="FG221" s="217"/>
      <c r="FH221" s="217"/>
      <c r="FI221" s="217"/>
      <c r="FJ221" s="217"/>
      <c r="FK221" s="217"/>
      <c r="FL221" s="217"/>
      <c r="FM221" s="217"/>
      <c r="FN221" s="217"/>
      <c r="FO221" s="217"/>
      <c r="FP221" s="217"/>
      <c r="FQ221" s="217"/>
      <c r="FR221" s="217"/>
      <c r="FS221" s="217"/>
      <c r="FT221" s="217"/>
      <c r="FU221" s="217"/>
      <c r="FV221" s="217"/>
      <c r="FW221" s="217"/>
      <c r="FX221" s="217"/>
      <c r="FY221" s="217"/>
      <c r="FZ221" s="217"/>
      <c r="GA221" s="217"/>
      <c r="GB221" s="217"/>
      <c r="GC221" s="217"/>
      <c r="GD221" s="217"/>
      <c r="GE221" s="217"/>
      <c r="GF221" s="217"/>
      <c r="GG221" s="217"/>
      <c r="GH221" s="217"/>
      <c r="GI221" s="217"/>
      <c r="GJ221" s="217"/>
      <c r="GK221" s="217"/>
      <c r="GL221" s="217"/>
      <c r="GM221" s="217"/>
      <c r="GN221" s="217"/>
      <c r="GO221" s="217"/>
      <c r="GP221" s="217"/>
      <c r="GQ221" s="217"/>
      <c r="GR221" s="217"/>
      <c r="GS221" s="217"/>
      <c r="GT221" s="217"/>
      <c r="GU221" s="217"/>
      <c r="GV221" s="217"/>
      <c r="GW221" s="217"/>
      <c r="GX221" s="217"/>
      <c r="GY221" s="217"/>
      <c r="GZ221" s="217"/>
      <c r="HA221" s="217"/>
      <c r="HB221" s="217"/>
      <c r="HC221" s="217"/>
      <c r="HD221" s="217"/>
      <c r="HE221" s="217"/>
      <c r="HF221" s="217"/>
      <c r="HG221" s="217"/>
      <c r="HH221" s="217"/>
      <c r="HI221" s="217"/>
      <c r="HJ221" s="217"/>
      <c r="HK221" s="217"/>
      <c r="HL221" s="217"/>
      <c r="HM221" s="217"/>
      <c r="HN221" s="217"/>
      <c r="HO221" s="217"/>
      <c r="HP221" s="217"/>
      <c r="HQ221" s="217"/>
      <c r="HR221" s="217"/>
      <c r="HS221" s="217"/>
      <c r="HT221" s="217"/>
      <c r="HU221" s="217"/>
      <c r="HV221" s="217"/>
      <c r="HW221" s="217"/>
      <c r="HX221" s="217"/>
      <c r="HY221" s="217"/>
      <c r="HZ221" s="217"/>
      <c r="IA221" s="217"/>
      <c r="IB221" s="217"/>
      <c r="IC221" s="217"/>
      <c r="ID221" s="217"/>
      <c r="IE221" s="217"/>
      <c r="IF221" s="217"/>
      <c r="IG221" s="217"/>
      <c r="IH221" s="217"/>
      <c r="II221" s="217"/>
      <c r="IJ221" s="217"/>
      <c r="IK221" s="217"/>
      <c r="IL221" s="217"/>
      <c r="IM221" s="217"/>
      <c r="IN221" s="217"/>
      <c r="IO221" s="217"/>
      <c r="IP221" s="217"/>
      <c r="IQ221" s="217"/>
      <c r="IR221" s="217"/>
      <c r="IS221" s="217"/>
      <c r="IT221" s="217"/>
      <c r="IU221" s="217"/>
      <c r="IV221" s="217"/>
    </row>
    <row r="222" spans="1:256" s="219" customFormat="1" x14ac:dyDescent="0.2">
      <c r="A222" s="216"/>
      <c r="B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7"/>
      <c r="W222" s="217"/>
      <c r="X222" s="217"/>
      <c r="Y222" s="217"/>
      <c r="Z222" s="217"/>
      <c r="AA222" s="217"/>
      <c r="AB222" s="217"/>
      <c r="AC222" s="217"/>
      <c r="AD222" s="217"/>
      <c r="AE222" s="217"/>
      <c r="AF222" s="217"/>
      <c r="AG222" s="217"/>
      <c r="AH222" s="217"/>
      <c r="AI222" s="217"/>
      <c r="AJ222" s="217"/>
      <c r="AK222" s="217"/>
      <c r="AL222" s="217"/>
      <c r="AM222" s="217"/>
      <c r="AN222" s="217"/>
      <c r="AO222" s="217"/>
      <c r="AP222" s="217"/>
      <c r="AQ222" s="217"/>
      <c r="AR222" s="217"/>
      <c r="AS222" s="218"/>
      <c r="AT222" s="218"/>
      <c r="AU222" s="217"/>
      <c r="AV222" s="217"/>
      <c r="AW222" s="217"/>
      <c r="AX222" s="217"/>
      <c r="AY222" s="217"/>
      <c r="AZ222" s="217"/>
      <c r="BA222" s="217"/>
      <c r="BB222" s="217"/>
      <c r="BC222" s="217"/>
      <c r="BD222" s="217"/>
      <c r="BE222" s="217"/>
      <c r="BF222" s="217"/>
      <c r="BG222" s="217"/>
      <c r="BH222" s="217"/>
      <c r="BI222" s="217"/>
      <c r="BJ222" s="217"/>
      <c r="BK222" s="217"/>
      <c r="BL222" s="217"/>
      <c r="BM222" s="217"/>
      <c r="BN222" s="217"/>
      <c r="BO222" s="217"/>
      <c r="BP222" s="217"/>
      <c r="BQ222" s="217"/>
      <c r="BR222" s="217"/>
      <c r="BS222" s="217"/>
      <c r="BT222" s="217"/>
      <c r="BU222" s="217"/>
      <c r="BV222" s="217"/>
      <c r="BW222" s="217"/>
      <c r="BX222" s="217"/>
      <c r="BY222" s="217"/>
      <c r="BZ222" s="217"/>
      <c r="CA222" s="217"/>
      <c r="CB222" s="217"/>
      <c r="CC222" s="217"/>
      <c r="CD222" s="217"/>
      <c r="CE222" s="217"/>
      <c r="CF222" s="217"/>
      <c r="CG222" s="217"/>
      <c r="CH222" s="217"/>
      <c r="CI222" s="217"/>
      <c r="CJ222" s="217"/>
      <c r="CK222" s="217"/>
      <c r="CL222" s="217"/>
      <c r="CM222" s="217"/>
      <c r="CN222" s="217"/>
      <c r="CO222" s="217"/>
      <c r="CP222" s="217"/>
      <c r="CQ222" s="217"/>
      <c r="CR222" s="217"/>
      <c r="CS222" s="217"/>
      <c r="CT222" s="217"/>
      <c r="CU222" s="217"/>
      <c r="CV222" s="217"/>
      <c r="CW222" s="217"/>
      <c r="CX222" s="217"/>
      <c r="CY222" s="217"/>
      <c r="CZ222" s="217"/>
      <c r="DA222" s="217"/>
      <c r="DB222" s="217"/>
      <c r="DC222" s="217"/>
      <c r="DD222" s="217"/>
      <c r="DE222" s="217"/>
      <c r="DF222" s="217"/>
      <c r="DG222" s="217"/>
      <c r="DH222" s="217"/>
      <c r="DI222" s="217"/>
      <c r="DJ222" s="217"/>
      <c r="DK222" s="217"/>
      <c r="DL222" s="217"/>
      <c r="DM222" s="217"/>
      <c r="DN222" s="217"/>
      <c r="DO222" s="217"/>
      <c r="DP222" s="217"/>
      <c r="DQ222" s="217"/>
      <c r="DR222" s="217"/>
      <c r="DS222" s="217"/>
      <c r="DT222" s="217"/>
      <c r="DU222" s="217"/>
      <c r="DV222" s="217"/>
      <c r="DW222" s="217"/>
      <c r="DX222" s="217"/>
      <c r="DY222" s="217"/>
      <c r="DZ222" s="217"/>
      <c r="EA222" s="217"/>
      <c r="EB222" s="217"/>
      <c r="EC222" s="217"/>
      <c r="ED222" s="217"/>
      <c r="EE222" s="217"/>
      <c r="EF222" s="217"/>
      <c r="EG222" s="217"/>
      <c r="EH222" s="217"/>
      <c r="EI222" s="217"/>
      <c r="EJ222" s="217"/>
      <c r="EK222" s="217"/>
      <c r="EL222" s="217"/>
      <c r="EM222" s="217"/>
      <c r="EN222" s="217"/>
      <c r="EO222" s="217"/>
      <c r="EP222" s="217"/>
      <c r="EQ222" s="217"/>
      <c r="ER222" s="217"/>
      <c r="ES222" s="217"/>
      <c r="ET222" s="217"/>
      <c r="EU222" s="217"/>
      <c r="EV222" s="217"/>
      <c r="EW222" s="217"/>
      <c r="EX222" s="217"/>
      <c r="EY222" s="217"/>
      <c r="EZ222" s="217"/>
      <c r="FA222" s="217"/>
      <c r="FB222" s="217"/>
      <c r="FC222" s="217"/>
      <c r="FD222" s="217"/>
      <c r="FE222" s="217"/>
      <c r="FF222" s="217"/>
      <c r="FG222" s="217"/>
      <c r="FH222" s="217"/>
      <c r="FI222" s="217"/>
      <c r="FJ222" s="217"/>
      <c r="FK222" s="217"/>
      <c r="FL222" s="217"/>
      <c r="FM222" s="217"/>
      <c r="FN222" s="217"/>
      <c r="FO222" s="217"/>
      <c r="FP222" s="217"/>
      <c r="FQ222" s="217"/>
      <c r="FR222" s="217"/>
      <c r="FS222" s="217"/>
      <c r="FT222" s="217"/>
      <c r="FU222" s="217"/>
      <c r="FV222" s="217"/>
      <c r="FW222" s="217"/>
      <c r="FX222" s="217"/>
      <c r="FY222" s="217"/>
      <c r="FZ222" s="217"/>
      <c r="GA222" s="217"/>
      <c r="GB222" s="217"/>
      <c r="GC222" s="217"/>
      <c r="GD222" s="217"/>
      <c r="GE222" s="217"/>
      <c r="GF222" s="217"/>
      <c r="GG222" s="217"/>
      <c r="GH222" s="217"/>
      <c r="GI222" s="217"/>
      <c r="GJ222" s="217"/>
      <c r="GK222" s="217"/>
      <c r="GL222" s="217"/>
      <c r="GM222" s="217"/>
      <c r="GN222" s="217"/>
      <c r="GO222" s="217"/>
      <c r="GP222" s="217"/>
      <c r="GQ222" s="217"/>
      <c r="GR222" s="217"/>
      <c r="GS222" s="217"/>
      <c r="GT222" s="217"/>
      <c r="GU222" s="217"/>
      <c r="GV222" s="217"/>
      <c r="GW222" s="217"/>
      <c r="GX222" s="217"/>
      <c r="GY222" s="217"/>
      <c r="GZ222" s="217"/>
      <c r="HA222" s="217"/>
      <c r="HB222" s="217"/>
      <c r="HC222" s="217"/>
      <c r="HD222" s="217"/>
      <c r="HE222" s="217"/>
      <c r="HF222" s="217"/>
      <c r="HG222" s="217"/>
      <c r="HH222" s="217"/>
      <c r="HI222" s="217"/>
      <c r="HJ222" s="217"/>
      <c r="HK222" s="217"/>
      <c r="HL222" s="217"/>
      <c r="HM222" s="217"/>
      <c r="HN222" s="217"/>
      <c r="HO222" s="217"/>
      <c r="HP222" s="217"/>
      <c r="HQ222" s="217"/>
      <c r="HR222" s="217"/>
      <c r="HS222" s="217"/>
      <c r="HT222" s="217"/>
      <c r="HU222" s="217"/>
      <c r="HV222" s="217"/>
      <c r="HW222" s="217"/>
      <c r="HX222" s="217"/>
      <c r="HY222" s="217"/>
      <c r="HZ222" s="217"/>
      <c r="IA222" s="217"/>
      <c r="IB222" s="217"/>
      <c r="IC222" s="217"/>
      <c r="ID222" s="217"/>
      <c r="IE222" s="217"/>
      <c r="IF222" s="217"/>
      <c r="IG222" s="217"/>
      <c r="IH222" s="217"/>
      <c r="II222" s="217"/>
      <c r="IJ222" s="217"/>
      <c r="IK222" s="217"/>
      <c r="IL222" s="217"/>
      <c r="IM222" s="217"/>
      <c r="IN222" s="217"/>
      <c r="IO222" s="217"/>
      <c r="IP222" s="217"/>
      <c r="IQ222" s="217"/>
      <c r="IR222" s="217"/>
      <c r="IS222" s="217"/>
      <c r="IT222" s="217"/>
      <c r="IU222" s="217"/>
      <c r="IV222" s="217"/>
    </row>
    <row r="223" spans="1:256" s="219" customFormat="1" x14ac:dyDescent="0.2">
      <c r="A223" s="216"/>
      <c r="B223" s="216"/>
      <c r="C223" s="216"/>
      <c r="D223" s="216"/>
      <c r="E223" s="216"/>
      <c r="F223" s="216"/>
      <c r="G223" s="216"/>
      <c r="H223" s="216"/>
      <c r="I223" s="216"/>
      <c r="J223" s="216"/>
      <c r="K223" s="216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7"/>
      <c r="W223" s="217"/>
      <c r="X223" s="217"/>
      <c r="Y223" s="217"/>
      <c r="Z223" s="217"/>
      <c r="AA223" s="217"/>
      <c r="AB223" s="217"/>
      <c r="AC223" s="217"/>
      <c r="AD223" s="217"/>
      <c r="AE223" s="217"/>
      <c r="AF223" s="217"/>
      <c r="AG223" s="217"/>
      <c r="AH223" s="217"/>
      <c r="AI223" s="217"/>
      <c r="AJ223" s="217"/>
      <c r="AK223" s="217"/>
      <c r="AL223" s="217"/>
      <c r="AM223" s="217"/>
      <c r="AN223" s="217"/>
      <c r="AO223" s="217"/>
      <c r="AP223" s="217"/>
      <c r="AQ223" s="217"/>
      <c r="AR223" s="217"/>
      <c r="AS223" s="218"/>
      <c r="AT223" s="218"/>
      <c r="AU223" s="217"/>
      <c r="AV223" s="217"/>
      <c r="AW223" s="217"/>
      <c r="AX223" s="217"/>
      <c r="AY223" s="217"/>
      <c r="AZ223" s="217"/>
      <c r="BA223" s="217"/>
      <c r="BB223" s="217"/>
      <c r="BC223" s="217"/>
      <c r="BD223" s="217"/>
      <c r="BE223" s="217"/>
      <c r="BF223" s="217"/>
      <c r="BG223" s="217"/>
      <c r="BH223" s="217"/>
      <c r="BI223" s="217"/>
      <c r="BJ223" s="217"/>
      <c r="BK223" s="217"/>
      <c r="BL223" s="217"/>
      <c r="BM223" s="217"/>
      <c r="BN223" s="217"/>
      <c r="BO223" s="217"/>
      <c r="BP223" s="217"/>
      <c r="BQ223" s="217"/>
      <c r="BR223" s="217"/>
      <c r="BS223" s="217"/>
      <c r="BT223" s="217"/>
      <c r="BU223" s="217"/>
      <c r="BV223" s="217"/>
      <c r="BW223" s="217"/>
      <c r="BX223" s="217"/>
      <c r="BY223" s="217"/>
      <c r="BZ223" s="217"/>
      <c r="CA223" s="217"/>
      <c r="CB223" s="217"/>
      <c r="CC223" s="217"/>
      <c r="CD223" s="217"/>
      <c r="CE223" s="217"/>
      <c r="CF223" s="217"/>
      <c r="CG223" s="217"/>
      <c r="CH223" s="217"/>
      <c r="CI223" s="217"/>
      <c r="CJ223" s="217"/>
      <c r="CK223" s="217"/>
      <c r="CL223" s="217"/>
      <c r="CM223" s="217"/>
      <c r="CN223" s="217"/>
      <c r="CO223" s="217"/>
      <c r="CP223" s="217"/>
      <c r="CQ223" s="217"/>
      <c r="CR223" s="217"/>
      <c r="CS223" s="217"/>
      <c r="CT223" s="217"/>
      <c r="CU223" s="217"/>
      <c r="CV223" s="217"/>
      <c r="CW223" s="217"/>
      <c r="CX223" s="217"/>
      <c r="CY223" s="217"/>
      <c r="CZ223" s="217"/>
      <c r="DA223" s="217"/>
      <c r="DB223" s="217"/>
      <c r="DC223" s="217"/>
      <c r="DD223" s="217"/>
      <c r="DE223" s="217"/>
      <c r="DF223" s="217"/>
      <c r="DG223" s="217"/>
      <c r="DH223" s="217"/>
      <c r="DI223" s="217"/>
      <c r="DJ223" s="217"/>
      <c r="DK223" s="217"/>
      <c r="DL223" s="217"/>
      <c r="DM223" s="217"/>
      <c r="DN223" s="217"/>
      <c r="DO223" s="217"/>
      <c r="DP223" s="217"/>
      <c r="DQ223" s="217"/>
      <c r="DR223" s="217"/>
      <c r="DS223" s="217"/>
      <c r="DT223" s="217"/>
      <c r="DU223" s="217"/>
      <c r="DV223" s="217"/>
      <c r="DW223" s="217"/>
      <c r="DX223" s="217"/>
      <c r="DY223" s="217"/>
      <c r="DZ223" s="217"/>
      <c r="EA223" s="217"/>
      <c r="EB223" s="217"/>
      <c r="EC223" s="217"/>
      <c r="ED223" s="217"/>
      <c r="EE223" s="217"/>
      <c r="EF223" s="217"/>
      <c r="EG223" s="217"/>
      <c r="EH223" s="217"/>
      <c r="EI223" s="217"/>
      <c r="EJ223" s="217"/>
      <c r="EK223" s="217"/>
      <c r="EL223" s="217"/>
      <c r="EM223" s="217"/>
      <c r="EN223" s="217"/>
      <c r="EO223" s="217"/>
      <c r="EP223" s="217"/>
      <c r="EQ223" s="217"/>
      <c r="ER223" s="217"/>
      <c r="ES223" s="217"/>
      <c r="ET223" s="217"/>
      <c r="EU223" s="217"/>
      <c r="EV223" s="217"/>
      <c r="EW223" s="217"/>
      <c r="EX223" s="217"/>
      <c r="EY223" s="217"/>
      <c r="EZ223" s="217"/>
      <c r="FA223" s="217"/>
      <c r="FB223" s="217"/>
      <c r="FC223" s="217"/>
      <c r="FD223" s="217"/>
      <c r="FE223" s="217"/>
      <c r="FF223" s="217"/>
      <c r="FG223" s="217"/>
      <c r="FH223" s="217"/>
      <c r="FI223" s="217"/>
      <c r="FJ223" s="217"/>
      <c r="FK223" s="217"/>
      <c r="FL223" s="217"/>
      <c r="FM223" s="217"/>
      <c r="FN223" s="217"/>
      <c r="FO223" s="217"/>
      <c r="FP223" s="217"/>
      <c r="FQ223" s="217"/>
      <c r="FR223" s="217"/>
      <c r="FS223" s="217"/>
      <c r="FT223" s="217"/>
      <c r="FU223" s="217"/>
      <c r="FV223" s="217"/>
      <c r="FW223" s="217"/>
      <c r="FX223" s="217"/>
      <c r="FY223" s="217"/>
      <c r="FZ223" s="217"/>
      <c r="GA223" s="217"/>
      <c r="GB223" s="217"/>
      <c r="GC223" s="217"/>
      <c r="GD223" s="217"/>
      <c r="GE223" s="217"/>
      <c r="GF223" s="217"/>
      <c r="GG223" s="217"/>
      <c r="GH223" s="217"/>
      <c r="GI223" s="217"/>
      <c r="GJ223" s="217"/>
      <c r="GK223" s="217"/>
      <c r="GL223" s="217"/>
      <c r="GM223" s="217"/>
      <c r="GN223" s="217"/>
      <c r="GO223" s="217"/>
      <c r="GP223" s="217"/>
      <c r="GQ223" s="217"/>
      <c r="GR223" s="217"/>
      <c r="GS223" s="217"/>
      <c r="GT223" s="217"/>
      <c r="GU223" s="217"/>
      <c r="GV223" s="217"/>
      <c r="GW223" s="217"/>
      <c r="GX223" s="217"/>
      <c r="GY223" s="217"/>
      <c r="GZ223" s="217"/>
      <c r="HA223" s="217"/>
      <c r="HB223" s="217"/>
      <c r="HC223" s="217"/>
      <c r="HD223" s="217"/>
      <c r="HE223" s="217"/>
      <c r="HF223" s="217"/>
      <c r="HG223" s="217"/>
      <c r="HH223" s="217"/>
      <c r="HI223" s="217"/>
      <c r="HJ223" s="217"/>
      <c r="HK223" s="217"/>
      <c r="HL223" s="217"/>
      <c r="HM223" s="217"/>
      <c r="HN223" s="217"/>
      <c r="HO223" s="217"/>
      <c r="HP223" s="217"/>
      <c r="HQ223" s="217"/>
      <c r="HR223" s="217"/>
      <c r="HS223" s="217"/>
      <c r="HT223" s="217"/>
      <c r="HU223" s="217"/>
      <c r="HV223" s="217"/>
      <c r="HW223" s="217"/>
      <c r="HX223" s="217"/>
      <c r="HY223" s="217"/>
      <c r="HZ223" s="217"/>
      <c r="IA223" s="217"/>
      <c r="IB223" s="217"/>
      <c r="IC223" s="217"/>
      <c r="ID223" s="217"/>
      <c r="IE223" s="217"/>
      <c r="IF223" s="217"/>
      <c r="IG223" s="217"/>
      <c r="IH223" s="217"/>
      <c r="II223" s="217"/>
      <c r="IJ223" s="217"/>
      <c r="IK223" s="217"/>
      <c r="IL223" s="217"/>
      <c r="IM223" s="217"/>
      <c r="IN223" s="217"/>
      <c r="IO223" s="217"/>
      <c r="IP223" s="217"/>
      <c r="IQ223" s="217"/>
      <c r="IR223" s="217"/>
      <c r="IS223" s="217"/>
      <c r="IT223" s="217"/>
      <c r="IU223" s="217"/>
      <c r="IV223" s="217"/>
    </row>
    <row r="224" spans="1:256" s="219" customFormat="1" x14ac:dyDescent="0.2">
      <c r="A224" s="216"/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7"/>
      <c r="W224" s="217"/>
      <c r="X224" s="217"/>
      <c r="Y224" s="217"/>
      <c r="Z224" s="217"/>
      <c r="AA224" s="217"/>
      <c r="AB224" s="217"/>
      <c r="AC224" s="217"/>
      <c r="AD224" s="217"/>
      <c r="AE224" s="217"/>
      <c r="AF224" s="217"/>
      <c r="AG224" s="217"/>
      <c r="AH224" s="217"/>
      <c r="AI224" s="217"/>
      <c r="AJ224" s="217"/>
      <c r="AK224" s="217"/>
      <c r="AL224" s="217"/>
      <c r="AM224" s="217"/>
      <c r="AN224" s="217"/>
      <c r="AO224" s="217"/>
      <c r="AP224" s="217"/>
      <c r="AQ224" s="217"/>
      <c r="AR224" s="217"/>
      <c r="AS224" s="218"/>
      <c r="AT224" s="218"/>
      <c r="AU224" s="217"/>
      <c r="AV224" s="217"/>
      <c r="AW224" s="217"/>
      <c r="AX224" s="217"/>
      <c r="AY224" s="217"/>
      <c r="AZ224" s="217"/>
      <c r="BA224" s="217"/>
      <c r="BB224" s="217"/>
      <c r="BC224" s="217"/>
      <c r="BD224" s="217"/>
      <c r="BE224" s="217"/>
      <c r="BF224" s="217"/>
      <c r="BG224" s="217"/>
      <c r="BH224" s="217"/>
      <c r="BI224" s="217"/>
      <c r="BJ224" s="217"/>
      <c r="BK224" s="217"/>
      <c r="BL224" s="217"/>
      <c r="BM224" s="217"/>
      <c r="BN224" s="217"/>
      <c r="BO224" s="217"/>
      <c r="BP224" s="217"/>
      <c r="BQ224" s="217"/>
      <c r="BR224" s="217"/>
      <c r="BS224" s="217"/>
      <c r="BT224" s="217"/>
      <c r="BU224" s="217"/>
      <c r="BV224" s="217"/>
      <c r="BW224" s="217"/>
      <c r="BX224" s="217"/>
      <c r="BY224" s="217"/>
      <c r="BZ224" s="217"/>
      <c r="CA224" s="217"/>
      <c r="CB224" s="217"/>
      <c r="CC224" s="217"/>
      <c r="CD224" s="217"/>
      <c r="CE224" s="217"/>
      <c r="CF224" s="217"/>
      <c r="CG224" s="217"/>
      <c r="CH224" s="217"/>
      <c r="CI224" s="217"/>
      <c r="CJ224" s="217"/>
      <c r="CK224" s="217"/>
      <c r="CL224" s="217"/>
      <c r="CM224" s="217"/>
      <c r="CN224" s="217"/>
      <c r="CO224" s="217"/>
      <c r="CP224" s="217"/>
      <c r="CQ224" s="217"/>
      <c r="CR224" s="217"/>
      <c r="CS224" s="217"/>
      <c r="CT224" s="217"/>
      <c r="CU224" s="217"/>
      <c r="CV224" s="217"/>
      <c r="CW224" s="217"/>
      <c r="CX224" s="217"/>
      <c r="CY224" s="217"/>
      <c r="CZ224" s="217"/>
      <c r="DA224" s="217"/>
      <c r="DB224" s="217"/>
      <c r="DC224" s="217"/>
      <c r="DD224" s="217"/>
      <c r="DE224" s="217"/>
      <c r="DF224" s="217"/>
      <c r="DG224" s="217"/>
      <c r="DH224" s="217"/>
      <c r="DI224" s="217"/>
      <c r="DJ224" s="217"/>
      <c r="DK224" s="217"/>
      <c r="DL224" s="217"/>
      <c r="DM224" s="217"/>
      <c r="DN224" s="217"/>
      <c r="DO224" s="217"/>
      <c r="DP224" s="217"/>
      <c r="DQ224" s="217"/>
      <c r="DR224" s="217"/>
      <c r="DS224" s="217"/>
      <c r="DT224" s="217"/>
      <c r="DU224" s="217"/>
      <c r="DV224" s="217"/>
      <c r="DW224" s="217"/>
      <c r="DX224" s="217"/>
      <c r="DY224" s="217"/>
      <c r="DZ224" s="217"/>
      <c r="EA224" s="217"/>
      <c r="EB224" s="217"/>
      <c r="EC224" s="217"/>
      <c r="ED224" s="217"/>
      <c r="EE224" s="217"/>
      <c r="EF224" s="217"/>
      <c r="EG224" s="217"/>
      <c r="EH224" s="217"/>
      <c r="EI224" s="217"/>
      <c r="EJ224" s="217"/>
      <c r="EK224" s="217"/>
      <c r="EL224" s="217"/>
      <c r="EM224" s="217"/>
      <c r="EN224" s="217"/>
      <c r="EO224" s="217"/>
      <c r="EP224" s="217"/>
      <c r="EQ224" s="217"/>
      <c r="ER224" s="217"/>
      <c r="ES224" s="217"/>
      <c r="ET224" s="217"/>
      <c r="EU224" s="217"/>
      <c r="EV224" s="217"/>
      <c r="EW224" s="217"/>
      <c r="EX224" s="217"/>
      <c r="EY224" s="217"/>
      <c r="EZ224" s="217"/>
      <c r="FA224" s="217"/>
      <c r="FB224" s="217"/>
      <c r="FC224" s="217"/>
      <c r="FD224" s="217"/>
      <c r="FE224" s="217"/>
      <c r="FF224" s="217"/>
      <c r="FG224" s="217"/>
      <c r="FH224" s="217"/>
      <c r="FI224" s="217"/>
      <c r="FJ224" s="217"/>
      <c r="FK224" s="217"/>
      <c r="FL224" s="217"/>
      <c r="FM224" s="217"/>
      <c r="FN224" s="217"/>
      <c r="FO224" s="217"/>
      <c r="FP224" s="217"/>
      <c r="FQ224" s="217"/>
      <c r="FR224" s="217"/>
      <c r="FS224" s="217"/>
      <c r="FT224" s="217"/>
      <c r="FU224" s="217"/>
      <c r="FV224" s="217"/>
      <c r="FW224" s="217"/>
      <c r="FX224" s="217"/>
      <c r="FY224" s="217"/>
      <c r="FZ224" s="217"/>
      <c r="GA224" s="217"/>
      <c r="GB224" s="217"/>
      <c r="GC224" s="217"/>
      <c r="GD224" s="217"/>
      <c r="GE224" s="217"/>
      <c r="GF224" s="217"/>
      <c r="GG224" s="217"/>
      <c r="GH224" s="217"/>
      <c r="GI224" s="217"/>
      <c r="GJ224" s="217"/>
      <c r="GK224" s="217"/>
      <c r="GL224" s="217"/>
      <c r="GM224" s="217"/>
      <c r="GN224" s="217"/>
      <c r="GO224" s="217"/>
      <c r="GP224" s="217"/>
      <c r="GQ224" s="217"/>
      <c r="GR224" s="217"/>
      <c r="GS224" s="217"/>
      <c r="GT224" s="217"/>
      <c r="GU224" s="217"/>
      <c r="GV224" s="217"/>
      <c r="GW224" s="217"/>
      <c r="GX224" s="217"/>
      <c r="GY224" s="217"/>
      <c r="GZ224" s="217"/>
      <c r="HA224" s="217"/>
      <c r="HB224" s="217"/>
      <c r="HC224" s="217"/>
      <c r="HD224" s="217"/>
      <c r="HE224" s="217"/>
      <c r="HF224" s="217"/>
      <c r="HG224" s="217"/>
      <c r="HH224" s="217"/>
      <c r="HI224" s="217"/>
      <c r="HJ224" s="217"/>
      <c r="HK224" s="217"/>
      <c r="HL224" s="217"/>
      <c r="HM224" s="217"/>
      <c r="HN224" s="217"/>
      <c r="HO224" s="217"/>
      <c r="HP224" s="217"/>
      <c r="HQ224" s="217"/>
      <c r="HR224" s="217"/>
      <c r="HS224" s="217"/>
      <c r="HT224" s="217"/>
      <c r="HU224" s="217"/>
      <c r="HV224" s="217"/>
      <c r="HW224" s="217"/>
      <c r="HX224" s="217"/>
      <c r="HY224" s="217"/>
      <c r="HZ224" s="217"/>
      <c r="IA224" s="217"/>
      <c r="IB224" s="217"/>
      <c r="IC224" s="217"/>
      <c r="ID224" s="217"/>
      <c r="IE224" s="217"/>
      <c r="IF224" s="217"/>
      <c r="IG224" s="217"/>
      <c r="IH224" s="217"/>
      <c r="II224" s="217"/>
      <c r="IJ224" s="217"/>
      <c r="IK224" s="217"/>
      <c r="IL224" s="217"/>
      <c r="IM224" s="217"/>
      <c r="IN224" s="217"/>
      <c r="IO224" s="217"/>
      <c r="IP224" s="217"/>
      <c r="IQ224" s="217"/>
      <c r="IR224" s="217"/>
      <c r="IS224" s="217"/>
      <c r="IT224" s="217"/>
      <c r="IU224" s="217"/>
      <c r="IV224" s="217"/>
    </row>
    <row r="225" spans="1:256" s="219" customFormat="1" x14ac:dyDescent="0.2">
      <c r="A225" s="216"/>
      <c r="B225" s="216"/>
      <c r="C225" s="216"/>
      <c r="D225" s="216"/>
      <c r="E225" s="216"/>
      <c r="F225" s="216"/>
      <c r="G225" s="216"/>
      <c r="H225" s="216"/>
      <c r="I225" s="216"/>
      <c r="J225" s="216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7"/>
      <c r="W225" s="217"/>
      <c r="X225" s="217"/>
      <c r="Y225" s="217"/>
      <c r="Z225" s="217"/>
      <c r="AA225" s="217"/>
      <c r="AB225" s="217"/>
      <c r="AC225" s="217"/>
      <c r="AD225" s="217"/>
      <c r="AE225" s="217"/>
      <c r="AF225" s="217"/>
      <c r="AG225" s="217"/>
      <c r="AH225" s="217"/>
      <c r="AI225" s="217"/>
      <c r="AJ225" s="217"/>
      <c r="AK225" s="217"/>
      <c r="AL225" s="217"/>
      <c r="AM225" s="217"/>
      <c r="AN225" s="217"/>
      <c r="AO225" s="217"/>
      <c r="AP225" s="217"/>
      <c r="AQ225" s="217"/>
      <c r="AR225" s="217"/>
      <c r="AS225" s="218"/>
      <c r="AT225" s="218"/>
      <c r="AU225" s="217"/>
      <c r="AV225" s="217"/>
      <c r="AW225" s="217"/>
      <c r="AX225" s="217"/>
      <c r="AY225" s="217"/>
      <c r="AZ225" s="217"/>
      <c r="BA225" s="217"/>
      <c r="BB225" s="217"/>
      <c r="BC225" s="217"/>
      <c r="BD225" s="217"/>
      <c r="BE225" s="217"/>
      <c r="BF225" s="217"/>
      <c r="BG225" s="217"/>
      <c r="BH225" s="217"/>
      <c r="BI225" s="217"/>
      <c r="BJ225" s="217"/>
      <c r="BK225" s="217"/>
      <c r="BL225" s="217"/>
      <c r="BM225" s="217"/>
      <c r="BN225" s="217"/>
      <c r="BO225" s="217"/>
      <c r="BP225" s="217"/>
      <c r="BQ225" s="217"/>
      <c r="BR225" s="217"/>
      <c r="BS225" s="217"/>
      <c r="BT225" s="217"/>
      <c r="BU225" s="217"/>
      <c r="BV225" s="217"/>
      <c r="BW225" s="217"/>
      <c r="BX225" s="217"/>
      <c r="BY225" s="217"/>
      <c r="BZ225" s="217"/>
      <c r="CA225" s="217"/>
      <c r="CB225" s="217"/>
      <c r="CC225" s="217"/>
      <c r="CD225" s="217"/>
      <c r="CE225" s="217"/>
      <c r="CF225" s="217"/>
      <c r="CG225" s="217"/>
      <c r="CH225" s="217"/>
      <c r="CI225" s="217"/>
      <c r="CJ225" s="217"/>
      <c r="CK225" s="217"/>
      <c r="CL225" s="217"/>
      <c r="CM225" s="217"/>
      <c r="CN225" s="217"/>
      <c r="CO225" s="217"/>
      <c r="CP225" s="217"/>
      <c r="CQ225" s="217"/>
      <c r="CR225" s="217"/>
      <c r="CS225" s="217"/>
      <c r="CT225" s="217"/>
      <c r="CU225" s="217"/>
      <c r="CV225" s="217"/>
      <c r="CW225" s="217"/>
      <c r="CX225" s="217"/>
      <c r="CY225" s="217"/>
      <c r="CZ225" s="217"/>
      <c r="DA225" s="217"/>
      <c r="DB225" s="217"/>
      <c r="DC225" s="217"/>
      <c r="DD225" s="217"/>
      <c r="DE225" s="217"/>
      <c r="DF225" s="217"/>
      <c r="DG225" s="217"/>
      <c r="DH225" s="217"/>
      <c r="DI225" s="217"/>
      <c r="DJ225" s="217"/>
      <c r="DK225" s="217"/>
      <c r="DL225" s="217"/>
      <c r="DM225" s="217"/>
      <c r="DN225" s="217"/>
      <c r="DO225" s="217"/>
      <c r="DP225" s="217"/>
      <c r="DQ225" s="217"/>
      <c r="DR225" s="217"/>
      <c r="DS225" s="217"/>
      <c r="DT225" s="217"/>
      <c r="DU225" s="217"/>
      <c r="DV225" s="217"/>
      <c r="DW225" s="217"/>
      <c r="DX225" s="217"/>
      <c r="DY225" s="217"/>
      <c r="DZ225" s="217"/>
      <c r="EA225" s="217"/>
      <c r="EB225" s="217"/>
      <c r="EC225" s="217"/>
      <c r="ED225" s="217"/>
      <c r="EE225" s="217"/>
      <c r="EF225" s="217"/>
      <c r="EG225" s="217"/>
      <c r="EH225" s="217"/>
      <c r="EI225" s="217"/>
      <c r="EJ225" s="217"/>
      <c r="EK225" s="217"/>
      <c r="EL225" s="217"/>
      <c r="EM225" s="217"/>
      <c r="EN225" s="217"/>
      <c r="EO225" s="217"/>
      <c r="EP225" s="217"/>
      <c r="EQ225" s="217"/>
      <c r="ER225" s="217"/>
      <c r="ES225" s="217"/>
      <c r="ET225" s="217"/>
      <c r="EU225" s="217"/>
      <c r="EV225" s="217"/>
      <c r="EW225" s="217"/>
      <c r="EX225" s="217"/>
      <c r="EY225" s="217"/>
      <c r="EZ225" s="217"/>
      <c r="FA225" s="217"/>
      <c r="FB225" s="217"/>
      <c r="FC225" s="217"/>
      <c r="FD225" s="217"/>
      <c r="FE225" s="217"/>
      <c r="FF225" s="217"/>
      <c r="FG225" s="217"/>
      <c r="FH225" s="217"/>
      <c r="FI225" s="217"/>
      <c r="FJ225" s="217"/>
      <c r="FK225" s="217"/>
      <c r="FL225" s="217"/>
      <c r="FM225" s="217"/>
      <c r="FN225" s="217"/>
      <c r="FO225" s="217"/>
      <c r="FP225" s="217"/>
      <c r="FQ225" s="217"/>
      <c r="FR225" s="217"/>
      <c r="FS225" s="217"/>
      <c r="FT225" s="217"/>
      <c r="FU225" s="217"/>
      <c r="FV225" s="217"/>
      <c r="FW225" s="217"/>
      <c r="FX225" s="217"/>
      <c r="FY225" s="217"/>
      <c r="FZ225" s="217"/>
      <c r="GA225" s="217"/>
      <c r="GB225" s="217"/>
      <c r="GC225" s="217"/>
      <c r="GD225" s="217"/>
      <c r="GE225" s="217"/>
      <c r="GF225" s="217"/>
      <c r="GG225" s="217"/>
      <c r="GH225" s="217"/>
      <c r="GI225" s="217"/>
      <c r="GJ225" s="217"/>
      <c r="GK225" s="217"/>
      <c r="GL225" s="217"/>
      <c r="GM225" s="217"/>
      <c r="GN225" s="217"/>
      <c r="GO225" s="217"/>
      <c r="GP225" s="217"/>
      <c r="GQ225" s="217"/>
      <c r="GR225" s="217"/>
      <c r="GS225" s="217"/>
      <c r="GT225" s="217"/>
      <c r="GU225" s="217"/>
      <c r="GV225" s="217"/>
      <c r="GW225" s="217"/>
      <c r="GX225" s="217"/>
      <c r="GY225" s="217"/>
      <c r="GZ225" s="217"/>
      <c r="HA225" s="217"/>
      <c r="HB225" s="217"/>
      <c r="HC225" s="217"/>
      <c r="HD225" s="217"/>
      <c r="HE225" s="217"/>
      <c r="HF225" s="217"/>
      <c r="HG225" s="217"/>
      <c r="HH225" s="217"/>
      <c r="HI225" s="217"/>
      <c r="HJ225" s="217"/>
      <c r="HK225" s="217"/>
      <c r="HL225" s="217"/>
      <c r="HM225" s="217"/>
      <c r="HN225" s="217"/>
      <c r="HO225" s="217"/>
      <c r="HP225" s="217"/>
      <c r="HQ225" s="217"/>
      <c r="HR225" s="217"/>
      <c r="HS225" s="217"/>
      <c r="HT225" s="217"/>
      <c r="HU225" s="217"/>
      <c r="HV225" s="217"/>
      <c r="HW225" s="217"/>
      <c r="HX225" s="217"/>
      <c r="HY225" s="217"/>
      <c r="HZ225" s="217"/>
      <c r="IA225" s="217"/>
      <c r="IB225" s="217"/>
      <c r="IC225" s="217"/>
      <c r="ID225" s="217"/>
      <c r="IE225" s="217"/>
      <c r="IF225" s="217"/>
      <c r="IG225" s="217"/>
      <c r="IH225" s="217"/>
      <c r="II225" s="217"/>
      <c r="IJ225" s="217"/>
      <c r="IK225" s="217"/>
      <c r="IL225" s="217"/>
      <c r="IM225" s="217"/>
      <c r="IN225" s="217"/>
      <c r="IO225" s="217"/>
      <c r="IP225" s="217"/>
      <c r="IQ225" s="217"/>
      <c r="IR225" s="217"/>
      <c r="IS225" s="217"/>
      <c r="IT225" s="217"/>
      <c r="IU225" s="217"/>
      <c r="IV225" s="217"/>
    </row>
    <row r="226" spans="1:256" s="219" customFormat="1" x14ac:dyDescent="0.2">
      <c r="A226" s="216"/>
      <c r="B226" s="216"/>
      <c r="C226" s="216"/>
      <c r="D226" s="216"/>
      <c r="E226" s="216"/>
      <c r="F226" s="216"/>
      <c r="G226" s="216"/>
      <c r="H226" s="216"/>
      <c r="I226" s="216"/>
      <c r="J226" s="216"/>
      <c r="K226" s="216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7"/>
      <c r="W226" s="217"/>
      <c r="X226" s="217"/>
      <c r="Y226" s="217"/>
      <c r="Z226" s="217"/>
      <c r="AA226" s="217"/>
      <c r="AB226" s="217"/>
      <c r="AC226" s="217"/>
      <c r="AD226" s="217"/>
      <c r="AE226" s="217"/>
      <c r="AF226" s="217"/>
      <c r="AG226" s="217"/>
      <c r="AH226" s="217"/>
      <c r="AI226" s="217"/>
      <c r="AJ226" s="217"/>
      <c r="AK226" s="217"/>
      <c r="AL226" s="217"/>
      <c r="AM226" s="217"/>
      <c r="AN226" s="217"/>
      <c r="AO226" s="217"/>
      <c r="AP226" s="217"/>
      <c r="AQ226" s="217"/>
      <c r="AR226" s="217"/>
      <c r="AS226" s="218"/>
      <c r="AT226" s="218"/>
      <c r="AU226" s="217"/>
      <c r="AV226" s="217"/>
      <c r="AW226" s="217"/>
      <c r="AX226" s="217"/>
      <c r="AY226" s="217"/>
      <c r="AZ226" s="217"/>
      <c r="BA226" s="217"/>
      <c r="BB226" s="217"/>
      <c r="BC226" s="217"/>
      <c r="BD226" s="217"/>
      <c r="BE226" s="217"/>
      <c r="BF226" s="217"/>
      <c r="BG226" s="217"/>
      <c r="BH226" s="217"/>
      <c r="BI226" s="217"/>
      <c r="BJ226" s="217"/>
      <c r="BK226" s="217"/>
      <c r="BL226" s="217"/>
      <c r="BM226" s="217"/>
      <c r="BN226" s="217"/>
      <c r="BO226" s="217"/>
      <c r="BP226" s="217"/>
      <c r="BQ226" s="217"/>
      <c r="BR226" s="217"/>
      <c r="BS226" s="217"/>
      <c r="BT226" s="217"/>
      <c r="BU226" s="217"/>
      <c r="BV226" s="217"/>
      <c r="BW226" s="217"/>
      <c r="BX226" s="217"/>
      <c r="BY226" s="217"/>
      <c r="BZ226" s="217"/>
      <c r="CA226" s="217"/>
      <c r="CB226" s="217"/>
      <c r="CC226" s="217"/>
      <c r="CD226" s="217"/>
      <c r="CE226" s="217"/>
      <c r="CF226" s="217"/>
      <c r="CG226" s="217"/>
      <c r="CH226" s="217"/>
      <c r="CI226" s="217"/>
      <c r="CJ226" s="217"/>
      <c r="CK226" s="217"/>
      <c r="CL226" s="217"/>
      <c r="CM226" s="217"/>
      <c r="CN226" s="217"/>
      <c r="CO226" s="217"/>
      <c r="CP226" s="217"/>
      <c r="CQ226" s="217"/>
      <c r="CR226" s="217"/>
      <c r="CS226" s="217"/>
      <c r="CT226" s="217"/>
      <c r="CU226" s="217"/>
      <c r="CV226" s="217"/>
      <c r="CW226" s="217"/>
      <c r="CX226" s="217"/>
      <c r="CY226" s="217"/>
      <c r="CZ226" s="217"/>
      <c r="DA226" s="217"/>
      <c r="DB226" s="217"/>
      <c r="DC226" s="217"/>
      <c r="DD226" s="217"/>
      <c r="DE226" s="217"/>
      <c r="DF226" s="217"/>
      <c r="DG226" s="217"/>
      <c r="DH226" s="217"/>
      <c r="DI226" s="217"/>
      <c r="DJ226" s="217"/>
      <c r="DK226" s="217"/>
      <c r="DL226" s="217"/>
      <c r="DM226" s="217"/>
      <c r="DN226" s="217"/>
      <c r="DO226" s="217"/>
      <c r="DP226" s="217"/>
      <c r="DQ226" s="217"/>
      <c r="DR226" s="217"/>
      <c r="DS226" s="217"/>
      <c r="DT226" s="217"/>
      <c r="DU226" s="217"/>
      <c r="DV226" s="217"/>
      <c r="DW226" s="217"/>
      <c r="DX226" s="217"/>
      <c r="DY226" s="217"/>
      <c r="DZ226" s="217"/>
      <c r="EA226" s="217"/>
      <c r="EB226" s="217"/>
      <c r="EC226" s="217"/>
      <c r="ED226" s="217"/>
      <c r="EE226" s="217"/>
      <c r="EF226" s="217"/>
      <c r="EG226" s="217"/>
      <c r="EH226" s="217"/>
      <c r="EI226" s="217"/>
      <c r="EJ226" s="217"/>
      <c r="EK226" s="217"/>
      <c r="EL226" s="217"/>
      <c r="EM226" s="217"/>
      <c r="EN226" s="217"/>
      <c r="EO226" s="217"/>
      <c r="EP226" s="217"/>
      <c r="EQ226" s="217"/>
      <c r="ER226" s="217"/>
      <c r="ES226" s="217"/>
      <c r="ET226" s="217"/>
      <c r="EU226" s="217"/>
      <c r="EV226" s="217"/>
      <c r="EW226" s="217"/>
      <c r="EX226" s="217"/>
      <c r="EY226" s="217"/>
      <c r="EZ226" s="217"/>
      <c r="FA226" s="217"/>
      <c r="FB226" s="217"/>
      <c r="FC226" s="217"/>
      <c r="FD226" s="217"/>
      <c r="FE226" s="217"/>
      <c r="FF226" s="217"/>
      <c r="FG226" s="217"/>
      <c r="FH226" s="217"/>
      <c r="FI226" s="217"/>
      <c r="FJ226" s="217"/>
      <c r="FK226" s="217"/>
      <c r="FL226" s="217"/>
      <c r="FM226" s="217"/>
      <c r="FN226" s="217"/>
      <c r="FO226" s="217"/>
      <c r="FP226" s="217"/>
      <c r="FQ226" s="217"/>
      <c r="FR226" s="217"/>
      <c r="FS226" s="217"/>
      <c r="FT226" s="217"/>
      <c r="FU226" s="217"/>
      <c r="FV226" s="217"/>
      <c r="FW226" s="217"/>
      <c r="FX226" s="217"/>
      <c r="FY226" s="217"/>
      <c r="FZ226" s="217"/>
      <c r="GA226" s="217"/>
      <c r="GB226" s="217"/>
      <c r="GC226" s="217"/>
      <c r="GD226" s="217"/>
      <c r="GE226" s="217"/>
      <c r="GF226" s="217"/>
      <c r="GG226" s="217"/>
      <c r="GH226" s="217"/>
      <c r="GI226" s="217"/>
      <c r="GJ226" s="217"/>
      <c r="GK226" s="217"/>
      <c r="GL226" s="217"/>
      <c r="GM226" s="217"/>
      <c r="GN226" s="217"/>
      <c r="GO226" s="217"/>
      <c r="GP226" s="217"/>
      <c r="GQ226" s="217"/>
      <c r="GR226" s="217"/>
      <c r="GS226" s="217"/>
      <c r="GT226" s="217"/>
      <c r="GU226" s="217"/>
      <c r="GV226" s="217"/>
      <c r="GW226" s="217"/>
      <c r="GX226" s="217"/>
      <c r="GY226" s="217"/>
      <c r="GZ226" s="217"/>
      <c r="HA226" s="217"/>
      <c r="HB226" s="217"/>
      <c r="HC226" s="217"/>
      <c r="HD226" s="217"/>
      <c r="HE226" s="217"/>
      <c r="HF226" s="217"/>
      <c r="HG226" s="217"/>
      <c r="HH226" s="217"/>
      <c r="HI226" s="217"/>
      <c r="HJ226" s="217"/>
      <c r="HK226" s="217"/>
      <c r="HL226" s="217"/>
      <c r="HM226" s="217"/>
      <c r="HN226" s="217"/>
      <c r="HO226" s="217"/>
      <c r="HP226" s="217"/>
      <c r="HQ226" s="217"/>
      <c r="HR226" s="217"/>
      <c r="HS226" s="217"/>
      <c r="HT226" s="217"/>
      <c r="HU226" s="217"/>
      <c r="HV226" s="217"/>
      <c r="HW226" s="217"/>
      <c r="HX226" s="217"/>
      <c r="HY226" s="217"/>
      <c r="HZ226" s="217"/>
      <c r="IA226" s="217"/>
      <c r="IB226" s="217"/>
      <c r="IC226" s="217"/>
      <c r="ID226" s="217"/>
      <c r="IE226" s="217"/>
      <c r="IF226" s="217"/>
      <c r="IG226" s="217"/>
      <c r="IH226" s="217"/>
      <c r="II226" s="217"/>
      <c r="IJ226" s="217"/>
      <c r="IK226" s="217"/>
      <c r="IL226" s="217"/>
      <c r="IM226" s="217"/>
      <c r="IN226" s="217"/>
      <c r="IO226" s="217"/>
      <c r="IP226" s="217"/>
      <c r="IQ226" s="217"/>
      <c r="IR226" s="217"/>
      <c r="IS226" s="217"/>
      <c r="IT226" s="217"/>
      <c r="IU226" s="217"/>
      <c r="IV226" s="217"/>
    </row>
    <row r="227" spans="1:256" s="219" customFormat="1" x14ac:dyDescent="0.2">
      <c r="A227" s="216"/>
      <c r="B227" s="216"/>
      <c r="C227" s="216"/>
      <c r="D227" s="216"/>
      <c r="E227" s="216"/>
      <c r="F227" s="216"/>
      <c r="G227" s="216"/>
      <c r="H227" s="217"/>
      <c r="I227" s="217"/>
      <c r="J227" s="216"/>
      <c r="K227" s="216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7"/>
      <c r="W227" s="217"/>
      <c r="X227" s="217"/>
      <c r="Y227" s="217"/>
      <c r="Z227" s="217"/>
      <c r="AA227" s="217"/>
      <c r="AB227" s="217"/>
      <c r="AC227" s="217"/>
      <c r="AD227" s="217"/>
      <c r="AE227" s="217"/>
      <c r="AF227" s="217"/>
      <c r="AG227" s="217"/>
      <c r="AH227" s="217"/>
      <c r="AI227" s="217"/>
      <c r="AJ227" s="217"/>
      <c r="AK227" s="217"/>
      <c r="AL227" s="217"/>
      <c r="AM227" s="217"/>
      <c r="AN227" s="217"/>
      <c r="AO227" s="217"/>
      <c r="AP227" s="217"/>
      <c r="AQ227" s="217"/>
      <c r="AR227" s="217"/>
      <c r="AS227" s="217"/>
      <c r="AT227" s="218"/>
      <c r="AU227" s="218"/>
      <c r="AV227" s="217"/>
      <c r="AW227" s="217"/>
      <c r="AX227" s="217"/>
      <c r="AY227" s="217"/>
      <c r="AZ227" s="217"/>
      <c r="BA227" s="217"/>
      <c r="BB227" s="217"/>
      <c r="BC227" s="217"/>
      <c r="BD227" s="217"/>
      <c r="BE227" s="217"/>
      <c r="BF227" s="217"/>
      <c r="BG227" s="217"/>
      <c r="BH227" s="217"/>
      <c r="BI227" s="217"/>
      <c r="BJ227" s="217"/>
      <c r="BK227" s="217"/>
      <c r="BL227" s="217"/>
      <c r="BM227" s="217"/>
      <c r="BN227" s="217"/>
      <c r="BO227" s="217"/>
      <c r="BP227" s="217"/>
      <c r="BQ227" s="217"/>
      <c r="BR227" s="217"/>
      <c r="BS227" s="217"/>
      <c r="BT227" s="217"/>
      <c r="BU227" s="217"/>
      <c r="BV227" s="217"/>
      <c r="BW227" s="217"/>
      <c r="BX227" s="217"/>
      <c r="BY227" s="217"/>
      <c r="BZ227" s="217"/>
      <c r="CA227" s="217"/>
      <c r="CB227" s="217"/>
      <c r="CC227" s="217"/>
      <c r="CD227" s="217"/>
      <c r="CE227" s="217"/>
      <c r="CF227" s="217"/>
      <c r="CG227" s="217"/>
      <c r="CH227" s="217"/>
      <c r="CI227" s="217"/>
      <c r="CJ227" s="217"/>
      <c r="CK227" s="217"/>
      <c r="CL227" s="217"/>
      <c r="CM227" s="217"/>
      <c r="CN227" s="217"/>
      <c r="CO227" s="217"/>
      <c r="CP227" s="217"/>
      <c r="CQ227" s="217"/>
      <c r="CR227" s="217"/>
      <c r="CS227" s="217"/>
      <c r="CT227" s="217"/>
      <c r="CU227" s="217"/>
      <c r="CV227" s="217"/>
      <c r="CW227" s="217"/>
      <c r="CX227" s="217"/>
      <c r="CY227" s="217"/>
      <c r="CZ227" s="217"/>
      <c r="DA227" s="217"/>
      <c r="DB227" s="217"/>
      <c r="DC227" s="217"/>
      <c r="DD227" s="217"/>
      <c r="DE227" s="217"/>
      <c r="DF227" s="217"/>
      <c r="DG227" s="217"/>
      <c r="DH227" s="217"/>
      <c r="DI227" s="217"/>
      <c r="DJ227" s="217"/>
      <c r="DK227" s="217"/>
      <c r="DL227" s="217"/>
      <c r="DM227" s="217"/>
      <c r="DN227" s="217"/>
      <c r="DO227" s="217"/>
      <c r="DP227" s="217"/>
      <c r="DQ227" s="217"/>
      <c r="DR227" s="217"/>
      <c r="DS227" s="217"/>
      <c r="DT227" s="217"/>
      <c r="DU227" s="217"/>
      <c r="DV227" s="217"/>
      <c r="DW227" s="217"/>
      <c r="DX227" s="217"/>
      <c r="DY227" s="217"/>
      <c r="DZ227" s="217"/>
      <c r="EA227" s="217"/>
      <c r="EB227" s="217"/>
      <c r="EC227" s="217"/>
      <c r="ED227" s="217"/>
      <c r="EE227" s="217"/>
      <c r="EF227" s="217"/>
      <c r="EG227" s="217"/>
      <c r="EH227" s="217"/>
      <c r="EI227" s="217"/>
      <c r="EJ227" s="217"/>
      <c r="EK227" s="217"/>
      <c r="EL227" s="217"/>
      <c r="EM227" s="217"/>
      <c r="EN227" s="217"/>
      <c r="EO227" s="217"/>
      <c r="EP227" s="217"/>
      <c r="EQ227" s="217"/>
      <c r="ER227" s="217"/>
      <c r="ES227" s="217"/>
      <c r="ET227" s="217"/>
      <c r="EU227" s="217"/>
      <c r="EV227" s="217"/>
      <c r="EW227" s="217"/>
      <c r="EX227" s="217"/>
      <c r="EY227" s="217"/>
      <c r="EZ227" s="217"/>
      <c r="FA227" s="217"/>
      <c r="FB227" s="217"/>
      <c r="FC227" s="217"/>
      <c r="FD227" s="217"/>
      <c r="FE227" s="217"/>
      <c r="FF227" s="217"/>
      <c r="FG227" s="217"/>
      <c r="FH227" s="217"/>
      <c r="FI227" s="217"/>
      <c r="FJ227" s="217"/>
      <c r="FK227" s="217"/>
      <c r="FL227" s="217"/>
      <c r="FM227" s="217"/>
      <c r="FN227" s="217"/>
      <c r="FO227" s="217"/>
      <c r="FP227" s="217"/>
      <c r="FQ227" s="217"/>
      <c r="FR227" s="217"/>
      <c r="FS227" s="217"/>
      <c r="FT227" s="217"/>
      <c r="FU227" s="217"/>
      <c r="FV227" s="217"/>
      <c r="FW227" s="217"/>
      <c r="FX227" s="217"/>
      <c r="FY227" s="217"/>
      <c r="FZ227" s="217"/>
      <c r="GA227" s="217"/>
      <c r="GB227" s="217"/>
      <c r="GC227" s="217"/>
      <c r="GD227" s="217"/>
      <c r="GE227" s="217"/>
      <c r="GF227" s="217"/>
      <c r="GG227" s="217"/>
      <c r="GH227" s="217"/>
      <c r="GI227" s="217"/>
      <c r="GJ227" s="217"/>
      <c r="GK227" s="217"/>
      <c r="GL227" s="217"/>
      <c r="GM227" s="217"/>
      <c r="GN227" s="217"/>
      <c r="GO227" s="217"/>
      <c r="GP227" s="217"/>
      <c r="GQ227" s="217"/>
      <c r="GR227" s="217"/>
      <c r="GS227" s="217"/>
      <c r="GT227" s="217"/>
      <c r="GU227" s="217"/>
      <c r="GV227" s="217"/>
      <c r="GW227" s="217"/>
      <c r="GX227" s="217"/>
      <c r="GY227" s="217"/>
      <c r="GZ227" s="217"/>
      <c r="HA227" s="217"/>
      <c r="HB227" s="217"/>
      <c r="HC227" s="217"/>
      <c r="HD227" s="217"/>
      <c r="HE227" s="217"/>
      <c r="HF227" s="217"/>
      <c r="HG227" s="217"/>
      <c r="HH227" s="217"/>
      <c r="HI227" s="217"/>
      <c r="HJ227" s="217"/>
      <c r="HK227" s="217"/>
      <c r="HL227" s="217"/>
      <c r="HM227" s="217"/>
      <c r="HN227" s="217"/>
      <c r="HO227" s="217"/>
      <c r="HP227" s="217"/>
      <c r="HQ227" s="217"/>
      <c r="HR227" s="217"/>
      <c r="HS227" s="217"/>
      <c r="HT227" s="217"/>
      <c r="HU227" s="217"/>
      <c r="HV227" s="217"/>
      <c r="HW227" s="217"/>
      <c r="HX227" s="217"/>
      <c r="HY227" s="217"/>
      <c r="HZ227" s="217"/>
      <c r="IA227" s="217"/>
      <c r="IB227" s="217"/>
      <c r="IC227" s="217"/>
      <c r="ID227" s="217"/>
      <c r="IE227" s="217"/>
      <c r="IF227" s="217"/>
      <c r="IG227" s="217"/>
      <c r="IH227" s="217"/>
      <c r="II227" s="217"/>
      <c r="IJ227" s="217"/>
      <c r="IK227" s="217"/>
      <c r="IL227" s="217"/>
      <c r="IM227" s="217"/>
      <c r="IN227" s="217"/>
      <c r="IO227" s="217"/>
      <c r="IP227" s="217"/>
      <c r="IQ227" s="217"/>
      <c r="IR227" s="217"/>
      <c r="IS227" s="217"/>
      <c r="IT227" s="217"/>
      <c r="IU227" s="217"/>
      <c r="IV227" s="217"/>
    </row>
    <row r="228" spans="1:256" s="219" customFormat="1" x14ac:dyDescent="0.2">
      <c r="A228" s="216"/>
      <c r="B228" s="216"/>
      <c r="C228" s="216"/>
      <c r="D228" s="216"/>
      <c r="E228" s="216"/>
      <c r="F228" s="216"/>
      <c r="G228" s="216"/>
      <c r="H228" s="217"/>
      <c r="I228" s="217"/>
      <c r="J228" s="216"/>
      <c r="K228" s="216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7"/>
      <c r="W228" s="217"/>
      <c r="X228" s="217"/>
      <c r="Y228" s="217"/>
      <c r="Z228" s="217"/>
      <c r="AA228" s="217"/>
      <c r="AB228" s="217"/>
      <c r="AC228" s="217"/>
      <c r="AD228" s="217"/>
      <c r="AE228" s="217"/>
      <c r="AF228" s="217"/>
      <c r="AG228" s="217"/>
      <c r="AH228" s="217"/>
      <c r="AI228" s="217"/>
      <c r="AJ228" s="217"/>
      <c r="AK228" s="217"/>
      <c r="AL228" s="217"/>
      <c r="AM228" s="217"/>
      <c r="AN228" s="217"/>
      <c r="AO228" s="217"/>
      <c r="AP228" s="217"/>
      <c r="AQ228" s="217"/>
      <c r="AR228" s="217"/>
      <c r="AS228" s="217"/>
      <c r="AT228" s="218"/>
      <c r="AU228" s="218"/>
      <c r="AV228" s="217"/>
      <c r="AW228" s="217"/>
      <c r="AX228" s="217"/>
      <c r="AY228" s="217"/>
      <c r="AZ228" s="217"/>
      <c r="BA228" s="217"/>
      <c r="BB228" s="217"/>
      <c r="BC228" s="217"/>
      <c r="BD228" s="217"/>
      <c r="BE228" s="217"/>
      <c r="BF228" s="217"/>
      <c r="BG228" s="217"/>
      <c r="BH228" s="217"/>
      <c r="BI228" s="217"/>
      <c r="BJ228" s="217"/>
      <c r="BK228" s="217"/>
      <c r="BL228" s="217"/>
      <c r="BM228" s="217"/>
      <c r="BN228" s="217"/>
      <c r="BO228" s="217"/>
      <c r="BP228" s="217"/>
      <c r="BQ228" s="217"/>
      <c r="BR228" s="217"/>
      <c r="BS228" s="217"/>
      <c r="BT228" s="217"/>
      <c r="BU228" s="217"/>
      <c r="BV228" s="217"/>
      <c r="BW228" s="217"/>
      <c r="BX228" s="217"/>
      <c r="BY228" s="217"/>
      <c r="BZ228" s="217"/>
      <c r="CA228" s="217"/>
      <c r="CB228" s="217"/>
      <c r="CC228" s="217"/>
      <c r="CD228" s="217"/>
      <c r="CE228" s="217"/>
      <c r="CF228" s="217"/>
      <c r="CG228" s="217"/>
      <c r="CH228" s="217"/>
      <c r="CI228" s="217"/>
      <c r="CJ228" s="217"/>
      <c r="CK228" s="217"/>
      <c r="CL228" s="217"/>
      <c r="CM228" s="217"/>
      <c r="CN228" s="217"/>
      <c r="CO228" s="217"/>
      <c r="CP228" s="217"/>
      <c r="CQ228" s="217"/>
      <c r="CR228" s="217"/>
      <c r="CS228" s="217"/>
      <c r="CT228" s="217"/>
      <c r="CU228" s="217"/>
      <c r="CV228" s="217"/>
      <c r="CW228" s="217"/>
      <c r="CX228" s="217"/>
      <c r="CY228" s="217"/>
      <c r="CZ228" s="217"/>
      <c r="DA228" s="217"/>
      <c r="DB228" s="217"/>
      <c r="DC228" s="217"/>
      <c r="DD228" s="217"/>
      <c r="DE228" s="217"/>
      <c r="DF228" s="217"/>
      <c r="DG228" s="217"/>
      <c r="DH228" s="217"/>
      <c r="DI228" s="217"/>
      <c r="DJ228" s="217"/>
      <c r="DK228" s="217"/>
      <c r="DL228" s="217"/>
      <c r="DM228" s="217"/>
      <c r="DN228" s="217"/>
      <c r="DO228" s="217"/>
      <c r="DP228" s="217"/>
      <c r="DQ228" s="217"/>
      <c r="DR228" s="217"/>
      <c r="DS228" s="217"/>
      <c r="DT228" s="217"/>
      <c r="DU228" s="217"/>
      <c r="DV228" s="217"/>
      <c r="DW228" s="217"/>
      <c r="DX228" s="217"/>
      <c r="DY228" s="217"/>
      <c r="DZ228" s="217"/>
      <c r="EA228" s="217"/>
      <c r="EB228" s="217"/>
      <c r="EC228" s="217"/>
      <c r="ED228" s="217"/>
      <c r="EE228" s="217"/>
      <c r="EF228" s="217"/>
      <c r="EG228" s="217"/>
      <c r="EH228" s="217"/>
      <c r="EI228" s="217"/>
      <c r="EJ228" s="217"/>
      <c r="EK228" s="217"/>
      <c r="EL228" s="217"/>
      <c r="EM228" s="217"/>
      <c r="EN228" s="217"/>
      <c r="EO228" s="217"/>
      <c r="EP228" s="217"/>
      <c r="EQ228" s="217"/>
      <c r="ER228" s="217"/>
      <c r="ES228" s="217"/>
      <c r="ET228" s="217"/>
      <c r="EU228" s="217"/>
      <c r="EV228" s="217"/>
      <c r="EW228" s="217"/>
      <c r="EX228" s="217"/>
      <c r="EY228" s="217"/>
      <c r="EZ228" s="217"/>
      <c r="FA228" s="217"/>
      <c r="FB228" s="217"/>
      <c r="FC228" s="217"/>
      <c r="FD228" s="217"/>
      <c r="FE228" s="217"/>
      <c r="FF228" s="217"/>
      <c r="FG228" s="217"/>
      <c r="FH228" s="217"/>
      <c r="FI228" s="217"/>
      <c r="FJ228" s="217"/>
      <c r="FK228" s="217"/>
      <c r="FL228" s="217"/>
      <c r="FM228" s="217"/>
      <c r="FN228" s="217"/>
      <c r="FO228" s="217"/>
      <c r="FP228" s="217"/>
      <c r="FQ228" s="217"/>
      <c r="FR228" s="217"/>
      <c r="FS228" s="217"/>
      <c r="FT228" s="217"/>
      <c r="FU228" s="217"/>
      <c r="FV228" s="217"/>
      <c r="FW228" s="217"/>
      <c r="FX228" s="217"/>
      <c r="FY228" s="217"/>
      <c r="FZ228" s="217"/>
      <c r="GA228" s="217"/>
      <c r="GB228" s="217"/>
      <c r="GC228" s="217"/>
      <c r="GD228" s="217"/>
      <c r="GE228" s="217"/>
      <c r="GF228" s="217"/>
      <c r="GG228" s="217"/>
      <c r="GH228" s="217"/>
      <c r="GI228" s="217"/>
      <c r="GJ228" s="217"/>
      <c r="GK228" s="217"/>
      <c r="GL228" s="217"/>
      <c r="GM228" s="217"/>
      <c r="GN228" s="217"/>
      <c r="GO228" s="217"/>
      <c r="GP228" s="217"/>
      <c r="GQ228" s="217"/>
      <c r="GR228" s="217"/>
      <c r="GS228" s="217"/>
      <c r="GT228" s="217"/>
      <c r="GU228" s="217"/>
      <c r="GV228" s="217"/>
      <c r="GW228" s="217"/>
      <c r="GX228" s="217"/>
      <c r="GY228" s="217"/>
      <c r="GZ228" s="217"/>
      <c r="HA228" s="217"/>
      <c r="HB228" s="217"/>
      <c r="HC228" s="217"/>
      <c r="HD228" s="217"/>
      <c r="HE228" s="217"/>
      <c r="HF228" s="217"/>
      <c r="HG228" s="217"/>
      <c r="HH228" s="217"/>
      <c r="HI228" s="217"/>
      <c r="HJ228" s="217"/>
      <c r="HK228" s="217"/>
      <c r="HL228" s="217"/>
      <c r="HM228" s="217"/>
      <c r="HN228" s="217"/>
      <c r="HO228" s="217"/>
      <c r="HP228" s="217"/>
      <c r="HQ228" s="217"/>
      <c r="HR228" s="217"/>
      <c r="HS228" s="217"/>
      <c r="HT228" s="217"/>
      <c r="HU228" s="217"/>
      <c r="HV228" s="217"/>
      <c r="HW228" s="217"/>
      <c r="HX228" s="217"/>
      <c r="HY228" s="217"/>
      <c r="HZ228" s="217"/>
      <c r="IA228" s="217"/>
      <c r="IB228" s="217"/>
      <c r="IC228" s="217"/>
      <c r="ID228" s="217"/>
      <c r="IE228" s="217"/>
      <c r="IF228" s="217"/>
      <c r="IG228" s="217"/>
      <c r="IH228" s="217"/>
      <c r="II228" s="217"/>
      <c r="IJ228" s="217"/>
      <c r="IK228" s="217"/>
      <c r="IL228" s="217"/>
      <c r="IM228" s="217"/>
      <c r="IN228" s="217"/>
      <c r="IO228" s="217"/>
      <c r="IP228" s="217"/>
      <c r="IQ228" s="217"/>
      <c r="IR228" s="217"/>
      <c r="IS228" s="217"/>
      <c r="IT228" s="217"/>
      <c r="IU228" s="217"/>
      <c r="IV228" s="217"/>
    </row>
    <row r="229" spans="1:256" s="219" customFormat="1" x14ac:dyDescent="0.2">
      <c r="A229" s="216"/>
      <c r="B229" s="216"/>
      <c r="C229" s="216"/>
      <c r="D229" s="216"/>
      <c r="E229" s="216"/>
      <c r="F229" s="216"/>
      <c r="G229" s="216"/>
      <c r="H229" s="217"/>
      <c r="I229" s="217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7"/>
      <c r="W229" s="217"/>
      <c r="X229" s="217"/>
      <c r="Y229" s="217"/>
      <c r="Z229" s="217"/>
      <c r="AA229" s="217"/>
      <c r="AB229" s="217"/>
      <c r="AC229" s="217"/>
      <c r="AD229" s="217"/>
      <c r="AE229" s="217"/>
      <c r="AF229" s="217"/>
      <c r="AG229" s="217"/>
      <c r="AH229" s="217"/>
      <c r="AI229" s="217"/>
      <c r="AJ229" s="217"/>
      <c r="AK229" s="217"/>
      <c r="AL229" s="217"/>
      <c r="AM229" s="217"/>
      <c r="AN229" s="217"/>
      <c r="AO229" s="217"/>
      <c r="AP229" s="217"/>
      <c r="AQ229" s="217"/>
      <c r="AR229" s="217"/>
      <c r="AS229" s="217"/>
      <c r="AT229" s="218"/>
      <c r="AU229" s="218"/>
      <c r="AV229" s="217"/>
      <c r="AW229" s="217"/>
      <c r="AX229" s="217"/>
      <c r="AY229" s="217"/>
      <c r="AZ229" s="217"/>
      <c r="BA229" s="217"/>
      <c r="BB229" s="217"/>
      <c r="BC229" s="217"/>
      <c r="BD229" s="217"/>
      <c r="BE229" s="217"/>
      <c r="BF229" s="217"/>
      <c r="BG229" s="217"/>
      <c r="BH229" s="217"/>
      <c r="BI229" s="217"/>
      <c r="BJ229" s="217"/>
      <c r="BK229" s="217"/>
      <c r="BL229" s="217"/>
      <c r="BM229" s="217"/>
      <c r="BN229" s="217"/>
      <c r="BO229" s="217"/>
      <c r="BP229" s="217"/>
      <c r="BQ229" s="217"/>
      <c r="BR229" s="217"/>
      <c r="BS229" s="217"/>
      <c r="BT229" s="217"/>
      <c r="BU229" s="217"/>
      <c r="BV229" s="217"/>
      <c r="BW229" s="217"/>
      <c r="BX229" s="217"/>
      <c r="BY229" s="217"/>
      <c r="BZ229" s="217"/>
      <c r="CA229" s="217"/>
      <c r="CB229" s="217"/>
      <c r="CC229" s="217"/>
      <c r="CD229" s="217"/>
      <c r="CE229" s="217"/>
      <c r="CF229" s="217"/>
      <c r="CG229" s="217"/>
      <c r="CH229" s="217"/>
      <c r="CI229" s="217"/>
      <c r="CJ229" s="217"/>
      <c r="CK229" s="217"/>
      <c r="CL229" s="217"/>
      <c r="CM229" s="217"/>
      <c r="CN229" s="217"/>
      <c r="CO229" s="217"/>
      <c r="CP229" s="217"/>
      <c r="CQ229" s="217"/>
      <c r="CR229" s="217"/>
      <c r="CS229" s="217"/>
      <c r="CT229" s="217"/>
      <c r="CU229" s="217"/>
      <c r="CV229" s="217"/>
      <c r="CW229" s="217"/>
      <c r="CX229" s="217"/>
      <c r="CY229" s="217"/>
      <c r="CZ229" s="217"/>
      <c r="DA229" s="217"/>
      <c r="DB229" s="217"/>
      <c r="DC229" s="217"/>
      <c r="DD229" s="217"/>
      <c r="DE229" s="217"/>
      <c r="DF229" s="217"/>
      <c r="DG229" s="217"/>
      <c r="DH229" s="217"/>
      <c r="DI229" s="217"/>
      <c r="DJ229" s="217"/>
      <c r="DK229" s="217"/>
      <c r="DL229" s="217"/>
      <c r="DM229" s="217"/>
      <c r="DN229" s="217"/>
      <c r="DO229" s="217"/>
      <c r="DP229" s="217"/>
      <c r="DQ229" s="217"/>
      <c r="DR229" s="217"/>
      <c r="DS229" s="217"/>
      <c r="DT229" s="217"/>
      <c r="DU229" s="217"/>
      <c r="DV229" s="217"/>
      <c r="DW229" s="217"/>
      <c r="DX229" s="217"/>
      <c r="DY229" s="217"/>
      <c r="DZ229" s="217"/>
      <c r="EA229" s="217"/>
      <c r="EB229" s="217"/>
      <c r="EC229" s="217"/>
      <c r="ED229" s="217"/>
      <c r="EE229" s="217"/>
      <c r="EF229" s="217"/>
      <c r="EG229" s="217"/>
      <c r="EH229" s="217"/>
      <c r="EI229" s="217"/>
      <c r="EJ229" s="217"/>
      <c r="EK229" s="217"/>
      <c r="EL229" s="217"/>
      <c r="EM229" s="217"/>
      <c r="EN229" s="217"/>
      <c r="EO229" s="217"/>
      <c r="EP229" s="217"/>
      <c r="EQ229" s="217"/>
      <c r="ER229" s="217"/>
      <c r="ES229" s="217"/>
      <c r="ET229" s="217"/>
      <c r="EU229" s="217"/>
      <c r="EV229" s="217"/>
      <c r="EW229" s="217"/>
      <c r="EX229" s="217"/>
      <c r="EY229" s="217"/>
      <c r="EZ229" s="217"/>
      <c r="FA229" s="217"/>
      <c r="FB229" s="217"/>
      <c r="FC229" s="217"/>
      <c r="FD229" s="217"/>
      <c r="FE229" s="217"/>
      <c r="FF229" s="217"/>
      <c r="FG229" s="217"/>
      <c r="FH229" s="217"/>
      <c r="FI229" s="217"/>
      <c r="FJ229" s="217"/>
      <c r="FK229" s="217"/>
      <c r="FL229" s="217"/>
      <c r="FM229" s="217"/>
      <c r="FN229" s="217"/>
      <c r="FO229" s="217"/>
      <c r="FP229" s="217"/>
      <c r="FQ229" s="217"/>
      <c r="FR229" s="217"/>
      <c r="FS229" s="217"/>
      <c r="FT229" s="217"/>
      <c r="FU229" s="217"/>
      <c r="FV229" s="217"/>
      <c r="FW229" s="217"/>
      <c r="FX229" s="217"/>
      <c r="FY229" s="217"/>
      <c r="FZ229" s="217"/>
      <c r="GA229" s="217"/>
      <c r="GB229" s="217"/>
      <c r="GC229" s="217"/>
      <c r="GD229" s="217"/>
      <c r="GE229" s="217"/>
      <c r="GF229" s="217"/>
      <c r="GG229" s="217"/>
      <c r="GH229" s="217"/>
      <c r="GI229" s="217"/>
      <c r="GJ229" s="217"/>
      <c r="GK229" s="217"/>
      <c r="GL229" s="217"/>
      <c r="GM229" s="217"/>
      <c r="GN229" s="217"/>
      <c r="GO229" s="217"/>
      <c r="GP229" s="217"/>
      <c r="GQ229" s="217"/>
      <c r="GR229" s="217"/>
      <c r="GS229" s="217"/>
      <c r="GT229" s="217"/>
      <c r="GU229" s="217"/>
      <c r="GV229" s="217"/>
      <c r="GW229" s="217"/>
      <c r="GX229" s="217"/>
      <c r="GY229" s="217"/>
      <c r="GZ229" s="217"/>
      <c r="HA229" s="217"/>
      <c r="HB229" s="217"/>
      <c r="HC229" s="217"/>
      <c r="HD229" s="217"/>
      <c r="HE229" s="217"/>
      <c r="HF229" s="217"/>
      <c r="HG229" s="217"/>
      <c r="HH229" s="217"/>
      <c r="HI229" s="217"/>
      <c r="HJ229" s="217"/>
      <c r="HK229" s="217"/>
      <c r="HL229" s="217"/>
      <c r="HM229" s="217"/>
      <c r="HN229" s="217"/>
      <c r="HO229" s="217"/>
      <c r="HP229" s="217"/>
      <c r="HQ229" s="217"/>
      <c r="HR229" s="217"/>
      <c r="HS229" s="217"/>
      <c r="HT229" s="217"/>
      <c r="HU229" s="217"/>
      <c r="HV229" s="217"/>
      <c r="HW229" s="217"/>
      <c r="HX229" s="217"/>
      <c r="HY229" s="217"/>
      <c r="HZ229" s="217"/>
      <c r="IA229" s="217"/>
      <c r="IB229" s="217"/>
      <c r="IC229" s="217"/>
      <c r="ID229" s="217"/>
      <c r="IE229" s="217"/>
      <c r="IF229" s="217"/>
      <c r="IG229" s="217"/>
      <c r="IH229" s="217"/>
      <c r="II229" s="217"/>
      <c r="IJ229" s="217"/>
      <c r="IK229" s="217"/>
      <c r="IL229" s="217"/>
      <c r="IM229" s="217"/>
      <c r="IN229" s="217"/>
      <c r="IO229" s="217"/>
      <c r="IP229" s="217"/>
      <c r="IQ229" s="217"/>
      <c r="IR229" s="217"/>
      <c r="IS229" s="217"/>
      <c r="IT229" s="217"/>
      <c r="IU229" s="217"/>
      <c r="IV229" s="217"/>
    </row>
    <row r="230" spans="1:256" s="21" customFormat="1" x14ac:dyDescent="0.2">
      <c r="A230" s="216"/>
      <c r="B230" s="216"/>
      <c r="C230" s="216"/>
      <c r="D230" s="23" t="s">
        <v>117</v>
      </c>
      <c r="E230" s="18"/>
      <c r="F230" s="18"/>
      <c r="G230" s="18"/>
      <c r="H230" s="20"/>
      <c r="I230" s="20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160"/>
      <c r="AU230" s="16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</row>
    <row r="231" spans="1:256" s="21" customFormat="1" x14ac:dyDescent="0.2">
      <c r="A231" s="18"/>
      <c r="B231" s="18"/>
      <c r="C231" s="18"/>
      <c r="D231" s="23"/>
      <c r="E231" s="18"/>
      <c r="F231" s="18"/>
      <c r="G231" s="18"/>
      <c r="H231" s="20"/>
      <c r="I231" s="20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160"/>
      <c r="AU231" s="160"/>
      <c r="AV231" s="20"/>
      <c r="AW231" s="20"/>
      <c r="AX231" s="20"/>
      <c r="AY231" s="20"/>
      <c r="AZ231" s="20"/>
      <c r="BA231" s="20"/>
      <c r="BB231" s="20"/>
      <c r="BC231" s="20"/>
    </row>
    <row r="232" spans="1:256" s="21" customFormat="1" x14ac:dyDescent="0.2">
      <c r="A232" s="18"/>
      <c r="B232" s="18"/>
      <c r="C232" s="18"/>
      <c r="D232" s="23"/>
      <c r="E232" s="18"/>
      <c r="F232" s="18"/>
      <c r="G232" s="18"/>
      <c r="H232" s="20"/>
      <c r="I232" s="20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160"/>
      <c r="AU232" s="16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</row>
    <row r="233" spans="1:256" s="20" customFormat="1" x14ac:dyDescent="0.2">
      <c r="A233" s="225"/>
      <c r="B233" s="225"/>
      <c r="C233" s="225"/>
      <c r="D233" s="225"/>
      <c r="E233" s="225"/>
      <c r="F233" s="225"/>
      <c r="G233" s="225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AT233" s="160"/>
      <c r="AU233" s="160"/>
    </row>
    <row r="234" spans="1:256" s="55" customFormat="1" ht="18" x14ac:dyDescent="0.25">
      <c r="A234" s="226"/>
      <c r="B234" s="420" t="s">
        <v>302</v>
      </c>
      <c r="C234" s="420"/>
      <c r="D234" s="420"/>
      <c r="E234" s="420"/>
      <c r="F234" s="420"/>
      <c r="G234" s="420"/>
      <c r="AT234" s="162"/>
      <c r="AU234" s="162"/>
    </row>
    <row r="235" spans="1:256" s="20" customFormat="1" ht="18.75" thickBot="1" x14ac:dyDescent="0.3">
      <c r="A235" s="225"/>
      <c r="B235" s="226"/>
      <c r="C235" s="227"/>
      <c r="D235" s="227"/>
      <c r="E235" s="227"/>
      <c r="F235" s="227"/>
      <c r="G235" s="227"/>
      <c r="AT235" s="160"/>
      <c r="AU235" s="160"/>
    </row>
    <row r="236" spans="1:256" s="20" customFormat="1" x14ac:dyDescent="0.2">
      <c r="A236" s="225"/>
      <c r="B236" s="228" t="s">
        <v>0</v>
      </c>
      <c r="C236" s="417" t="str">
        <f>CUSTOMERNAME</f>
        <v>Evergreen Car Wash</v>
      </c>
      <c r="D236" s="418"/>
      <c r="E236" s="419"/>
      <c r="F236" s="225"/>
      <c r="G236" s="225"/>
      <c r="AT236" s="160"/>
      <c r="AU236" s="160"/>
    </row>
    <row r="237" spans="1:256" s="20" customFormat="1" ht="13.5" thickBot="1" x14ac:dyDescent="0.25">
      <c r="A237" s="225"/>
      <c r="B237" s="228" t="s">
        <v>1</v>
      </c>
      <c r="C237" s="409" t="str">
        <f>ADDRESS</f>
        <v>29002 Crossroads Ln., Evergreen, CO 80439</v>
      </c>
      <c r="D237" s="410"/>
      <c r="E237" s="411"/>
      <c r="F237" s="225"/>
      <c r="G237" s="225"/>
      <c r="AT237" s="160"/>
      <c r="AU237" s="160"/>
    </row>
    <row r="238" spans="1:256" s="20" customFormat="1" x14ac:dyDescent="0.2">
      <c r="A238" s="225"/>
      <c r="B238" s="225"/>
      <c r="C238" s="225"/>
      <c r="D238" s="225"/>
      <c r="E238" s="225"/>
      <c r="F238" s="225"/>
      <c r="G238" s="229" t="s">
        <v>114</v>
      </c>
      <c r="AT238" s="160"/>
      <c r="AU238" s="160"/>
    </row>
    <row r="239" spans="1:256" s="230" customFormat="1" ht="19.5" x14ac:dyDescent="0.25">
      <c r="A239" s="412" t="s">
        <v>192</v>
      </c>
      <c r="B239" s="412"/>
      <c r="C239" s="412"/>
      <c r="D239" s="412"/>
      <c r="E239" s="412"/>
      <c r="F239" s="412"/>
      <c r="G239" s="412"/>
      <c r="AT239" s="231"/>
      <c r="AU239" s="231"/>
    </row>
    <row r="240" spans="1:256" s="20" customFormat="1" ht="13.5" thickBot="1" x14ac:dyDescent="0.25">
      <c r="A240" s="225"/>
      <c r="B240" s="225"/>
      <c r="C240" s="225"/>
      <c r="D240" s="225"/>
      <c r="E240" s="225"/>
      <c r="F240" s="225"/>
      <c r="G240" s="225"/>
      <c r="AT240" s="160"/>
      <c r="AU240" s="160"/>
    </row>
    <row r="241" spans="1:55" s="20" customFormat="1" ht="13.5" thickBot="1" x14ac:dyDescent="0.25">
      <c r="A241" s="225"/>
      <c r="B241" s="232"/>
      <c r="C241" s="233"/>
      <c r="D241" s="233"/>
      <c r="E241" s="234"/>
      <c r="F241" s="235" t="s">
        <v>191</v>
      </c>
      <c r="G241" s="235" t="s">
        <v>181</v>
      </c>
      <c r="AT241" s="160"/>
      <c r="AU241" s="160"/>
    </row>
    <row r="242" spans="1:55" s="20" customFormat="1" ht="13.5" thickBot="1" x14ac:dyDescent="0.25">
      <c r="A242" s="225"/>
      <c r="B242" s="236" t="s">
        <v>206</v>
      </c>
      <c r="C242" s="237"/>
      <c r="D242" s="237"/>
      <c r="E242" s="237"/>
      <c r="F242" s="238">
        <f>K268/(K270*(1-K266))</f>
        <v>1869.0289096290196</v>
      </c>
      <c r="G242" s="239">
        <f>C144</f>
        <v>4105.2326986862745</v>
      </c>
      <c r="H242" s="335"/>
      <c r="I242" s="335" t="s">
        <v>198</v>
      </c>
      <c r="AT242" s="160"/>
      <c r="AU242" s="160"/>
    </row>
    <row r="243" spans="1:55" s="243" customFormat="1" ht="21" thickBot="1" x14ac:dyDescent="0.35">
      <c r="A243" s="225"/>
      <c r="B243" s="240" t="s">
        <v>62</v>
      </c>
      <c r="C243" s="241"/>
      <c r="D243" s="241"/>
      <c r="E243" s="241"/>
      <c r="F243" s="241"/>
      <c r="G243" s="242"/>
      <c r="H243" s="335"/>
      <c r="I243" s="335"/>
      <c r="AT243" s="244"/>
      <c r="AU243" s="244"/>
    </row>
    <row r="244" spans="1:55" s="20" customFormat="1" ht="13.5" thickBot="1" x14ac:dyDescent="0.25">
      <c r="A244" s="225"/>
      <c r="B244" s="468" t="s">
        <v>70</v>
      </c>
      <c r="C244" s="469"/>
      <c r="D244" s="246" t="s">
        <v>63</v>
      </c>
      <c r="E244" s="246" t="s">
        <v>65</v>
      </c>
      <c r="F244" s="470" t="s">
        <v>197</v>
      </c>
      <c r="G244" s="471"/>
      <c r="H244" s="335"/>
      <c r="I244" s="335"/>
      <c r="AT244" s="160"/>
      <c r="AU244" s="160"/>
    </row>
    <row r="245" spans="1:55" s="20" customFormat="1" ht="13.5" thickBot="1" x14ac:dyDescent="0.25">
      <c r="A245" s="225"/>
      <c r="B245" s="466" t="s">
        <v>67</v>
      </c>
      <c r="C245" s="467"/>
      <c r="D245" s="249" t="s">
        <v>64</v>
      </c>
      <c r="E245" s="249" t="s">
        <v>66</v>
      </c>
      <c r="F245" s="235"/>
      <c r="G245" s="235" t="s">
        <v>181</v>
      </c>
      <c r="H245" s="335"/>
      <c r="I245" s="335"/>
      <c r="AT245" s="160"/>
      <c r="AU245" s="160"/>
    </row>
    <row r="246" spans="1:55" s="20" customFormat="1" ht="13.5" thickBot="1" x14ac:dyDescent="0.25">
      <c r="A246" s="225"/>
      <c r="B246" s="250" t="s">
        <v>119</v>
      </c>
      <c r="C246" s="251"/>
      <c r="D246" s="126">
        <f>H44/G242</f>
        <v>15.749999999999998</v>
      </c>
      <c r="E246" s="190">
        <f>SUM(G39+G40+G41+G42+G43)</f>
        <v>1</v>
      </c>
      <c r="F246" s="126">
        <f>D246*F242</f>
        <v>29437.205326657055</v>
      </c>
      <c r="G246" s="126">
        <f>D246*G242</f>
        <v>64657.415004308816</v>
      </c>
      <c r="H246" s="336">
        <f>F246/F242</f>
        <v>15.749999999999998</v>
      </c>
      <c r="I246" s="335"/>
      <c r="AT246" s="160"/>
      <c r="AU246" s="160"/>
    </row>
    <row r="247" spans="1:55" s="20" customFormat="1" ht="13.5" thickBot="1" x14ac:dyDescent="0.25">
      <c r="A247" s="225"/>
      <c r="B247" s="250" t="s">
        <v>287</v>
      </c>
      <c r="C247" s="251"/>
      <c r="D247" s="126">
        <f>F44</f>
        <v>15</v>
      </c>
      <c r="E247" s="190">
        <f>G44</f>
        <v>0.2</v>
      </c>
      <c r="F247" s="126">
        <f>$F$242*E247*D247</f>
        <v>5607.0867288870595</v>
      </c>
      <c r="G247" s="126">
        <f>$G$242*E247*D247</f>
        <v>12315.698096058824</v>
      </c>
      <c r="AT247" s="160"/>
      <c r="AU247" s="160"/>
    </row>
    <row r="248" spans="1:55" s="20" customFormat="1" ht="13.5" thickBot="1" x14ac:dyDescent="0.25">
      <c r="A248" s="225"/>
      <c r="B248" s="250" t="s">
        <v>288</v>
      </c>
      <c r="C248" s="251"/>
      <c r="D248" s="126">
        <f>F45</f>
        <v>49</v>
      </c>
      <c r="E248" s="190">
        <f>G45</f>
        <v>0.05</v>
      </c>
      <c r="F248" s="126">
        <f>$F$242*E248*D248</f>
        <v>4579.1208285910989</v>
      </c>
      <c r="G248" s="126">
        <f>$G$242*E248*D248</f>
        <v>10057.820111781373</v>
      </c>
      <c r="AT248" s="160"/>
      <c r="AU248" s="160"/>
    </row>
    <row r="249" spans="1:55" s="20" customFormat="1" ht="13.5" thickBot="1" x14ac:dyDescent="0.25">
      <c r="A249" s="225"/>
      <c r="B249" s="250" t="s">
        <v>291</v>
      </c>
      <c r="C249" s="251"/>
      <c r="D249" s="126"/>
      <c r="E249" s="190"/>
      <c r="F249" s="126">
        <f>F247+F248</f>
        <v>10186.207557478159</v>
      </c>
      <c r="G249" s="126">
        <f>G247+G248</f>
        <v>22373.518207840199</v>
      </c>
      <c r="AT249" s="160"/>
      <c r="AU249" s="160"/>
    </row>
    <row r="250" spans="1:55" s="20" customFormat="1" ht="13.5" thickBot="1" x14ac:dyDescent="0.25">
      <c r="A250" s="225"/>
      <c r="B250" s="250" t="s">
        <v>292</v>
      </c>
      <c r="C250" s="251"/>
      <c r="D250" s="251"/>
      <c r="E250" s="251"/>
      <c r="F250" s="252">
        <f>F246</f>
        <v>29437.205326657055</v>
      </c>
      <c r="G250" s="252">
        <f>G246</f>
        <v>64657.415004308816</v>
      </c>
      <c r="AT250" s="160"/>
      <c r="AU250" s="160"/>
    </row>
    <row r="251" spans="1:55" s="20" customFormat="1" ht="13.5" thickBot="1" x14ac:dyDescent="0.25">
      <c r="A251" s="225"/>
      <c r="B251" s="250" t="s">
        <v>293</v>
      </c>
      <c r="C251" s="251"/>
      <c r="D251" s="253">
        <v>0.03</v>
      </c>
      <c r="E251" s="88">
        <v>0.6</v>
      </c>
      <c r="F251" s="126">
        <f>($F$250*E251*D251)*-1</f>
        <v>-529.86969587982696</v>
      </c>
      <c r="G251" s="126">
        <f>($G$250*E251*D251)*-1</f>
        <v>-1163.8334700775586</v>
      </c>
      <c r="AT251" s="160"/>
      <c r="AU251" s="160"/>
    </row>
    <row r="252" spans="1:55" s="20" customFormat="1" ht="13.5" thickBot="1" x14ac:dyDescent="0.25">
      <c r="A252" s="225"/>
      <c r="B252" s="250" t="s">
        <v>294</v>
      </c>
      <c r="C252" s="251"/>
      <c r="D252" s="251"/>
      <c r="E252" s="251"/>
      <c r="F252" s="252">
        <f>F249+F250-F251</f>
        <v>40153.282580015039</v>
      </c>
      <c r="G252" s="252">
        <f>G249+G250-G251</f>
        <v>88194.766682226575</v>
      </c>
      <c r="AT252" s="160"/>
      <c r="AU252" s="160"/>
    </row>
    <row r="253" spans="1:55" s="20" customFormat="1" ht="13.5" thickBot="1" x14ac:dyDescent="0.25">
      <c r="A253" s="225"/>
      <c r="B253" s="250" t="s">
        <v>295</v>
      </c>
      <c r="C253" s="251"/>
      <c r="D253" s="251"/>
      <c r="E253" s="251"/>
      <c r="F253" s="126">
        <f>F252/($F242+0.00000001)</f>
        <v>21.483499999885055</v>
      </c>
      <c r="G253" s="126">
        <f>G252/($G$242+0.000000001)</f>
        <v>21.483499999994763</v>
      </c>
      <c r="K253" s="372"/>
      <c r="L253" s="372"/>
      <c r="M253" s="372"/>
      <c r="AT253" s="160"/>
      <c r="AU253" s="160"/>
    </row>
    <row r="254" spans="1:55" s="20" customFormat="1" ht="13.5" thickBot="1" x14ac:dyDescent="0.25">
      <c r="A254" s="225"/>
      <c r="B254" s="250" t="s">
        <v>71</v>
      </c>
      <c r="C254" s="251"/>
      <c r="D254" s="251"/>
      <c r="E254" s="251"/>
      <c r="F254" s="252">
        <f>F252</f>
        <v>40153.282580015039</v>
      </c>
      <c r="G254" s="252">
        <f>G252</f>
        <v>88194.766682226575</v>
      </c>
      <c r="K254" s="372"/>
      <c r="L254" s="372"/>
      <c r="M254" s="372"/>
      <c r="AT254" s="160"/>
      <c r="AU254" s="160"/>
    </row>
    <row r="255" spans="1:55" s="254" customFormat="1" ht="15.75" thickBot="1" x14ac:dyDescent="0.25">
      <c r="A255" s="20"/>
      <c r="B255" s="406" t="s">
        <v>74</v>
      </c>
      <c r="C255" s="407"/>
      <c r="D255" s="407"/>
      <c r="E255" s="407"/>
      <c r="F255" s="407"/>
      <c r="G255" s="408"/>
      <c r="K255" s="372"/>
      <c r="L255" s="372"/>
      <c r="M255" s="372"/>
      <c r="V255" s="255"/>
      <c r="W255" s="255"/>
      <c r="X255" s="255"/>
      <c r="Y255" s="255"/>
      <c r="Z255" s="255"/>
      <c r="AA255" s="255"/>
      <c r="AB255" s="255"/>
      <c r="AC255" s="255"/>
      <c r="AD255" s="255"/>
      <c r="AE255" s="255"/>
      <c r="AF255" s="255"/>
      <c r="AG255" s="255"/>
      <c r="AH255" s="255"/>
      <c r="AI255" s="255"/>
      <c r="AJ255" s="255"/>
      <c r="AK255" s="255"/>
      <c r="AL255" s="255"/>
      <c r="AM255" s="255"/>
      <c r="AN255" s="255"/>
      <c r="AO255" s="255"/>
      <c r="AP255" s="255"/>
      <c r="AQ255" s="255"/>
      <c r="AR255" s="255"/>
      <c r="AS255" s="255"/>
      <c r="AT255" s="256"/>
      <c r="AU255" s="256"/>
      <c r="AV255" s="255"/>
      <c r="AW255" s="255"/>
      <c r="AX255" s="255"/>
      <c r="AY255" s="255"/>
      <c r="AZ255" s="255"/>
      <c r="BA255" s="255"/>
      <c r="BB255" s="255"/>
      <c r="BC255" s="255"/>
    </row>
    <row r="256" spans="1:55" s="20" customFormat="1" ht="13.5" thickBot="1" x14ac:dyDescent="0.25">
      <c r="A256" s="225"/>
      <c r="B256" s="250" t="s">
        <v>75</v>
      </c>
      <c r="C256" s="251"/>
      <c r="D256" s="251"/>
      <c r="E256" s="257" t="s">
        <v>76</v>
      </c>
      <c r="F256" s="235" t="s">
        <v>191</v>
      </c>
      <c r="G256" s="235" t="s">
        <v>181</v>
      </c>
      <c r="K256" s="372"/>
      <c r="L256" s="372"/>
      <c r="M256" s="372"/>
      <c r="AT256" s="160"/>
      <c r="AU256" s="160"/>
    </row>
    <row r="257" spans="1:47" s="20" customFormat="1" ht="13.5" thickBot="1" x14ac:dyDescent="0.25">
      <c r="A257" s="225"/>
      <c r="B257" s="250" t="s">
        <v>200</v>
      </c>
      <c r="C257" s="251"/>
      <c r="D257" s="251"/>
      <c r="E257" s="258">
        <f>+F257/F254</f>
        <v>0.45585314135961097</v>
      </c>
      <c r="F257" s="252">
        <f>(G25*G32)*52/12</f>
        <v>18304</v>
      </c>
      <c r="G257" s="259">
        <f>(G25*G32)*52/12</f>
        <v>18304</v>
      </c>
      <c r="K257" s="372"/>
      <c r="L257" s="372"/>
      <c r="M257" s="372"/>
      <c r="AT257" s="160"/>
      <c r="AU257" s="160"/>
    </row>
    <row r="258" spans="1:47" s="20" customFormat="1" ht="13.5" thickBot="1" x14ac:dyDescent="0.25">
      <c r="A258" s="225"/>
      <c r="B258" s="250" t="s">
        <v>233</v>
      </c>
      <c r="C258" s="251"/>
      <c r="D258" s="251"/>
      <c r="E258" s="258">
        <f>K259/G254</f>
        <v>3.2652966229897364E-2</v>
      </c>
      <c r="F258" s="252">
        <f>E258*$F$252</f>
        <v>1311.1237801047571</v>
      </c>
      <c r="G258" s="252">
        <f>K259</f>
        <v>2879.8207381284215</v>
      </c>
      <c r="K258" s="372"/>
      <c r="L258" s="372"/>
      <c r="M258" s="372"/>
      <c r="AT258" s="160"/>
      <c r="AU258" s="160"/>
    </row>
    <row r="259" spans="1:47" s="20" customFormat="1" ht="13.5" thickBot="1" x14ac:dyDescent="0.25">
      <c r="A259" s="225"/>
      <c r="B259" s="250" t="s">
        <v>285</v>
      </c>
      <c r="C259" s="251"/>
      <c r="D259" s="251"/>
      <c r="E259" s="260">
        <v>0.06</v>
      </c>
      <c r="F259" s="252">
        <f>E259*$F$252</f>
        <v>2409.1969548009024</v>
      </c>
      <c r="G259" s="252">
        <f>E259*$G$252</f>
        <v>5291.6860009335942</v>
      </c>
      <c r="K259" s="371">
        <f>(G242*$G$39*C$62)+(G242*$G$40*C$63)+(G242*$G$41*C$64)+(G242*$G$42*C$65)+(G242*$G$43*C$66)</f>
        <v>2879.8207381284215</v>
      </c>
      <c r="L259" s="372"/>
      <c r="M259" s="372"/>
      <c r="AT259" s="160"/>
      <c r="AU259" s="160"/>
    </row>
    <row r="260" spans="1:47" s="20" customFormat="1" ht="13.5" thickBot="1" x14ac:dyDescent="0.25">
      <c r="A260" s="225"/>
      <c r="B260" s="250" t="s">
        <v>72</v>
      </c>
      <c r="C260" s="251"/>
      <c r="D260" s="251"/>
      <c r="E260" s="260">
        <v>0.03</v>
      </c>
      <c r="F260" s="252">
        <f>E260*$F$254</f>
        <v>1204.5984774004512</v>
      </c>
      <c r="G260" s="252">
        <f>E260*$G$254</f>
        <v>2645.8430004667971</v>
      </c>
      <c r="K260" s="370"/>
      <c r="L260" s="372"/>
      <c r="M260" s="372"/>
      <c r="AT260" s="160"/>
      <c r="AU260" s="160"/>
    </row>
    <row r="261" spans="1:47" s="20" customFormat="1" ht="13.5" thickBot="1" x14ac:dyDescent="0.25">
      <c r="A261" s="225"/>
      <c r="B261" s="250" t="s">
        <v>78</v>
      </c>
      <c r="C261" s="251"/>
      <c r="D261" s="251"/>
      <c r="E261" s="260">
        <v>0.01</v>
      </c>
      <c r="F261" s="252">
        <f>E261*$F$254</f>
        <v>401.53282580015042</v>
      </c>
      <c r="G261" s="252">
        <f>E261*$G$254</f>
        <v>881.94766682226577</v>
      </c>
      <c r="K261" s="370"/>
      <c r="L261" s="372"/>
      <c r="M261" s="372"/>
      <c r="AT261" s="160"/>
      <c r="AU261" s="160"/>
    </row>
    <row r="262" spans="1:47" s="20" customFormat="1" ht="13.5" thickBot="1" x14ac:dyDescent="0.25">
      <c r="A262" s="225"/>
      <c r="B262" s="250" t="s">
        <v>83</v>
      </c>
      <c r="C262" s="251"/>
      <c r="D262" s="251"/>
      <c r="E262" s="260">
        <v>0.01</v>
      </c>
      <c r="F262" s="252">
        <f>E262*$F$254</f>
        <v>401.53282580015042</v>
      </c>
      <c r="G262" s="252">
        <f>E262*$G$254</f>
        <v>881.94766682226577</v>
      </c>
      <c r="J262" s="335"/>
      <c r="K262" s="370"/>
      <c r="L262" s="372"/>
      <c r="M262" s="372"/>
      <c r="AT262" s="160"/>
      <c r="AU262" s="160"/>
    </row>
    <row r="263" spans="1:47" s="20" customFormat="1" ht="13.5" thickBot="1" x14ac:dyDescent="0.25">
      <c r="A263" s="225"/>
      <c r="B263" s="250" t="s">
        <v>79</v>
      </c>
      <c r="C263" s="251"/>
      <c r="D263" s="251"/>
      <c r="E263" s="260">
        <v>0.01</v>
      </c>
      <c r="F263" s="252">
        <f>E263*$F$254</f>
        <v>401.53282580015042</v>
      </c>
      <c r="G263" s="259">
        <f>E263*$G$254</f>
        <v>881.94766682226577</v>
      </c>
      <c r="J263" s="335"/>
      <c r="K263" s="370"/>
      <c r="L263" s="372"/>
      <c r="M263" s="372"/>
      <c r="AT263" s="160"/>
      <c r="AU263" s="160"/>
    </row>
    <row r="264" spans="1:47" s="20" customFormat="1" ht="13.5" thickBot="1" x14ac:dyDescent="0.25">
      <c r="A264" s="225"/>
      <c r="B264" s="250" t="s">
        <v>199</v>
      </c>
      <c r="C264" s="251"/>
      <c r="D264" s="251"/>
      <c r="E264" s="258">
        <f>+F264/F254</f>
        <v>0.29423248215029441</v>
      </c>
      <c r="F264" s="126">
        <f>((G18*G30)+(G22*G31))*52/12</f>
        <v>11814.400000000001</v>
      </c>
      <c r="G264" s="262">
        <f>((G18*G30)+(G22*G31))*52/12</f>
        <v>11814.400000000001</v>
      </c>
      <c r="J264" s="335"/>
      <c r="K264" s="402">
        <f>SUM(E258:E263)</f>
        <v>0.15265296622989738</v>
      </c>
      <c r="L264" s="372"/>
      <c r="M264" s="372"/>
      <c r="AT264" s="160"/>
      <c r="AU264" s="160"/>
    </row>
    <row r="265" spans="1:47" s="20" customFormat="1" ht="13.5" customHeight="1" thickBot="1" x14ac:dyDescent="0.25">
      <c r="A265" s="225"/>
      <c r="B265" s="250" t="s">
        <v>123</v>
      </c>
      <c r="C265" s="251"/>
      <c r="D265" s="251"/>
      <c r="E265" s="260">
        <v>0</v>
      </c>
      <c r="F265" s="252">
        <f t="shared" ref="F265:F270" si="8">E265*$F$254</f>
        <v>0</v>
      </c>
      <c r="G265" s="252">
        <f t="shared" ref="G265:G270" si="9">E265*$G$254</f>
        <v>0</v>
      </c>
      <c r="J265" s="335"/>
      <c r="K265" s="398">
        <f>SUM(E265:E267)+E270</f>
        <v>3.5000000000000003E-2</v>
      </c>
      <c r="L265" s="372"/>
      <c r="M265" s="372"/>
      <c r="AT265" s="160"/>
      <c r="AU265" s="160"/>
    </row>
    <row r="266" spans="1:47" s="20" customFormat="1" ht="13.5" thickBot="1" x14ac:dyDescent="0.25">
      <c r="A266" s="225"/>
      <c r="B266" s="250" t="s">
        <v>80</v>
      </c>
      <c r="C266" s="251"/>
      <c r="D266" s="251"/>
      <c r="E266" s="260">
        <v>0.01</v>
      </c>
      <c r="F266" s="252">
        <f t="shared" si="8"/>
        <v>401.53282580015042</v>
      </c>
      <c r="G266" s="252">
        <f t="shared" si="9"/>
        <v>881.94766682226577</v>
      </c>
      <c r="H266" s="335"/>
      <c r="I266" s="335"/>
      <c r="J266" s="335" t="s">
        <v>201</v>
      </c>
      <c r="K266" s="398">
        <f>SUM(K264:K265)</f>
        <v>0.18765296622989738</v>
      </c>
      <c r="L266" s="372"/>
      <c r="M266" s="372"/>
      <c r="AT266" s="160"/>
      <c r="AU266" s="160"/>
    </row>
    <row r="267" spans="1:47" s="20" customFormat="1" ht="13.5" thickBot="1" x14ac:dyDescent="0.25">
      <c r="A267" s="225"/>
      <c r="B267" s="250" t="s">
        <v>306</v>
      </c>
      <c r="C267" s="251"/>
      <c r="D267" s="251"/>
      <c r="E267" s="260">
        <v>1.4999999999999999E-2</v>
      </c>
      <c r="F267" s="252">
        <f t="shared" si="8"/>
        <v>602.2992387002256</v>
      </c>
      <c r="G267" s="252">
        <f t="shared" si="9"/>
        <v>1322.9215002333985</v>
      </c>
      <c r="H267" s="335"/>
      <c r="I267" s="335"/>
      <c r="J267" s="335"/>
      <c r="K267" s="370"/>
      <c r="L267" s="372"/>
      <c r="M267" s="372"/>
      <c r="AS267" s="160"/>
      <c r="AT267" s="160"/>
    </row>
    <row r="268" spans="1:47" s="20" customFormat="1" ht="13.5" thickBot="1" x14ac:dyDescent="0.25">
      <c r="A268" s="225"/>
      <c r="B268" s="250" t="s">
        <v>73</v>
      </c>
      <c r="C268" s="251"/>
      <c r="D268" s="251"/>
      <c r="E268" s="263">
        <f>+F268/F254</f>
        <v>4.9809128207999452E-2</v>
      </c>
      <c r="F268" s="264">
        <v>2000</v>
      </c>
      <c r="G268" s="259">
        <f>F268</f>
        <v>2000</v>
      </c>
      <c r="H268" s="336">
        <f>+F268/F254</f>
        <v>4.9809128207999452E-2</v>
      </c>
      <c r="I268" s="335"/>
      <c r="J268" s="335" t="s">
        <v>202</v>
      </c>
      <c r="K268" s="371">
        <f>(G257+G264)+G301+G309+G268+G269</f>
        <v>32618.400000000001</v>
      </c>
      <c r="L268" s="372"/>
      <c r="M268" s="372"/>
      <c r="AS268" s="160"/>
      <c r="AT268" s="160"/>
    </row>
    <row r="269" spans="1:47" s="20" customFormat="1" ht="13.5" thickBot="1" x14ac:dyDescent="0.25">
      <c r="A269" s="225"/>
      <c r="B269" s="250" t="s">
        <v>81</v>
      </c>
      <c r="C269" s="251"/>
      <c r="D269" s="251"/>
      <c r="E269" s="263">
        <f>+F269/F254</f>
        <v>1.2452282051999863E-2</v>
      </c>
      <c r="F269" s="264">
        <v>500</v>
      </c>
      <c r="G269" s="259">
        <f>F269</f>
        <v>500</v>
      </c>
      <c r="H269" s="335"/>
      <c r="I269" s="335"/>
      <c r="J269" s="335"/>
      <c r="K269" s="370"/>
      <c r="L269" s="372"/>
      <c r="M269" s="372"/>
      <c r="AS269" s="160"/>
      <c r="AT269" s="160"/>
    </row>
    <row r="270" spans="1:47" s="20" customFormat="1" ht="13.5" thickBot="1" x14ac:dyDescent="0.25">
      <c r="A270" s="225"/>
      <c r="B270" s="250" t="s">
        <v>82</v>
      </c>
      <c r="C270" s="251"/>
      <c r="D270" s="251"/>
      <c r="E270" s="260">
        <v>0.01</v>
      </c>
      <c r="F270" s="252">
        <f t="shared" si="8"/>
        <v>401.53282580015042</v>
      </c>
      <c r="G270" s="252">
        <f t="shared" si="9"/>
        <v>881.94766682226577</v>
      </c>
      <c r="H270" s="335"/>
      <c r="I270" s="335"/>
      <c r="J270" s="335" t="s">
        <v>203</v>
      </c>
      <c r="K270" s="371">
        <f>G253</f>
        <v>21.483499999994763</v>
      </c>
      <c r="L270" s="372"/>
      <c r="M270" s="372"/>
      <c r="AS270" s="160"/>
      <c r="AT270" s="160"/>
    </row>
    <row r="271" spans="1:47" s="20" customFormat="1" ht="13.5" thickBot="1" x14ac:dyDescent="0.25">
      <c r="A271" s="225"/>
      <c r="B271" s="250" t="s">
        <v>84</v>
      </c>
      <c r="C271" s="251"/>
      <c r="D271" s="251"/>
      <c r="E271" s="265"/>
      <c r="F271" s="252">
        <f>SUM(F257:F270)</f>
        <v>40153.282580007093</v>
      </c>
      <c r="G271" s="252">
        <f>SUM(G257:G270)</f>
        <v>49168.409573873534</v>
      </c>
      <c r="K271" s="372"/>
      <c r="L271" s="372"/>
      <c r="M271" s="372"/>
      <c r="AS271" s="160"/>
      <c r="AT271" s="160"/>
    </row>
    <row r="272" spans="1:47" s="20" customFormat="1" x14ac:dyDescent="0.2">
      <c r="A272" s="225"/>
      <c r="B272" s="232"/>
      <c r="C272" s="233"/>
      <c r="D272" s="233"/>
      <c r="E272" s="233"/>
      <c r="F272" s="266"/>
      <c r="G272" s="266"/>
      <c r="J272" s="261"/>
      <c r="K272" s="372"/>
      <c r="L272" s="372"/>
      <c r="M272" s="372"/>
      <c r="AS272" s="160"/>
      <c r="AT272" s="160"/>
    </row>
    <row r="273" spans="1:256" s="20" customFormat="1" ht="13.5" thickBot="1" x14ac:dyDescent="0.25">
      <c r="A273" s="225"/>
      <c r="B273" s="236" t="s">
        <v>193</v>
      </c>
      <c r="C273" s="237"/>
      <c r="D273" s="237"/>
      <c r="E273" s="237"/>
      <c r="F273" s="267">
        <f>F254-F271</f>
        <v>7.9453457146883011E-9</v>
      </c>
      <c r="G273" s="267">
        <f>G254-G271</f>
        <v>39026.357108353041</v>
      </c>
      <c r="K273" s="372"/>
      <c r="L273" s="372"/>
      <c r="M273" s="372"/>
      <c r="AT273" s="160"/>
      <c r="AU273" s="160"/>
    </row>
    <row r="274" spans="1:256" s="20" customFormat="1" x14ac:dyDescent="0.2">
      <c r="A274" s="225"/>
      <c r="B274" s="268"/>
      <c r="C274" s="268"/>
      <c r="D274" s="268"/>
      <c r="E274" s="268"/>
      <c r="F274" s="269"/>
      <c r="G274" s="269"/>
      <c r="K274" s="372"/>
      <c r="L274" s="372"/>
      <c r="M274" s="372"/>
      <c r="AT274" s="160"/>
      <c r="AU274" s="160"/>
    </row>
    <row r="275" spans="1:256" s="20" customFormat="1" x14ac:dyDescent="0.2">
      <c r="A275" s="225"/>
      <c r="B275" s="268"/>
      <c r="C275" s="268"/>
      <c r="D275" s="268"/>
      <c r="E275" s="268"/>
      <c r="F275" s="269"/>
      <c r="G275" s="269"/>
      <c r="K275" s="372"/>
      <c r="L275" s="372"/>
      <c r="M275" s="372"/>
      <c r="AT275" s="160"/>
      <c r="AU275" s="160"/>
    </row>
    <row r="276" spans="1:256" s="20" customFormat="1" x14ac:dyDescent="0.2">
      <c r="A276" s="225"/>
      <c r="B276" s="225"/>
      <c r="C276" s="225"/>
      <c r="D276" s="225"/>
      <c r="E276" s="225"/>
      <c r="F276" s="225"/>
      <c r="G276" s="225"/>
      <c r="AT276" s="160"/>
      <c r="AU276" s="160"/>
    </row>
    <row r="277" spans="1:256" s="55" customFormat="1" ht="18" x14ac:dyDescent="0.25">
      <c r="A277" s="226"/>
      <c r="B277" s="420" t="s">
        <v>302</v>
      </c>
      <c r="C277" s="420"/>
      <c r="D277" s="420"/>
      <c r="E277" s="420"/>
      <c r="F277" s="420"/>
      <c r="G277" s="420"/>
      <c r="AT277" s="162"/>
      <c r="AU277" s="162"/>
      <c r="BD277" s="56"/>
      <c r="BE277" s="56"/>
      <c r="BF277" s="56"/>
      <c r="BG277" s="56"/>
      <c r="BH277" s="56"/>
      <c r="BI277" s="56"/>
      <c r="BJ277" s="56"/>
      <c r="BK277" s="56"/>
      <c r="BL277" s="56"/>
      <c r="BM277" s="56"/>
      <c r="BN277" s="56"/>
      <c r="BO277" s="56"/>
      <c r="BP277" s="56"/>
      <c r="BQ277" s="56"/>
      <c r="BR277" s="56"/>
      <c r="BS277" s="56"/>
      <c r="BT277" s="56"/>
      <c r="BU277" s="56"/>
      <c r="BV277" s="56"/>
      <c r="BW277" s="56"/>
      <c r="BX277" s="56"/>
      <c r="BY277" s="56"/>
      <c r="BZ277" s="56"/>
      <c r="CA277" s="56"/>
      <c r="CB277" s="56"/>
      <c r="CC277" s="56"/>
      <c r="CD277" s="56"/>
      <c r="CE277" s="56"/>
      <c r="CF277" s="56"/>
      <c r="CG277" s="56"/>
      <c r="CH277" s="56"/>
      <c r="CI277" s="56"/>
      <c r="CJ277" s="56"/>
      <c r="CK277" s="56"/>
      <c r="CL277" s="56"/>
      <c r="CM277" s="56"/>
      <c r="CN277" s="56"/>
      <c r="CO277" s="56"/>
      <c r="CP277" s="56"/>
      <c r="CQ277" s="56"/>
      <c r="CR277" s="56"/>
      <c r="CS277" s="56"/>
      <c r="CT277" s="56"/>
      <c r="CU277" s="56"/>
      <c r="CV277" s="56"/>
      <c r="CW277" s="56"/>
      <c r="CX277" s="56"/>
      <c r="CY277" s="56"/>
      <c r="CZ277" s="56"/>
      <c r="DA277" s="56"/>
      <c r="DB277" s="56"/>
      <c r="DC277" s="56"/>
      <c r="DD277" s="56"/>
      <c r="DE277" s="56"/>
      <c r="DF277" s="56"/>
      <c r="DG277" s="56"/>
      <c r="DH277" s="56"/>
      <c r="DI277" s="56"/>
      <c r="DJ277" s="56"/>
      <c r="DK277" s="56"/>
      <c r="DL277" s="56"/>
      <c r="DM277" s="56"/>
      <c r="DN277" s="56"/>
      <c r="DO277" s="56"/>
      <c r="DP277" s="56"/>
      <c r="DQ277" s="56"/>
      <c r="DR277" s="56"/>
      <c r="DS277" s="56"/>
      <c r="DT277" s="56"/>
      <c r="DU277" s="56"/>
      <c r="DV277" s="56"/>
      <c r="DW277" s="56"/>
      <c r="DX277" s="56"/>
      <c r="DY277" s="56"/>
      <c r="DZ277" s="56"/>
      <c r="EA277" s="56"/>
      <c r="EB277" s="56"/>
      <c r="EC277" s="56"/>
      <c r="ED277" s="56"/>
      <c r="EE277" s="56"/>
      <c r="EF277" s="56"/>
      <c r="EG277" s="56"/>
      <c r="EH277" s="56"/>
      <c r="EI277" s="56"/>
      <c r="EJ277" s="56"/>
      <c r="EK277" s="56"/>
      <c r="EL277" s="56"/>
      <c r="EM277" s="56"/>
      <c r="EN277" s="56"/>
      <c r="EO277" s="56"/>
      <c r="EP277" s="56"/>
      <c r="EQ277" s="56"/>
      <c r="ER277" s="56"/>
      <c r="ES277" s="56"/>
      <c r="ET277" s="56"/>
      <c r="EU277" s="56"/>
      <c r="EV277" s="56"/>
      <c r="EW277" s="56"/>
      <c r="EX277" s="56"/>
      <c r="EY277" s="56"/>
      <c r="EZ277" s="56"/>
      <c r="FA277" s="56"/>
      <c r="FB277" s="56"/>
      <c r="FC277" s="56"/>
      <c r="FD277" s="56"/>
      <c r="FE277" s="56"/>
      <c r="FF277" s="56"/>
      <c r="FG277" s="56"/>
      <c r="FH277" s="56"/>
      <c r="FI277" s="56"/>
      <c r="FJ277" s="56"/>
      <c r="FK277" s="56"/>
      <c r="FL277" s="56"/>
      <c r="FM277" s="56"/>
      <c r="FN277" s="56"/>
      <c r="FO277" s="56"/>
      <c r="FP277" s="56"/>
      <c r="FQ277" s="56"/>
      <c r="FR277" s="56"/>
      <c r="FS277" s="56"/>
      <c r="FT277" s="56"/>
      <c r="FU277" s="56"/>
      <c r="FV277" s="56"/>
      <c r="FW277" s="56"/>
      <c r="FX277" s="56"/>
      <c r="FY277" s="56"/>
      <c r="FZ277" s="56"/>
      <c r="GA277" s="56"/>
      <c r="GB277" s="56"/>
      <c r="GC277" s="56"/>
      <c r="GD277" s="56"/>
      <c r="GE277" s="56"/>
      <c r="GF277" s="56"/>
      <c r="GG277" s="56"/>
      <c r="GH277" s="56"/>
      <c r="GI277" s="56"/>
      <c r="GJ277" s="56"/>
      <c r="GK277" s="56"/>
      <c r="GL277" s="56"/>
      <c r="GM277" s="56"/>
      <c r="GN277" s="56"/>
      <c r="GO277" s="56"/>
      <c r="GP277" s="56"/>
      <c r="GQ277" s="56"/>
      <c r="GR277" s="56"/>
      <c r="GS277" s="56"/>
      <c r="GT277" s="56"/>
      <c r="GU277" s="56"/>
      <c r="GV277" s="56"/>
      <c r="GW277" s="56"/>
      <c r="GX277" s="56"/>
      <c r="GY277" s="56"/>
      <c r="GZ277" s="56"/>
      <c r="HA277" s="56"/>
      <c r="HB277" s="56"/>
      <c r="HC277" s="56"/>
      <c r="HD277" s="56"/>
      <c r="HE277" s="56"/>
      <c r="HF277" s="56"/>
      <c r="HG277" s="56"/>
      <c r="HH277" s="56"/>
      <c r="HI277" s="56"/>
      <c r="HJ277" s="56"/>
      <c r="HK277" s="56"/>
      <c r="HL277" s="56"/>
      <c r="HM277" s="56"/>
      <c r="HN277" s="56"/>
      <c r="HO277" s="56"/>
      <c r="HP277" s="56"/>
      <c r="HQ277" s="56"/>
      <c r="HR277" s="56"/>
      <c r="HS277" s="56"/>
      <c r="HT277" s="56"/>
      <c r="HU277" s="56"/>
      <c r="HV277" s="56"/>
      <c r="HW277" s="56"/>
      <c r="HX277" s="56"/>
      <c r="HY277" s="56"/>
      <c r="HZ277" s="56"/>
      <c r="IA277" s="56"/>
      <c r="IB277" s="56"/>
      <c r="IC277" s="56"/>
      <c r="ID277" s="56"/>
      <c r="IE277" s="56"/>
      <c r="IF277" s="56"/>
      <c r="IG277" s="56"/>
      <c r="IH277" s="56"/>
      <c r="II277" s="56"/>
      <c r="IJ277" s="56"/>
      <c r="IK277" s="56"/>
      <c r="IL277" s="56"/>
      <c r="IM277" s="56"/>
      <c r="IN277" s="56"/>
      <c r="IO277" s="56"/>
      <c r="IP277" s="56"/>
      <c r="IQ277" s="56"/>
      <c r="IR277" s="56"/>
      <c r="IS277" s="56"/>
      <c r="IT277" s="56"/>
      <c r="IU277" s="56"/>
      <c r="IV277" s="56"/>
    </row>
    <row r="278" spans="1:256" s="20" customFormat="1" ht="18.75" thickBot="1" x14ac:dyDescent="0.3">
      <c r="A278" s="225"/>
      <c r="B278" s="226"/>
      <c r="C278" s="227"/>
      <c r="D278" s="227"/>
      <c r="E278" s="227"/>
      <c r="F278" s="227"/>
      <c r="G278" s="227"/>
      <c r="AT278" s="160"/>
      <c r="AU278" s="160"/>
    </row>
    <row r="279" spans="1:256" s="20" customFormat="1" x14ac:dyDescent="0.2">
      <c r="A279" s="225"/>
      <c r="B279" s="228" t="s">
        <v>0</v>
      </c>
      <c r="C279" s="417" t="str">
        <f>CUSTOMERNAME</f>
        <v>Evergreen Car Wash</v>
      </c>
      <c r="D279" s="418"/>
      <c r="E279" s="419"/>
      <c r="F279" s="225"/>
      <c r="G279" s="225"/>
      <c r="AT279" s="160"/>
      <c r="AU279" s="160"/>
    </row>
    <row r="280" spans="1:256" s="20" customFormat="1" ht="13.5" thickBot="1" x14ac:dyDescent="0.25">
      <c r="A280" s="225"/>
      <c r="B280" s="228" t="s">
        <v>1</v>
      </c>
      <c r="C280" s="409" t="str">
        <f>ADDRESS</f>
        <v>29002 Crossroads Ln., Evergreen, CO 80439</v>
      </c>
      <c r="D280" s="410"/>
      <c r="E280" s="411"/>
      <c r="F280" s="225"/>
      <c r="G280" s="225"/>
      <c r="AT280" s="160"/>
      <c r="AU280" s="160"/>
    </row>
    <row r="281" spans="1:256" s="20" customFormat="1" x14ac:dyDescent="0.2">
      <c r="A281" s="225"/>
      <c r="B281" s="225"/>
      <c r="C281" s="225"/>
      <c r="D281" s="225"/>
      <c r="E281" s="225"/>
      <c r="F281" s="225"/>
      <c r="G281" s="229" t="s">
        <v>205</v>
      </c>
      <c r="AT281" s="160"/>
      <c r="AU281" s="160"/>
    </row>
    <row r="282" spans="1:256" s="230" customFormat="1" ht="19.5" x14ac:dyDescent="0.25">
      <c r="A282" s="412" t="s">
        <v>192</v>
      </c>
      <c r="B282" s="412"/>
      <c r="C282" s="412"/>
      <c r="D282" s="412"/>
      <c r="E282" s="412"/>
      <c r="F282" s="412"/>
      <c r="G282" s="412"/>
      <c r="K282" s="270"/>
      <c r="AT282" s="231"/>
      <c r="AU282" s="231"/>
    </row>
    <row r="283" spans="1:256" s="20" customFormat="1" ht="13.5" thickBot="1" x14ac:dyDescent="0.25">
      <c r="A283" s="225"/>
      <c r="B283" s="271"/>
      <c r="C283" s="271"/>
      <c r="D283" s="271"/>
      <c r="E283" s="271"/>
      <c r="F283" s="271"/>
      <c r="G283" s="225"/>
      <c r="AT283" s="160"/>
      <c r="AU283" s="160"/>
    </row>
    <row r="284" spans="1:256" s="20" customFormat="1" x14ac:dyDescent="0.2">
      <c r="A284" s="225"/>
      <c r="B284" s="245" t="s">
        <v>87</v>
      </c>
      <c r="C284" s="246" t="s">
        <v>90</v>
      </c>
      <c r="D284" s="246" t="s">
        <v>86</v>
      </c>
      <c r="E284" s="246" t="s">
        <v>88</v>
      </c>
      <c r="F284" s="246" t="s">
        <v>92</v>
      </c>
      <c r="G284" s="246" t="s">
        <v>93</v>
      </c>
      <c r="AT284" s="160"/>
      <c r="AU284" s="160"/>
    </row>
    <row r="285" spans="1:256" s="20" customFormat="1" ht="13.5" thickBot="1" x14ac:dyDescent="0.25">
      <c r="A285" s="225"/>
      <c r="B285" s="247" t="s">
        <v>91</v>
      </c>
      <c r="C285" s="249" t="s">
        <v>87</v>
      </c>
      <c r="D285" s="249" t="s">
        <v>87</v>
      </c>
      <c r="E285" s="249" t="s">
        <v>89</v>
      </c>
      <c r="F285" s="249" t="s">
        <v>87</v>
      </c>
      <c r="G285" s="249" t="s">
        <v>90</v>
      </c>
      <c r="AT285" s="160"/>
      <c r="AU285" s="160"/>
    </row>
    <row r="286" spans="1:256" s="55" customFormat="1" ht="13.5" thickBot="1" x14ac:dyDescent="0.25">
      <c r="A286" s="225"/>
      <c r="B286" s="272" t="s">
        <v>94</v>
      </c>
      <c r="C286" s="273">
        <f t="shared" ref="C286:D290" si="10">C151</f>
        <v>0</v>
      </c>
      <c r="D286" s="190">
        <f t="shared" si="10"/>
        <v>0.2</v>
      </c>
      <c r="E286" s="190">
        <f>1-D286</f>
        <v>0.8</v>
      </c>
      <c r="F286" s="273">
        <f>D286*C286</f>
        <v>0</v>
      </c>
      <c r="G286" s="273">
        <f>E286*C286</f>
        <v>0</v>
      </c>
      <c r="AT286" s="162"/>
      <c r="AU286" s="162"/>
    </row>
    <row r="287" spans="1:256" s="55" customFormat="1" ht="13.5" thickBot="1" x14ac:dyDescent="0.25">
      <c r="A287" s="225"/>
      <c r="B287" s="272" t="s">
        <v>95</v>
      </c>
      <c r="C287" s="273">
        <f t="shared" si="10"/>
        <v>0</v>
      </c>
      <c r="D287" s="190">
        <f t="shared" si="10"/>
        <v>0.2</v>
      </c>
      <c r="E287" s="190">
        <f>1-D287</f>
        <v>0.8</v>
      </c>
      <c r="F287" s="273">
        <f>D287*C287</f>
        <v>0</v>
      </c>
      <c r="G287" s="273">
        <f>E287*C287</f>
        <v>0</v>
      </c>
      <c r="AT287" s="162"/>
      <c r="AU287" s="162"/>
    </row>
    <row r="288" spans="1:256" s="55" customFormat="1" ht="13.5" thickBot="1" x14ac:dyDescent="0.25">
      <c r="A288" s="225"/>
      <c r="B288" s="272" t="s">
        <v>9</v>
      </c>
      <c r="C288" s="273">
        <f t="shared" si="10"/>
        <v>0</v>
      </c>
      <c r="D288" s="190">
        <f t="shared" si="10"/>
        <v>0.2</v>
      </c>
      <c r="E288" s="190">
        <f>1-D288</f>
        <v>0.8</v>
      </c>
      <c r="F288" s="273">
        <f>D288*C288</f>
        <v>0</v>
      </c>
      <c r="G288" s="273">
        <f>E288*C288</f>
        <v>0</v>
      </c>
      <c r="AT288" s="162"/>
      <c r="AU288" s="162"/>
    </row>
    <row r="289" spans="1:55" s="55" customFormat="1" ht="13.5" thickBot="1" x14ac:dyDescent="0.25">
      <c r="A289" s="225"/>
      <c r="B289" s="272" t="s">
        <v>96</v>
      </c>
      <c r="C289" s="273">
        <f t="shared" si="10"/>
        <v>0</v>
      </c>
      <c r="D289" s="190">
        <f t="shared" si="10"/>
        <v>0.2</v>
      </c>
      <c r="E289" s="190">
        <f>1-D289</f>
        <v>0.8</v>
      </c>
      <c r="F289" s="273">
        <f>D289*C289</f>
        <v>0</v>
      </c>
      <c r="G289" s="273">
        <f>E289*C289</f>
        <v>0</v>
      </c>
      <c r="AT289" s="162"/>
      <c r="AU289" s="162"/>
    </row>
    <row r="290" spans="1:55" s="55" customFormat="1" ht="13.5" thickBot="1" x14ac:dyDescent="0.25">
      <c r="A290" s="225"/>
      <c r="B290" s="272" t="s">
        <v>97</v>
      </c>
      <c r="C290" s="273">
        <f t="shared" si="10"/>
        <v>0</v>
      </c>
      <c r="D290" s="190">
        <f t="shared" si="10"/>
        <v>0.2</v>
      </c>
      <c r="E290" s="190">
        <f>1-D290</f>
        <v>0.8</v>
      </c>
      <c r="F290" s="273">
        <f>D290*C290</f>
        <v>0</v>
      </c>
      <c r="G290" s="273">
        <f>E290*C290</f>
        <v>0</v>
      </c>
      <c r="AT290" s="162"/>
      <c r="AU290" s="162"/>
    </row>
    <row r="291" spans="1:55" s="55" customFormat="1" ht="13.5" thickBot="1" x14ac:dyDescent="0.25">
      <c r="A291" s="225"/>
      <c r="B291" s="272" t="s">
        <v>98</v>
      </c>
      <c r="C291" s="189">
        <f>SUM(C286:C290)</f>
        <v>0</v>
      </c>
      <c r="D291" s="190" t="e">
        <f>D156</f>
        <v>#DIV/0!</v>
      </c>
      <c r="E291" s="190">
        <f>G291/(C291+0.0000000001)</f>
        <v>0</v>
      </c>
      <c r="F291" s="189">
        <f>SUM(F286:F290)</f>
        <v>0</v>
      </c>
      <c r="G291" s="189">
        <f>SUM(G286:G290)</f>
        <v>0</v>
      </c>
      <c r="AT291" s="162"/>
      <c r="AU291" s="162"/>
    </row>
    <row r="292" spans="1:55" s="20" customFormat="1" x14ac:dyDescent="0.2">
      <c r="A292" s="225"/>
      <c r="B292" s="274"/>
      <c r="C292" s="275"/>
      <c r="D292" s="275"/>
      <c r="E292" s="275"/>
      <c r="F292" s="275"/>
      <c r="G292" s="234"/>
      <c r="J292" s="261"/>
      <c r="AT292" s="160"/>
      <c r="AU292" s="160"/>
    </row>
    <row r="293" spans="1:55" s="55" customFormat="1" ht="13.5" thickBot="1" x14ac:dyDescent="0.25">
      <c r="A293" s="225"/>
      <c r="B293" s="276" t="s">
        <v>99</v>
      </c>
      <c r="C293" s="277"/>
      <c r="D293" s="277"/>
      <c r="E293" s="278"/>
      <c r="F293" s="278"/>
      <c r="G293" s="279"/>
      <c r="AT293" s="162"/>
      <c r="AU293" s="162"/>
    </row>
    <row r="294" spans="1:55" s="20" customFormat="1" x14ac:dyDescent="0.2">
      <c r="A294" s="225"/>
      <c r="B294" s="245" t="s">
        <v>87</v>
      </c>
      <c r="C294" s="246" t="s">
        <v>93</v>
      </c>
      <c r="D294" s="246" t="s">
        <v>100</v>
      </c>
      <c r="E294" s="280" t="s">
        <v>102</v>
      </c>
      <c r="F294" s="246"/>
      <c r="G294" s="246" t="s">
        <v>103</v>
      </c>
      <c r="AT294" s="160"/>
      <c r="AU294" s="160"/>
    </row>
    <row r="295" spans="1:55" s="20" customFormat="1" ht="13.5" thickBot="1" x14ac:dyDescent="0.25">
      <c r="A295" s="225"/>
      <c r="B295" s="247" t="s">
        <v>91</v>
      </c>
      <c r="C295" s="249" t="s">
        <v>90</v>
      </c>
      <c r="D295" s="249" t="s">
        <v>101</v>
      </c>
      <c r="E295" s="281" t="s">
        <v>105</v>
      </c>
      <c r="F295" s="249"/>
      <c r="G295" s="249" t="s">
        <v>104</v>
      </c>
      <c r="AT295" s="160"/>
      <c r="AU295" s="160"/>
    </row>
    <row r="296" spans="1:55" s="20" customFormat="1" ht="13.5" thickBot="1" x14ac:dyDescent="0.25">
      <c r="A296" s="225"/>
      <c r="B296" s="272" t="s">
        <v>94</v>
      </c>
      <c r="C296" s="273">
        <f>G286</f>
        <v>0</v>
      </c>
      <c r="D296" s="190">
        <f t="shared" ref="D296:E300" si="11">D161</f>
        <v>0.06</v>
      </c>
      <c r="E296" s="282">
        <f t="shared" si="11"/>
        <v>240</v>
      </c>
      <c r="F296" s="126"/>
      <c r="G296" s="283">
        <f>PMT(D296/12,(E296+0.00000001),C296)*-1</f>
        <v>0</v>
      </c>
      <c r="AT296" s="160"/>
      <c r="AU296" s="160"/>
    </row>
    <row r="297" spans="1:55" s="20" customFormat="1" ht="20.100000000000001" customHeight="1" thickBot="1" x14ac:dyDescent="0.25">
      <c r="A297" s="225"/>
      <c r="B297" s="272" t="s">
        <v>95</v>
      </c>
      <c r="C297" s="273">
        <f>G287</f>
        <v>0</v>
      </c>
      <c r="D297" s="190">
        <f t="shared" si="11"/>
        <v>0.06</v>
      </c>
      <c r="E297" s="282">
        <f t="shared" si="11"/>
        <v>240</v>
      </c>
      <c r="F297" s="126"/>
      <c r="G297" s="283">
        <f>PMT(D297/12,(E297+0.00000001),C297)*-1</f>
        <v>0</v>
      </c>
      <c r="AT297" s="160"/>
      <c r="AU297" s="160"/>
    </row>
    <row r="298" spans="1:55" s="20" customFormat="1" ht="20.100000000000001" customHeight="1" thickBot="1" x14ac:dyDescent="0.25">
      <c r="A298" s="225"/>
      <c r="B298" s="272" t="s">
        <v>9</v>
      </c>
      <c r="C298" s="273">
        <f>G288</f>
        <v>0</v>
      </c>
      <c r="D298" s="190">
        <f t="shared" si="11"/>
        <v>0.06</v>
      </c>
      <c r="E298" s="282">
        <f t="shared" si="11"/>
        <v>240</v>
      </c>
      <c r="F298" s="126"/>
      <c r="G298" s="283">
        <f>PMT(D298/12,(E298+0.00000001),C298)*-1</f>
        <v>0</v>
      </c>
      <c r="AT298" s="160"/>
      <c r="AU298" s="160"/>
    </row>
    <row r="299" spans="1:55" s="20" customFormat="1" ht="20.100000000000001" customHeight="1" thickBot="1" x14ac:dyDescent="0.25">
      <c r="A299" s="225"/>
      <c r="B299" s="272" t="s">
        <v>96</v>
      </c>
      <c r="C299" s="273">
        <f>G289</f>
        <v>0</v>
      </c>
      <c r="D299" s="190">
        <f t="shared" si="11"/>
        <v>0.06</v>
      </c>
      <c r="E299" s="282">
        <f t="shared" si="11"/>
        <v>240</v>
      </c>
      <c r="F299" s="126"/>
      <c r="G299" s="283">
        <f>PMT(D299/12,(E299+0.00000001),C299)*-1</f>
        <v>0</v>
      </c>
      <c r="AT299" s="160"/>
      <c r="AU299" s="160"/>
    </row>
    <row r="300" spans="1:55" s="20" customFormat="1" ht="20.100000000000001" customHeight="1" thickBot="1" x14ac:dyDescent="0.25">
      <c r="A300" s="225"/>
      <c r="B300" s="272" t="s">
        <v>97</v>
      </c>
      <c r="C300" s="273">
        <f>G290</f>
        <v>0</v>
      </c>
      <c r="D300" s="190">
        <f t="shared" si="11"/>
        <v>0.06</v>
      </c>
      <c r="E300" s="282">
        <f t="shared" si="11"/>
        <v>240</v>
      </c>
      <c r="F300" s="126"/>
      <c r="G300" s="283">
        <f>PMT(D300/12,(E300+0.00000001),C300)*-1</f>
        <v>0</v>
      </c>
      <c r="AT300" s="160"/>
      <c r="AU300" s="160"/>
    </row>
    <row r="301" spans="1:55" s="20" customFormat="1" ht="20.100000000000001" customHeight="1" thickBot="1" x14ac:dyDescent="0.25">
      <c r="A301" s="225"/>
      <c r="B301" s="272" t="s">
        <v>106</v>
      </c>
      <c r="C301" s="189">
        <f>SUM(C296:C300)</f>
        <v>0</v>
      </c>
      <c r="D301" s="190"/>
      <c r="E301" s="282"/>
      <c r="F301" s="252"/>
      <c r="G301" s="252">
        <f>SUM(G296:G300)</f>
        <v>0</v>
      </c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9"/>
      <c r="AU301" s="19"/>
      <c r="AV301" s="18"/>
      <c r="AW301" s="18"/>
      <c r="AX301" s="18"/>
      <c r="AY301" s="18"/>
      <c r="AZ301" s="18"/>
      <c r="BA301" s="18"/>
      <c r="BB301" s="18"/>
      <c r="BC301" s="18"/>
    </row>
    <row r="302" spans="1:55" s="20" customFormat="1" x14ac:dyDescent="0.2">
      <c r="A302" s="225"/>
      <c r="B302" s="274"/>
      <c r="C302" s="275"/>
      <c r="D302" s="275"/>
      <c r="E302" s="275"/>
      <c r="F302" s="275"/>
      <c r="G302" s="234"/>
      <c r="AT302" s="160"/>
      <c r="AU302" s="160"/>
    </row>
    <row r="303" spans="1:55" s="55" customFormat="1" ht="18" customHeight="1" thickBot="1" x14ac:dyDescent="0.25">
      <c r="A303" s="225"/>
      <c r="B303" s="456" t="s">
        <v>107</v>
      </c>
      <c r="C303" s="457"/>
      <c r="D303" s="278"/>
      <c r="E303" s="278"/>
      <c r="F303" s="278"/>
      <c r="G303" s="279"/>
      <c r="AT303" s="162"/>
      <c r="AU303" s="162"/>
    </row>
    <row r="304" spans="1:55" s="20" customFormat="1" x14ac:dyDescent="0.2">
      <c r="A304" s="225"/>
      <c r="B304" s="286"/>
      <c r="C304" s="287"/>
      <c r="D304" s="287"/>
      <c r="E304" s="287"/>
      <c r="F304" s="288"/>
      <c r="G304" s="289" t="s">
        <v>103</v>
      </c>
      <c r="AT304" s="160"/>
      <c r="AU304" s="160"/>
    </row>
    <row r="305" spans="1:47" s="20" customFormat="1" ht="13.5" thickBot="1" x14ac:dyDescent="0.25">
      <c r="A305" s="225"/>
      <c r="B305" s="247" t="s">
        <v>116</v>
      </c>
      <c r="C305" s="290"/>
      <c r="D305" s="290"/>
      <c r="E305" s="291"/>
      <c r="F305" s="248"/>
      <c r="G305" s="249" t="s">
        <v>104</v>
      </c>
      <c r="AT305" s="160"/>
      <c r="AU305" s="160"/>
    </row>
    <row r="306" spans="1:47" s="20" customFormat="1" ht="13.5" thickBot="1" x14ac:dyDescent="0.25">
      <c r="A306" s="225"/>
      <c r="B306" s="250" t="s">
        <v>94</v>
      </c>
      <c r="C306" s="292"/>
      <c r="D306" s="293"/>
      <c r="E306" s="294"/>
      <c r="F306" s="295"/>
      <c r="G306" s="283">
        <f>G171</f>
        <v>0</v>
      </c>
      <c r="AT306" s="160"/>
      <c r="AU306" s="160"/>
    </row>
    <row r="307" spans="1:47" s="20" customFormat="1" ht="13.5" thickBot="1" x14ac:dyDescent="0.25">
      <c r="A307" s="225"/>
      <c r="B307" s="250" t="s">
        <v>95</v>
      </c>
      <c r="C307" s="292"/>
      <c r="D307" s="293"/>
      <c r="E307" s="294"/>
      <c r="F307" s="295"/>
      <c r="G307" s="283">
        <f>G172</f>
        <v>0</v>
      </c>
      <c r="AT307" s="160"/>
      <c r="AU307" s="160"/>
    </row>
    <row r="308" spans="1:47" s="20" customFormat="1" ht="13.5" thickBot="1" x14ac:dyDescent="0.25">
      <c r="A308" s="225"/>
      <c r="B308" s="250" t="s">
        <v>97</v>
      </c>
      <c r="C308" s="292"/>
      <c r="D308" s="293"/>
      <c r="E308" s="294"/>
      <c r="F308" s="295"/>
      <c r="G308" s="283">
        <f>G173</f>
        <v>0</v>
      </c>
      <c r="AT308" s="160"/>
      <c r="AU308" s="160"/>
    </row>
    <row r="309" spans="1:47" s="20" customFormat="1" ht="13.5" thickBot="1" x14ac:dyDescent="0.25">
      <c r="A309" s="225"/>
      <c r="B309" s="250" t="s">
        <v>108</v>
      </c>
      <c r="C309" s="296"/>
      <c r="D309" s="293"/>
      <c r="E309" s="294"/>
      <c r="F309" s="297"/>
      <c r="G309" s="252">
        <f>SUM(G306:G308)</f>
        <v>0</v>
      </c>
      <c r="AT309" s="160"/>
      <c r="AU309" s="160"/>
    </row>
    <row r="310" spans="1:47" s="20" customFormat="1" x14ac:dyDescent="0.2">
      <c r="A310" s="225"/>
      <c r="B310" s="274"/>
      <c r="C310" s="275"/>
      <c r="D310" s="275"/>
      <c r="E310" s="275"/>
      <c r="F310" s="275"/>
      <c r="G310" s="234"/>
      <c r="AT310" s="160"/>
      <c r="AU310" s="160"/>
    </row>
    <row r="311" spans="1:47" s="55" customFormat="1" ht="13.5" thickBot="1" x14ac:dyDescent="0.25">
      <c r="A311" s="225"/>
      <c r="B311" s="284" t="s">
        <v>109</v>
      </c>
      <c r="C311" s="285"/>
      <c r="D311" s="278"/>
      <c r="E311" s="278"/>
      <c r="F311" s="278"/>
      <c r="G311" s="279"/>
      <c r="AT311" s="162"/>
      <c r="AU311" s="162"/>
    </row>
    <row r="312" spans="1:47" s="20" customFormat="1" ht="13.5" thickBot="1" x14ac:dyDescent="0.25">
      <c r="A312" s="225"/>
      <c r="B312" s="250" t="s">
        <v>71</v>
      </c>
      <c r="C312" s="251"/>
      <c r="D312" s="251"/>
      <c r="E312" s="251"/>
      <c r="F312" s="252">
        <f>F254</f>
        <v>40153.282580015039</v>
      </c>
      <c r="G312" s="252">
        <f>G254</f>
        <v>88194.766682226575</v>
      </c>
      <c r="AT312" s="160"/>
      <c r="AU312" s="160"/>
    </row>
    <row r="313" spans="1:47" s="20" customFormat="1" ht="13.5" thickBot="1" x14ac:dyDescent="0.25">
      <c r="A313" s="225"/>
      <c r="B313" s="250" t="s">
        <v>84</v>
      </c>
      <c r="C313" s="251"/>
      <c r="D313" s="251"/>
      <c r="E313" s="265"/>
      <c r="F313" s="252">
        <f>F271</f>
        <v>40153.282580007093</v>
      </c>
      <c r="G313" s="252">
        <f>G271</f>
        <v>49168.409573873534</v>
      </c>
      <c r="AS313" s="160"/>
      <c r="AT313" s="160"/>
    </row>
    <row r="314" spans="1:47" s="20" customFormat="1" ht="13.5" thickBot="1" x14ac:dyDescent="0.25">
      <c r="A314" s="225"/>
      <c r="B314" s="236" t="s">
        <v>193</v>
      </c>
      <c r="C314" s="237"/>
      <c r="D314" s="237"/>
      <c r="E314" s="237"/>
      <c r="F314" s="267">
        <f>F312-F313</f>
        <v>7.9453457146883011E-9</v>
      </c>
      <c r="G314" s="267">
        <f>G312-G313</f>
        <v>39026.357108353041</v>
      </c>
      <c r="AS314" s="160"/>
      <c r="AT314" s="160"/>
    </row>
    <row r="315" spans="1:47" s="20" customFormat="1" ht="13.5" thickBot="1" x14ac:dyDescent="0.25">
      <c r="A315" s="225"/>
      <c r="B315" s="250" t="s">
        <v>110</v>
      </c>
      <c r="C315" s="251"/>
      <c r="D315" s="251"/>
      <c r="E315" s="251"/>
      <c r="F315" s="252">
        <f>G301</f>
        <v>0</v>
      </c>
      <c r="G315" s="252">
        <f>G301</f>
        <v>0</v>
      </c>
      <c r="AS315" s="160"/>
      <c r="AT315" s="160"/>
    </row>
    <row r="316" spans="1:47" s="20" customFormat="1" ht="13.5" thickBot="1" x14ac:dyDescent="0.25">
      <c r="A316" s="225"/>
      <c r="B316" s="250" t="s">
        <v>111</v>
      </c>
      <c r="C316" s="251"/>
      <c r="D316" s="251"/>
      <c r="E316" s="251"/>
      <c r="F316" s="252">
        <f>G309</f>
        <v>0</v>
      </c>
      <c r="G316" s="252">
        <f>G309</f>
        <v>0</v>
      </c>
      <c r="AS316" s="160"/>
      <c r="AT316" s="160"/>
    </row>
    <row r="317" spans="1:47" s="20" customFormat="1" x14ac:dyDescent="0.2">
      <c r="A317" s="225"/>
      <c r="B317" s="232"/>
      <c r="C317" s="233"/>
      <c r="D317" s="233"/>
      <c r="E317" s="233"/>
      <c r="F317" s="266"/>
      <c r="G317" s="266"/>
      <c r="AS317" s="160"/>
      <c r="AT317" s="160"/>
    </row>
    <row r="318" spans="1:47" s="20" customFormat="1" ht="13.5" thickBot="1" x14ac:dyDescent="0.25">
      <c r="A318" s="225"/>
      <c r="B318" s="236" t="s">
        <v>112</v>
      </c>
      <c r="C318" s="237"/>
      <c r="D318" s="237"/>
      <c r="E318" s="237"/>
      <c r="F318" s="267">
        <f>F314-F315-F316</f>
        <v>7.9453457146883011E-9</v>
      </c>
      <c r="G318" s="267">
        <f>G314-G315-G316</f>
        <v>39026.357108353041</v>
      </c>
      <c r="AS318" s="160"/>
      <c r="AT318" s="160"/>
    </row>
    <row r="319" spans="1:47" s="20" customFormat="1" x14ac:dyDescent="0.2">
      <c r="A319" s="225"/>
      <c r="B319" s="268"/>
      <c r="C319" s="268"/>
      <c r="D319" s="268"/>
      <c r="E319" s="268"/>
      <c r="F319" s="269"/>
      <c r="G319" s="269"/>
      <c r="AT319" s="160"/>
      <c r="AU319" s="160"/>
    </row>
    <row r="320" spans="1:47" s="20" customFormat="1" x14ac:dyDescent="0.2">
      <c r="A320" s="225"/>
      <c r="B320" s="225"/>
      <c r="C320" s="225"/>
      <c r="D320" s="225"/>
      <c r="E320" s="225"/>
      <c r="F320" s="225"/>
      <c r="G320" s="225"/>
      <c r="AT320" s="160"/>
      <c r="AU320" s="160"/>
    </row>
    <row r="321" spans="1:256" s="21" customFormat="1" x14ac:dyDescent="0.2">
      <c r="A321" s="18"/>
      <c r="B321" s="18"/>
      <c r="C321" s="18"/>
      <c r="D321" s="23"/>
      <c r="E321" s="18"/>
      <c r="F321" s="18"/>
      <c r="G321" s="18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18"/>
      <c r="U321" s="18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160"/>
      <c r="AU321" s="16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  <c r="DC321" s="20"/>
      <c r="DD321" s="20"/>
      <c r="DE321" s="20"/>
      <c r="DF321" s="20"/>
      <c r="DG321" s="20"/>
      <c r="DH321" s="20"/>
      <c r="DI321" s="20"/>
      <c r="DJ321" s="20"/>
      <c r="DK321" s="20"/>
      <c r="DL321" s="20"/>
      <c r="DM321" s="20"/>
      <c r="DN321" s="20"/>
      <c r="DO321" s="20"/>
      <c r="DP321" s="20"/>
      <c r="DQ321" s="20"/>
      <c r="DR321" s="20"/>
      <c r="DS321" s="20"/>
      <c r="DT321" s="20"/>
      <c r="DU321" s="20"/>
      <c r="DV321" s="20"/>
      <c r="DW321" s="20"/>
      <c r="DX321" s="20"/>
      <c r="DY321" s="20"/>
      <c r="DZ321" s="20"/>
      <c r="EA321" s="20"/>
      <c r="EB321" s="20"/>
      <c r="EC321" s="20"/>
      <c r="ED321" s="20"/>
      <c r="EE321" s="20"/>
      <c r="EF321" s="20"/>
      <c r="EG321" s="20"/>
      <c r="EH321" s="20"/>
      <c r="EI321" s="20"/>
      <c r="EJ321" s="20"/>
      <c r="EK321" s="20"/>
      <c r="EL321" s="20"/>
      <c r="EM321" s="20"/>
      <c r="EN321" s="20"/>
      <c r="EO321" s="20"/>
      <c r="EP321" s="20"/>
      <c r="EQ321" s="20"/>
      <c r="ER321" s="20"/>
      <c r="ES321" s="20"/>
      <c r="ET321" s="20"/>
      <c r="EU321" s="20"/>
      <c r="EV321" s="20"/>
      <c r="EW321" s="20"/>
      <c r="EX321" s="20"/>
      <c r="EY321" s="20"/>
      <c r="EZ321" s="20"/>
      <c r="FA321" s="20"/>
      <c r="FB321" s="20"/>
      <c r="FC321" s="20"/>
      <c r="FD321" s="20"/>
      <c r="FE321" s="20"/>
      <c r="FF321" s="20"/>
      <c r="FG321" s="20"/>
      <c r="FH321" s="20"/>
      <c r="FI321" s="20"/>
      <c r="FJ321" s="20"/>
      <c r="FK321" s="20"/>
      <c r="FL321" s="20"/>
      <c r="FM321" s="20"/>
      <c r="FN321" s="20"/>
      <c r="FO321" s="20"/>
      <c r="FP321" s="20"/>
      <c r="FQ321" s="20"/>
      <c r="FR321" s="20"/>
      <c r="FS321" s="20"/>
      <c r="FT321" s="20"/>
      <c r="FU321" s="20"/>
      <c r="FV321" s="20"/>
      <c r="FW321" s="20"/>
      <c r="FX321" s="20"/>
      <c r="FY321" s="20"/>
      <c r="FZ321" s="20"/>
      <c r="GA321" s="20"/>
      <c r="GB321" s="20"/>
      <c r="GC321" s="20"/>
      <c r="GD321" s="20"/>
      <c r="GE321" s="20"/>
      <c r="GF321" s="20"/>
      <c r="GG321" s="20"/>
      <c r="GH321" s="20"/>
      <c r="GI321" s="20"/>
      <c r="GJ321" s="20"/>
      <c r="GK321" s="20"/>
      <c r="GL321" s="20"/>
      <c r="GM321" s="20"/>
      <c r="GN321" s="20"/>
      <c r="GO321" s="20"/>
      <c r="GP321" s="20"/>
      <c r="GQ321" s="20"/>
      <c r="GR321" s="20"/>
      <c r="GS321" s="20"/>
      <c r="GT321" s="20"/>
      <c r="GU321" s="20"/>
      <c r="GV321" s="20"/>
      <c r="GW321" s="20"/>
      <c r="GX321" s="20"/>
      <c r="GY321" s="20"/>
      <c r="GZ321" s="20"/>
      <c r="HA321" s="20"/>
      <c r="HB321" s="20"/>
      <c r="HC321" s="20"/>
      <c r="HD321" s="20"/>
      <c r="HE321" s="20"/>
      <c r="HF321" s="20"/>
      <c r="HG321" s="20"/>
      <c r="HH321" s="20"/>
      <c r="HI321" s="20"/>
      <c r="HJ321" s="20"/>
      <c r="HK321" s="20"/>
      <c r="HL321" s="20"/>
      <c r="HM321" s="20"/>
      <c r="HN321" s="20"/>
      <c r="HO321" s="20"/>
      <c r="HP321" s="20"/>
      <c r="HQ321" s="20"/>
      <c r="HR321" s="20"/>
      <c r="HS321" s="20"/>
      <c r="HT321" s="20"/>
      <c r="HU321" s="20"/>
      <c r="HV321" s="20"/>
      <c r="HW321" s="20"/>
      <c r="HX321" s="20"/>
      <c r="HY321" s="20"/>
      <c r="HZ321" s="20"/>
      <c r="IA321" s="20"/>
      <c r="IB321" s="20"/>
      <c r="IC321" s="20"/>
      <c r="ID321" s="20"/>
      <c r="IE321" s="20"/>
      <c r="IF321" s="20"/>
      <c r="IG321" s="20"/>
      <c r="IH321" s="20"/>
      <c r="II321" s="20"/>
      <c r="IJ321" s="20"/>
      <c r="IK321" s="20"/>
      <c r="IL321" s="20"/>
      <c r="IM321" s="20"/>
      <c r="IN321" s="20"/>
      <c r="IO321" s="20"/>
      <c r="IP321" s="20"/>
      <c r="IQ321" s="20"/>
      <c r="IR321" s="20"/>
      <c r="IS321" s="20"/>
      <c r="IT321" s="20"/>
      <c r="IU321" s="20"/>
      <c r="IV321" s="20"/>
    </row>
    <row r="322" spans="1:256" s="20" customFormat="1" x14ac:dyDescent="0.2">
      <c r="A322" s="225"/>
      <c r="B322" s="225"/>
      <c r="C322" s="225"/>
      <c r="D322" s="225"/>
      <c r="E322" s="225"/>
      <c r="F322" s="225"/>
      <c r="G322" s="225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AT322" s="160"/>
      <c r="AU322" s="160"/>
    </row>
    <row r="323" spans="1:256" s="55" customFormat="1" ht="18" x14ac:dyDescent="0.25">
      <c r="A323" s="226"/>
      <c r="B323" s="420" t="s">
        <v>302</v>
      </c>
      <c r="C323" s="420"/>
      <c r="D323" s="420"/>
      <c r="E323" s="420"/>
      <c r="F323" s="420"/>
      <c r="G323" s="420"/>
      <c r="AT323" s="162"/>
      <c r="AU323" s="162"/>
      <c r="BD323" s="56"/>
      <c r="BE323" s="56"/>
      <c r="BF323" s="56"/>
      <c r="BG323" s="56"/>
      <c r="BH323" s="56"/>
      <c r="BI323" s="56"/>
      <c r="BJ323" s="56"/>
      <c r="BK323" s="56"/>
      <c r="BL323" s="56"/>
      <c r="BM323" s="56"/>
      <c r="BN323" s="56"/>
      <c r="BO323" s="56"/>
      <c r="BP323" s="56"/>
      <c r="BQ323" s="56"/>
      <c r="BR323" s="56"/>
      <c r="BS323" s="56"/>
      <c r="BT323" s="56"/>
      <c r="BU323" s="56"/>
      <c r="BV323" s="56"/>
      <c r="BW323" s="56"/>
      <c r="BX323" s="56"/>
      <c r="BY323" s="56"/>
      <c r="BZ323" s="56"/>
      <c r="CA323" s="56"/>
      <c r="CB323" s="56"/>
      <c r="CC323" s="56"/>
      <c r="CD323" s="56"/>
      <c r="CE323" s="56"/>
      <c r="CF323" s="56"/>
      <c r="CG323" s="56"/>
      <c r="CH323" s="56"/>
      <c r="CI323" s="56"/>
      <c r="CJ323" s="56"/>
      <c r="CK323" s="56"/>
      <c r="CL323" s="56"/>
      <c r="CM323" s="56"/>
      <c r="CN323" s="56"/>
      <c r="CO323" s="56"/>
      <c r="CP323" s="56"/>
      <c r="CQ323" s="56"/>
      <c r="CR323" s="56"/>
      <c r="CS323" s="56"/>
      <c r="CT323" s="56"/>
      <c r="CU323" s="56"/>
      <c r="CV323" s="56"/>
      <c r="CW323" s="56"/>
      <c r="CX323" s="56"/>
      <c r="CY323" s="56"/>
      <c r="CZ323" s="56"/>
      <c r="DA323" s="56"/>
      <c r="DB323" s="56"/>
      <c r="DC323" s="56"/>
      <c r="DD323" s="56"/>
      <c r="DE323" s="56"/>
      <c r="DF323" s="56"/>
      <c r="DG323" s="56"/>
      <c r="DH323" s="56"/>
      <c r="DI323" s="56"/>
      <c r="DJ323" s="56"/>
      <c r="DK323" s="56"/>
      <c r="DL323" s="56"/>
      <c r="DM323" s="56"/>
      <c r="DN323" s="56"/>
      <c r="DO323" s="56"/>
      <c r="DP323" s="56"/>
      <c r="DQ323" s="56"/>
      <c r="DR323" s="56"/>
      <c r="DS323" s="56"/>
      <c r="DT323" s="56"/>
      <c r="DU323" s="56"/>
      <c r="DV323" s="56"/>
      <c r="DW323" s="56"/>
      <c r="DX323" s="56"/>
      <c r="DY323" s="56"/>
      <c r="DZ323" s="56"/>
      <c r="EA323" s="56"/>
      <c r="EB323" s="56"/>
      <c r="EC323" s="56"/>
      <c r="ED323" s="56"/>
      <c r="EE323" s="56"/>
      <c r="EF323" s="56"/>
      <c r="EG323" s="56"/>
      <c r="EH323" s="56"/>
      <c r="EI323" s="56"/>
      <c r="EJ323" s="56"/>
      <c r="EK323" s="56"/>
      <c r="EL323" s="56"/>
      <c r="EM323" s="56"/>
      <c r="EN323" s="56"/>
      <c r="EO323" s="56"/>
      <c r="EP323" s="56"/>
      <c r="EQ323" s="56"/>
      <c r="ER323" s="56"/>
      <c r="ES323" s="56"/>
      <c r="ET323" s="56"/>
      <c r="EU323" s="56"/>
      <c r="EV323" s="56"/>
      <c r="EW323" s="56"/>
      <c r="EX323" s="56"/>
      <c r="EY323" s="56"/>
      <c r="EZ323" s="56"/>
      <c r="FA323" s="56"/>
      <c r="FB323" s="56"/>
      <c r="FC323" s="56"/>
      <c r="FD323" s="56"/>
      <c r="FE323" s="56"/>
      <c r="FF323" s="56"/>
      <c r="FG323" s="56"/>
      <c r="FH323" s="56"/>
      <c r="FI323" s="56"/>
      <c r="FJ323" s="56"/>
      <c r="FK323" s="56"/>
      <c r="FL323" s="56"/>
      <c r="FM323" s="56"/>
      <c r="FN323" s="56"/>
      <c r="FO323" s="56"/>
      <c r="FP323" s="56"/>
      <c r="FQ323" s="56"/>
      <c r="FR323" s="56"/>
      <c r="FS323" s="56"/>
      <c r="FT323" s="56"/>
      <c r="FU323" s="56"/>
      <c r="FV323" s="56"/>
      <c r="FW323" s="56"/>
      <c r="FX323" s="56"/>
      <c r="FY323" s="56"/>
      <c r="FZ323" s="56"/>
      <c r="GA323" s="56"/>
      <c r="GB323" s="56"/>
      <c r="GC323" s="56"/>
      <c r="GD323" s="56"/>
      <c r="GE323" s="56"/>
      <c r="GF323" s="56"/>
      <c r="GG323" s="56"/>
      <c r="GH323" s="56"/>
      <c r="GI323" s="56"/>
      <c r="GJ323" s="56"/>
      <c r="GK323" s="56"/>
      <c r="GL323" s="56"/>
      <c r="GM323" s="56"/>
      <c r="GN323" s="56"/>
      <c r="GO323" s="56"/>
      <c r="GP323" s="56"/>
      <c r="GQ323" s="56"/>
      <c r="GR323" s="56"/>
      <c r="GS323" s="56"/>
      <c r="GT323" s="56"/>
      <c r="GU323" s="56"/>
      <c r="GV323" s="56"/>
      <c r="GW323" s="56"/>
      <c r="GX323" s="56"/>
      <c r="GY323" s="56"/>
      <c r="GZ323" s="56"/>
      <c r="HA323" s="56"/>
      <c r="HB323" s="56"/>
      <c r="HC323" s="56"/>
      <c r="HD323" s="56"/>
      <c r="HE323" s="56"/>
      <c r="HF323" s="56"/>
      <c r="HG323" s="56"/>
      <c r="HH323" s="56"/>
      <c r="HI323" s="56"/>
      <c r="HJ323" s="56"/>
      <c r="HK323" s="56"/>
      <c r="HL323" s="56"/>
      <c r="HM323" s="56"/>
      <c r="HN323" s="56"/>
      <c r="HO323" s="56"/>
      <c r="HP323" s="56"/>
      <c r="HQ323" s="56"/>
      <c r="HR323" s="56"/>
      <c r="HS323" s="56"/>
      <c r="HT323" s="56"/>
      <c r="HU323" s="56"/>
      <c r="HV323" s="56"/>
      <c r="HW323" s="56"/>
      <c r="HX323" s="56"/>
      <c r="HY323" s="56"/>
      <c r="HZ323" s="56"/>
      <c r="IA323" s="56"/>
      <c r="IB323" s="56"/>
      <c r="IC323" s="56"/>
      <c r="ID323" s="56"/>
      <c r="IE323" s="56"/>
      <c r="IF323" s="56"/>
      <c r="IG323" s="56"/>
      <c r="IH323" s="56"/>
      <c r="II323" s="56"/>
      <c r="IJ323" s="56"/>
      <c r="IK323" s="56"/>
      <c r="IL323" s="56"/>
      <c r="IM323" s="56"/>
      <c r="IN323" s="56"/>
      <c r="IO323" s="56"/>
      <c r="IP323" s="56"/>
      <c r="IQ323" s="56"/>
      <c r="IR323" s="56"/>
      <c r="IS323" s="56"/>
      <c r="IT323" s="56"/>
      <c r="IU323" s="56"/>
      <c r="IV323" s="56"/>
    </row>
    <row r="324" spans="1:256" s="20" customFormat="1" ht="18.75" thickBot="1" x14ac:dyDescent="0.3">
      <c r="A324" s="225"/>
      <c r="B324" s="226"/>
      <c r="C324" s="227"/>
      <c r="D324" s="227"/>
      <c r="E324" s="227"/>
      <c r="F324" s="227"/>
      <c r="G324" s="227"/>
      <c r="AT324" s="160"/>
      <c r="AU324" s="160"/>
    </row>
    <row r="325" spans="1:256" s="20" customFormat="1" x14ac:dyDescent="0.2">
      <c r="A325" s="225"/>
      <c r="B325" s="228" t="s">
        <v>0</v>
      </c>
      <c r="C325" s="417" t="str">
        <f>CUSTOMERNAME</f>
        <v>Evergreen Car Wash</v>
      </c>
      <c r="D325" s="418"/>
      <c r="E325" s="419"/>
      <c r="F325" s="225"/>
      <c r="G325" s="225"/>
      <c r="AT325" s="160"/>
      <c r="AU325" s="160"/>
    </row>
    <row r="326" spans="1:256" s="20" customFormat="1" ht="13.5" thickBot="1" x14ac:dyDescent="0.25">
      <c r="A326" s="225"/>
      <c r="B326" s="228" t="s">
        <v>1</v>
      </c>
      <c r="C326" s="409" t="str">
        <f>ADDRESS</f>
        <v>29002 Crossroads Ln., Evergreen, CO 80439</v>
      </c>
      <c r="D326" s="410"/>
      <c r="E326" s="411"/>
      <c r="F326" s="225"/>
      <c r="G326" s="225"/>
      <c r="AT326" s="160"/>
      <c r="AU326" s="160"/>
    </row>
    <row r="327" spans="1:256" s="20" customFormat="1" x14ac:dyDescent="0.2">
      <c r="A327" s="225"/>
      <c r="B327" s="225"/>
      <c r="C327" s="225"/>
      <c r="D327" s="225"/>
      <c r="E327" s="225"/>
      <c r="F327" s="225"/>
      <c r="G327" s="229" t="s">
        <v>215</v>
      </c>
      <c r="AT327" s="160"/>
      <c r="AU327" s="160"/>
    </row>
    <row r="328" spans="1:256" s="230" customFormat="1" ht="19.5" x14ac:dyDescent="0.25">
      <c r="A328" s="412" t="s">
        <v>219</v>
      </c>
      <c r="B328" s="412"/>
      <c r="C328" s="412"/>
      <c r="D328" s="412"/>
      <c r="E328" s="412"/>
      <c r="F328" s="412"/>
      <c r="G328" s="412"/>
      <c r="AT328" s="231"/>
      <c r="AU328" s="231"/>
    </row>
    <row r="329" spans="1:256" s="20" customFormat="1" ht="13.5" thickBot="1" x14ac:dyDescent="0.25">
      <c r="A329" s="225"/>
      <c r="B329" s="225"/>
      <c r="C329" s="225"/>
      <c r="D329" s="225"/>
      <c r="E329" s="225"/>
      <c r="F329" s="225"/>
      <c r="G329" s="225"/>
      <c r="AT329" s="160"/>
      <c r="AU329" s="160"/>
    </row>
    <row r="330" spans="1:256" s="75" customFormat="1" ht="13.5" thickBot="1" x14ac:dyDescent="0.25">
      <c r="A330" s="225"/>
      <c r="B330" s="232"/>
      <c r="C330" s="233"/>
      <c r="D330" s="233"/>
      <c r="E330" s="234"/>
      <c r="F330" s="235" t="s">
        <v>181</v>
      </c>
      <c r="G330" s="298" t="s">
        <v>208</v>
      </c>
      <c r="AT330" s="184"/>
      <c r="AU330" s="184"/>
    </row>
    <row r="331" spans="1:256" s="212" customFormat="1" ht="13.5" thickBot="1" x14ac:dyDescent="0.25">
      <c r="A331" s="225"/>
      <c r="B331" s="236" t="s">
        <v>207</v>
      </c>
      <c r="C331" s="237"/>
      <c r="D331" s="237"/>
      <c r="E331" s="237"/>
      <c r="F331" s="238">
        <f>C143</f>
        <v>49262.79238423529</v>
      </c>
      <c r="G331" s="299" t="s">
        <v>62</v>
      </c>
      <c r="H331" s="335"/>
      <c r="I331" s="335" t="s">
        <v>198</v>
      </c>
      <c r="AT331" s="213"/>
      <c r="AU331" s="213"/>
    </row>
    <row r="332" spans="1:256" s="243" customFormat="1" ht="21" thickBot="1" x14ac:dyDescent="0.35">
      <c r="A332" s="225"/>
      <c r="B332" s="240" t="s">
        <v>62</v>
      </c>
      <c r="C332" s="241"/>
      <c r="D332" s="241"/>
      <c r="E332" s="241"/>
      <c r="F332" s="300"/>
      <c r="G332" s="301"/>
      <c r="AT332" s="244"/>
      <c r="AU332" s="244"/>
    </row>
    <row r="333" spans="1:256" s="20" customFormat="1" x14ac:dyDescent="0.2">
      <c r="A333" s="243"/>
      <c r="B333" s="413" t="s">
        <v>209</v>
      </c>
      <c r="C333" s="414"/>
      <c r="D333" s="26" t="s">
        <v>63</v>
      </c>
      <c r="E333" s="26" t="s">
        <v>65</v>
      </c>
      <c r="F333" s="302"/>
      <c r="G333" s="303"/>
      <c r="AT333" s="160"/>
      <c r="AU333" s="160"/>
    </row>
    <row r="334" spans="1:256" s="20" customFormat="1" ht="13.5" thickBot="1" x14ac:dyDescent="0.25">
      <c r="B334" s="415" t="s">
        <v>210</v>
      </c>
      <c r="C334" s="416"/>
      <c r="D334" s="32" t="s">
        <v>64</v>
      </c>
      <c r="E334" s="32" t="s">
        <v>66</v>
      </c>
      <c r="F334" s="304"/>
      <c r="G334" s="305"/>
      <c r="AT334" s="160"/>
      <c r="AU334" s="160"/>
    </row>
    <row r="335" spans="1:256" s="20" customFormat="1" ht="13.5" thickBot="1" x14ac:dyDescent="0.25">
      <c r="B335" s="84" t="s">
        <v>119</v>
      </c>
      <c r="C335" s="85"/>
      <c r="D335" s="306">
        <f t="shared" ref="D335:E337" si="12">D246</f>
        <v>15.749999999999998</v>
      </c>
      <c r="E335" s="307">
        <f t="shared" si="12"/>
        <v>1</v>
      </c>
      <c r="F335" s="308">
        <f>F331*D335*E335</f>
        <v>775888.98005170573</v>
      </c>
      <c r="G335" s="309">
        <f>F335/F341</f>
        <v>0.75299404776133672</v>
      </c>
      <c r="AT335" s="160"/>
      <c r="AU335" s="160"/>
    </row>
    <row r="336" spans="1:256" s="20" customFormat="1" ht="13.5" thickBot="1" x14ac:dyDescent="0.25">
      <c r="B336" s="84" t="s">
        <v>287</v>
      </c>
      <c r="C336" s="85"/>
      <c r="D336" s="306">
        <f t="shared" si="12"/>
        <v>15</v>
      </c>
      <c r="E336" s="307">
        <f t="shared" si="12"/>
        <v>0.2</v>
      </c>
      <c r="F336" s="308">
        <f>F331*D336*E336</f>
        <v>147788.37715270589</v>
      </c>
      <c r="G336" s="309">
        <f>F336/F341</f>
        <v>0.14342743766882607</v>
      </c>
      <c r="AT336" s="160"/>
      <c r="AU336" s="160"/>
    </row>
    <row r="337" spans="2:55" s="20" customFormat="1" ht="13.5" thickBot="1" x14ac:dyDescent="0.25">
      <c r="B337" s="84" t="s">
        <v>288</v>
      </c>
      <c r="C337" s="85"/>
      <c r="D337" s="306">
        <f t="shared" si="12"/>
        <v>49</v>
      </c>
      <c r="E337" s="307">
        <f t="shared" si="12"/>
        <v>0.05</v>
      </c>
      <c r="F337" s="308">
        <f>F331*D337*E337</f>
        <v>120693.84134137648</v>
      </c>
      <c r="G337" s="309">
        <f>F337/F341</f>
        <v>0.1171324074295413</v>
      </c>
      <c r="AT337" s="160"/>
      <c r="AU337" s="160"/>
    </row>
    <row r="338" spans="2:55" s="20" customFormat="1" ht="13.5" thickBot="1" x14ac:dyDescent="0.25">
      <c r="B338" s="84" t="s">
        <v>291</v>
      </c>
      <c r="C338" s="85"/>
      <c r="D338" s="326"/>
      <c r="E338" s="325"/>
      <c r="F338" s="308">
        <f>F336+F337</f>
        <v>268482.21849408234</v>
      </c>
      <c r="G338" s="309">
        <f>F338/F341</f>
        <v>0.26055984509836733</v>
      </c>
      <c r="AT338" s="160"/>
      <c r="AU338" s="160"/>
    </row>
    <row r="339" spans="2:55" s="20" customFormat="1" ht="13.5" thickBot="1" x14ac:dyDescent="0.25">
      <c r="B339" s="250" t="s">
        <v>292</v>
      </c>
      <c r="C339" s="311"/>
      <c r="D339" s="311"/>
      <c r="E339" s="311"/>
      <c r="F339" s="308">
        <f>SUM(F335)</f>
        <v>775888.98005170573</v>
      </c>
      <c r="G339" s="309">
        <f>F339/F341</f>
        <v>0.75299404776133672</v>
      </c>
      <c r="AT339" s="160"/>
      <c r="AU339" s="160"/>
    </row>
    <row r="340" spans="2:55" s="20" customFormat="1" ht="13.5" thickBot="1" x14ac:dyDescent="0.25">
      <c r="B340" s="250" t="s">
        <v>121</v>
      </c>
      <c r="C340" s="251"/>
      <c r="D340" s="312">
        <f>D251</f>
        <v>0.03</v>
      </c>
      <c r="E340" s="257">
        <f>E251</f>
        <v>0.6</v>
      </c>
      <c r="F340" s="126">
        <f>F339*D340*E340*-1</f>
        <v>-13966.001640930703</v>
      </c>
      <c r="G340" s="312">
        <f>F340/F341</f>
        <v>-1.3553892859704059E-2</v>
      </c>
      <c r="AT340" s="160"/>
      <c r="AU340" s="160"/>
    </row>
    <row r="341" spans="2:55" s="20" customFormat="1" ht="13.5" thickBot="1" x14ac:dyDescent="0.25">
      <c r="B341" s="327" t="s">
        <v>71</v>
      </c>
      <c r="C341" s="251"/>
      <c r="D341" s="251"/>
      <c r="E341" s="251"/>
      <c r="F341" s="252">
        <f>F338+F339+F340</f>
        <v>1030405.1969048574</v>
      </c>
      <c r="G341" s="313">
        <f>F341/F341</f>
        <v>1</v>
      </c>
      <c r="I341" s="261"/>
      <c r="AT341" s="160"/>
      <c r="AU341" s="160"/>
    </row>
    <row r="342" spans="2:55" s="254" customFormat="1" ht="15.75" thickBot="1" x14ac:dyDescent="0.25">
      <c r="B342" s="406" t="s">
        <v>74</v>
      </c>
      <c r="C342" s="407"/>
      <c r="D342" s="407"/>
      <c r="E342" s="407"/>
      <c r="F342" s="407"/>
      <c r="G342" s="408"/>
      <c r="AT342" s="314"/>
      <c r="AU342" s="314"/>
    </row>
    <row r="343" spans="2:55" s="20" customFormat="1" ht="13.5" thickBot="1" x14ac:dyDescent="0.25">
      <c r="B343" s="250" t="s">
        <v>200</v>
      </c>
      <c r="C343" s="311"/>
      <c r="D343" s="311"/>
      <c r="E343" s="315"/>
      <c r="F343" s="308">
        <f>$F$257*12</f>
        <v>219648</v>
      </c>
      <c r="G343" s="316">
        <f>F343/$F$341</f>
        <v>0.21316662674041348</v>
      </c>
      <c r="I343" s="261"/>
      <c r="AT343" s="160"/>
      <c r="AU343" s="160"/>
    </row>
    <row r="344" spans="2:55" s="20" customFormat="1" ht="13.5" thickBot="1" x14ac:dyDescent="0.25">
      <c r="B344" s="250" t="s">
        <v>233</v>
      </c>
      <c r="C344" s="311"/>
      <c r="D344" s="311"/>
      <c r="E344" s="315"/>
      <c r="F344" s="308">
        <f>K345</f>
        <v>34557.848857541059</v>
      </c>
      <c r="G344" s="316">
        <f t="shared" ref="G344:G356" si="13">F344/$F$341</f>
        <v>3.3538115841560495E-2</v>
      </c>
      <c r="I344" s="261"/>
      <c r="AT344" s="160"/>
      <c r="AU344" s="160"/>
    </row>
    <row r="345" spans="2:55" s="20" customFormat="1" ht="13.5" thickBot="1" x14ac:dyDescent="0.25">
      <c r="B345" s="250" t="s">
        <v>77</v>
      </c>
      <c r="C345" s="311"/>
      <c r="D345" s="311"/>
      <c r="E345" s="315"/>
      <c r="F345" s="308">
        <f>$E$259*F341</f>
        <v>61824.311814291439</v>
      </c>
      <c r="G345" s="316">
        <f t="shared" si="13"/>
        <v>0.06</v>
      </c>
      <c r="I345" s="261"/>
      <c r="K345" s="336">
        <f>(F331*$G$39*C$62)+(F331*$G$40*C$63)+(F331*$G$41*C$64)+(F331*$G$42*C$65)+(F331*$G$43*C$66)</f>
        <v>34557.848857541059</v>
      </c>
      <c r="AT345" s="160"/>
      <c r="AU345" s="160"/>
    </row>
    <row r="346" spans="2:55" s="20" customFormat="1" ht="13.5" thickBot="1" x14ac:dyDescent="0.25">
      <c r="B346" s="250" t="s">
        <v>72</v>
      </c>
      <c r="C346" s="311"/>
      <c r="D346" s="311"/>
      <c r="E346" s="315"/>
      <c r="F346" s="308">
        <f>$E$260*F341</f>
        <v>30912.15590714572</v>
      </c>
      <c r="G346" s="316">
        <f t="shared" si="13"/>
        <v>0.03</v>
      </c>
      <c r="I346" s="261"/>
      <c r="AT346" s="160"/>
      <c r="AU346" s="160"/>
    </row>
    <row r="347" spans="2:55" s="20" customFormat="1" ht="13.5" thickBot="1" x14ac:dyDescent="0.25">
      <c r="B347" s="250" t="s">
        <v>78</v>
      </c>
      <c r="C347" s="311"/>
      <c r="D347" s="311"/>
      <c r="E347" s="315"/>
      <c r="F347" s="308">
        <f>$E$261*F341</f>
        <v>10304.051969048574</v>
      </c>
      <c r="G347" s="316">
        <f t="shared" si="13"/>
        <v>0.01</v>
      </c>
      <c r="I347" s="261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9"/>
      <c r="AU347" s="19"/>
      <c r="AV347" s="18"/>
      <c r="AW347" s="18"/>
      <c r="AX347" s="18"/>
      <c r="AY347" s="18"/>
      <c r="AZ347" s="18"/>
      <c r="BA347" s="18"/>
      <c r="BB347" s="18"/>
      <c r="BC347" s="18"/>
    </row>
    <row r="348" spans="2:55" s="20" customFormat="1" ht="13.5" thickBot="1" x14ac:dyDescent="0.25">
      <c r="B348" s="250" t="s">
        <v>83</v>
      </c>
      <c r="C348" s="311"/>
      <c r="D348" s="311"/>
      <c r="E348" s="315"/>
      <c r="F348" s="308">
        <f>$E$262*F341</f>
        <v>10304.051969048574</v>
      </c>
      <c r="G348" s="316">
        <f t="shared" si="13"/>
        <v>0.01</v>
      </c>
      <c r="I348" s="261"/>
      <c r="AT348" s="160"/>
      <c r="AU348" s="160"/>
    </row>
    <row r="349" spans="2:55" s="20" customFormat="1" ht="13.5" thickBot="1" x14ac:dyDescent="0.25">
      <c r="B349" s="250" t="s">
        <v>79</v>
      </c>
      <c r="C349" s="311"/>
      <c r="D349" s="311"/>
      <c r="E349" s="315"/>
      <c r="F349" s="308">
        <f>$E$263*F341</f>
        <v>10304.051969048574</v>
      </c>
      <c r="G349" s="316">
        <f t="shared" si="13"/>
        <v>0.01</v>
      </c>
      <c r="I349" s="261"/>
      <c r="AT349" s="160"/>
      <c r="AU349" s="160"/>
    </row>
    <row r="350" spans="2:55" s="20" customFormat="1" ht="13.5" thickBot="1" x14ac:dyDescent="0.25">
      <c r="B350" s="250" t="s">
        <v>199</v>
      </c>
      <c r="C350" s="311"/>
      <c r="D350" s="311"/>
      <c r="E350" s="315"/>
      <c r="F350" s="308">
        <f>$F$264*12</f>
        <v>141772.80000000002</v>
      </c>
      <c r="G350" s="316">
        <f t="shared" si="13"/>
        <v>0.13758936816881237</v>
      </c>
      <c r="I350" s="261"/>
      <c r="AT350" s="160"/>
      <c r="AU350" s="160"/>
    </row>
    <row r="351" spans="2:55" s="20" customFormat="1" ht="13.5" customHeight="1" thickBot="1" x14ac:dyDescent="0.25">
      <c r="B351" s="250" t="s">
        <v>123</v>
      </c>
      <c r="C351" s="311"/>
      <c r="D351" s="311"/>
      <c r="E351" s="315"/>
      <c r="F351" s="308">
        <f>$E$265*F341</f>
        <v>0</v>
      </c>
      <c r="G351" s="316">
        <f t="shared" si="13"/>
        <v>0</v>
      </c>
      <c r="I351" s="261"/>
      <c r="AT351" s="160"/>
      <c r="AU351" s="160"/>
    </row>
    <row r="352" spans="2:55" s="20" customFormat="1" ht="13.5" thickBot="1" x14ac:dyDescent="0.25">
      <c r="B352" s="250" t="s">
        <v>80</v>
      </c>
      <c r="C352" s="311"/>
      <c r="D352" s="311"/>
      <c r="E352" s="315"/>
      <c r="F352" s="308">
        <f>$E$266*F341</f>
        <v>10304.051969048574</v>
      </c>
      <c r="G352" s="316">
        <f t="shared" si="13"/>
        <v>0.01</v>
      </c>
      <c r="I352" s="261"/>
      <c r="AT352" s="160"/>
      <c r="AU352" s="160"/>
    </row>
    <row r="353" spans="1:256" s="20" customFormat="1" ht="13.5" thickBot="1" x14ac:dyDescent="0.25">
      <c r="B353" s="250" t="s">
        <v>290</v>
      </c>
      <c r="C353" s="311"/>
      <c r="D353" s="311"/>
      <c r="E353" s="315"/>
      <c r="F353" s="308">
        <f>$E$267*F341</f>
        <v>15456.07795357286</v>
      </c>
      <c r="G353" s="316">
        <f t="shared" si="13"/>
        <v>1.4999999999999999E-2</v>
      </c>
      <c r="I353" s="261"/>
      <c r="AT353" s="160"/>
      <c r="AU353" s="160"/>
    </row>
    <row r="354" spans="1:256" s="20" customFormat="1" ht="13.5" thickBot="1" x14ac:dyDescent="0.25">
      <c r="B354" s="250" t="s">
        <v>73</v>
      </c>
      <c r="C354" s="311"/>
      <c r="D354" s="311"/>
      <c r="E354" s="315"/>
      <c r="F354" s="308">
        <f>$F$268*12</f>
        <v>24000</v>
      </c>
      <c r="G354" s="316">
        <f t="shared" si="13"/>
        <v>2.3291807991740986E-2</v>
      </c>
      <c r="I354" s="261"/>
      <c r="AT354" s="160"/>
      <c r="AU354" s="160"/>
    </row>
    <row r="355" spans="1:256" s="20" customFormat="1" ht="13.5" thickBot="1" x14ac:dyDescent="0.25">
      <c r="B355" s="250" t="s">
        <v>81</v>
      </c>
      <c r="C355" s="311"/>
      <c r="D355" s="311"/>
      <c r="E355" s="315"/>
      <c r="F355" s="308">
        <f>$F$269*12</f>
        <v>6000</v>
      </c>
      <c r="G355" s="316">
        <f t="shared" si="13"/>
        <v>5.8229519979352464E-3</v>
      </c>
      <c r="I355" s="261"/>
      <c r="AT355" s="160"/>
      <c r="AU355" s="160"/>
    </row>
    <row r="356" spans="1:256" s="20" customFormat="1" ht="13.5" thickBot="1" x14ac:dyDescent="0.25">
      <c r="B356" s="250" t="s">
        <v>82</v>
      </c>
      <c r="C356" s="311"/>
      <c r="D356" s="311"/>
      <c r="E356" s="315"/>
      <c r="F356" s="308">
        <f>$E$270*F341</f>
        <v>10304.051969048574</v>
      </c>
      <c r="G356" s="316">
        <f t="shared" si="13"/>
        <v>0.01</v>
      </c>
      <c r="I356" s="261"/>
      <c r="AT356" s="160"/>
      <c r="AU356" s="160"/>
    </row>
    <row r="357" spans="1:256" s="20" customFormat="1" ht="13.5" thickBot="1" x14ac:dyDescent="0.25">
      <c r="B357" s="250" t="s">
        <v>84</v>
      </c>
      <c r="C357" s="311"/>
      <c r="D357" s="311"/>
      <c r="E357" s="315"/>
      <c r="F357" s="308">
        <f>SUM(F343:F356)</f>
        <v>585691.45437779394</v>
      </c>
      <c r="G357" s="316">
        <f>F357/F341</f>
        <v>0.56840887074046254</v>
      </c>
      <c r="I357" s="261"/>
      <c r="AT357" s="160"/>
      <c r="AU357" s="160"/>
    </row>
    <row r="358" spans="1:256" s="20" customFormat="1" ht="13.5" thickBot="1" x14ac:dyDescent="0.25">
      <c r="B358" s="250"/>
      <c r="C358" s="311"/>
      <c r="D358" s="311"/>
      <c r="E358" s="315"/>
      <c r="F358" s="317"/>
      <c r="G358" s="316"/>
      <c r="AT358" s="160"/>
      <c r="AU358" s="160"/>
    </row>
    <row r="359" spans="1:256" s="20" customFormat="1" ht="13.5" thickBot="1" x14ac:dyDescent="0.25">
      <c r="B359" s="236" t="s">
        <v>220</v>
      </c>
      <c r="C359" s="311"/>
      <c r="D359" s="311"/>
      <c r="E359" s="315"/>
      <c r="F359" s="308">
        <f>F341-F357</f>
        <v>444713.74252706347</v>
      </c>
      <c r="G359" s="316">
        <f>F359/F341</f>
        <v>0.43159112925953746</v>
      </c>
      <c r="AS359" s="160"/>
      <c r="AT359" s="160"/>
    </row>
    <row r="360" spans="1:256" s="254" customFormat="1" ht="15.75" thickBot="1" x14ac:dyDescent="0.25">
      <c r="A360" s="20"/>
      <c r="B360" s="406" t="s">
        <v>211</v>
      </c>
      <c r="C360" s="407"/>
      <c r="D360" s="407"/>
      <c r="E360" s="407"/>
      <c r="F360" s="407"/>
      <c r="G360" s="408"/>
      <c r="AS360" s="314"/>
      <c r="AT360" s="314"/>
    </row>
    <row r="361" spans="1:256" s="20" customFormat="1" ht="13.5" thickBot="1" x14ac:dyDescent="0.25">
      <c r="A361" s="254"/>
      <c r="B361" s="250" t="s">
        <v>212</v>
      </c>
      <c r="C361" s="318"/>
      <c r="D361" s="293"/>
      <c r="E361" s="294"/>
      <c r="F361" s="319">
        <f>$G$301*12</f>
        <v>0</v>
      </c>
      <c r="G361" s="313">
        <f>F361/F341</f>
        <v>0</v>
      </c>
      <c r="AS361" s="160"/>
      <c r="AT361" s="160"/>
    </row>
    <row r="362" spans="1:256" s="20" customFormat="1" ht="13.5" thickBot="1" x14ac:dyDescent="0.25">
      <c r="B362" s="250" t="s">
        <v>108</v>
      </c>
      <c r="C362" s="318"/>
      <c r="D362" s="293"/>
      <c r="E362" s="294"/>
      <c r="F362" s="319">
        <f>$G$309*12</f>
        <v>0</v>
      </c>
      <c r="G362" s="313">
        <f>F362/F341</f>
        <v>0</v>
      </c>
      <c r="AS362" s="160"/>
      <c r="AT362" s="160"/>
    </row>
    <row r="363" spans="1:256" s="20" customFormat="1" ht="13.5" thickBot="1" x14ac:dyDescent="0.25">
      <c r="B363" s="250" t="s">
        <v>213</v>
      </c>
      <c r="C363" s="311"/>
      <c r="D363" s="311"/>
      <c r="E363" s="315"/>
      <c r="F363" s="308">
        <f>SUM(F361:F362)</f>
        <v>0</v>
      </c>
      <c r="G363" s="316">
        <f>SUM(G361:G362)</f>
        <v>0</v>
      </c>
      <c r="AS363" s="160"/>
      <c r="AT363" s="160"/>
    </row>
    <row r="364" spans="1:256" s="20" customFormat="1" x14ac:dyDescent="0.2">
      <c r="B364" s="232"/>
      <c r="C364" s="233"/>
      <c r="D364" s="233"/>
      <c r="E364" s="233"/>
      <c r="F364" s="266"/>
      <c r="G364" s="266"/>
      <c r="AS364" s="160"/>
      <c r="AT364" s="160"/>
    </row>
    <row r="365" spans="1:256" s="20" customFormat="1" ht="13.5" thickBot="1" x14ac:dyDescent="0.25">
      <c r="B365" s="236" t="s">
        <v>214</v>
      </c>
      <c r="C365" s="237"/>
      <c r="D365" s="237"/>
      <c r="E365" s="237"/>
      <c r="F365" s="267">
        <f>F359-F363</f>
        <v>444713.74252706347</v>
      </c>
      <c r="G365" s="320">
        <f>F365/F341</f>
        <v>0.43159112925953746</v>
      </c>
      <c r="AT365" s="160"/>
      <c r="AU365" s="160"/>
    </row>
    <row r="366" spans="1:256" s="20" customFormat="1" x14ac:dyDescent="0.2">
      <c r="J366" s="261"/>
      <c r="AT366" s="160"/>
      <c r="AU366" s="160"/>
    </row>
    <row r="367" spans="1:256" s="21" customFormat="1" x14ac:dyDescent="0.2">
      <c r="A367" s="18"/>
      <c r="B367" s="18"/>
      <c r="C367" s="18"/>
      <c r="D367" s="23"/>
      <c r="E367" s="18"/>
      <c r="F367" s="18"/>
      <c r="G367" s="18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18"/>
      <c r="U367" s="18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160"/>
      <c r="AU367" s="16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  <c r="DC367" s="20"/>
      <c r="DD367" s="20"/>
      <c r="DE367" s="20"/>
      <c r="DF367" s="20"/>
      <c r="DG367" s="20"/>
      <c r="DH367" s="20"/>
      <c r="DI367" s="20"/>
      <c r="DJ367" s="20"/>
      <c r="DK367" s="20"/>
      <c r="DL367" s="20"/>
      <c r="DM367" s="20"/>
      <c r="DN367" s="20"/>
      <c r="DO367" s="20"/>
      <c r="DP367" s="20"/>
      <c r="DQ367" s="20"/>
      <c r="DR367" s="20"/>
      <c r="DS367" s="20"/>
      <c r="DT367" s="20"/>
      <c r="DU367" s="20"/>
      <c r="DV367" s="20"/>
      <c r="DW367" s="20"/>
      <c r="DX367" s="20"/>
      <c r="DY367" s="20"/>
      <c r="DZ367" s="20"/>
      <c r="EA367" s="20"/>
      <c r="EB367" s="20"/>
      <c r="EC367" s="20"/>
      <c r="ED367" s="20"/>
      <c r="EE367" s="20"/>
      <c r="EF367" s="20"/>
      <c r="EG367" s="20"/>
      <c r="EH367" s="20"/>
      <c r="EI367" s="20"/>
      <c r="EJ367" s="20"/>
      <c r="EK367" s="20"/>
      <c r="EL367" s="20"/>
      <c r="EM367" s="20"/>
      <c r="EN367" s="20"/>
      <c r="EO367" s="20"/>
      <c r="EP367" s="20"/>
      <c r="EQ367" s="20"/>
      <c r="ER367" s="20"/>
      <c r="ES367" s="20"/>
      <c r="ET367" s="20"/>
      <c r="EU367" s="20"/>
      <c r="EV367" s="20"/>
      <c r="EW367" s="20"/>
      <c r="EX367" s="20"/>
      <c r="EY367" s="20"/>
      <c r="EZ367" s="20"/>
      <c r="FA367" s="20"/>
      <c r="FB367" s="20"/>
      <c r="FC367" s="20"/>
      <c r="FD367" s="20"/>
      <c r="FE367" s="20"/>
      <c r="FF367" s="20"/>
      <c r="FG367" s="20"/>
      <c r="FH367" s="20"/>
      <c r="FI367" s="20"/>
      <c r="FJ367" s="20"/>
      <c r="FK367" s="20"/>
      <c r="FL367" s="20"/>
      <c r="FM367" s="20"/>
      <c r="FN367" s="20"/>
      <c r="FO367" s="20"/>
      <c r="FP367" s="20"/>
      <c r="FQ367" s="20"/>
      <c r="FR367" s="20"/>
      <c r="FS367" s="20"/>
      <c r="FT367" s="20"/>
      <c r="FU367" s="20"/>
      <c r="FV367" s="20"/>
      <c r="FW367" s="20"/>
      <c r="FX367" s="20"/>
      <c r="FY367" s="20"/>
      <c r="FZ367" s="20"/>
      <c r="GA367" s="20"/>
      <c r="GB367" s="20"/>
      <c r="GC367" s="20"/>
      <c r="GD367" s="20"/>
      <c r="GE367" s="20"/>
      <c r="GF367" s="20"/>
      <c r="GG367" s="20"/>
      <c r="GH367" s="20"/>
      <c r="GI367" s="20"/>
      <c r="GJ367" s="20"/>
      <c r="GK367" s="20"/>
      <c r="GL367" s="20"/>
      <c r="GM367" s="20"/>
      <c r="GN367" s="20"/>
      <c r="GO367" s="20"/>
      <c r="GP367" s="20"/>
      <c r="GQ367" s="20"/>
      <c r="GR367" s="20"/>
      <c r="GS367" s="20"/>
      <c r="GT367" s="20"/>
      <c r="GU367" s="20"/>
      <c r="GV367" s="20"/>
      <c r="GW367" s="20"/>
      <c r="GX367" s="20"/>
      <c r="GY367" s="20"/>
      <c r="GZ367" s="20"/>
      <c r="HA367" s="20"/>
      <c r="HB367" s="20"/>
      <c r="HC367" s="20"/>
      <c r="HD367" s="20"/>
      <c r="HE367" s="20"/>
      <c r="HF367" s="20"/>
      <c r="HG367" s="20"/>
      <c r="HH367" s="20"/>
      <c r="HI367" s="20"/>
      <c r="HJ367" s="20"/>
      <c r="HK367" s="20"/>
      <c r="HL367" s="20"/>
      <c r="HM367" s="20"/>
      <c r="HN367" s="20"/>
      <c r="HO367" s="20"/>
      <c r="HP367" s="20"/>
      <c r="HQ367" s="20"/>
      <c r="HR367" s="20"/>
      <c r="HS367" s="20"/>
      <c r="HT367" s="20"/>
      <c r="HU367" s="20"/>
      <c r="HV367" s="20"/>
      <c r="HW367" s="20"/>
      <c r="HX367" s="20"/>
      <c r="HY367" s="20"/>
      <c r="HZ367" s="20"/>
      <c r="IA367" s="20"/>
      <c r="IB367" s="20"/>
      <c r="IC367" s="20"/>
      <c r="ID367" s="20"/>
      <c r="IE367" s="20"/>
      <c r="IF367" s="20"/>
      <c r="IG367" s="20"/>
      <c r="IH367" s="20"/>
      <c r="II367" s="20"/>
      <c r="IJ367" s="20"/>
      <c r="IK367" s="20"/>
      <c r="IL367" s="20"/>
      <c r="IM367" s="20"/>
      <c r="IN367" s="20"/>
      <c r="IO367" s="20"/>
      <c r="IP367" s="20"/>
      <c r="IQ367" s="20"/>
      <c r="IR367" s="20"/>
      <c r="IS367" s="20"/>
      <c r="IT367" s="20"/>
      <c r="IU367" s="20"/>
      <c r="IV367" s="20"/>
    </row>
    <row r="368" spans="1:256" s="20" customFormat="1" x14ac:dyDescent="0.2">
      <c r="A368" s="225"/>
      <c r="B368" s="225"/>
      <c r="C368" s="225"/>
      <c r="D368" s="225"/>
      <c r="E368" s="225"/>
      <c r="F368" s="225"/>
      <c r="G368" s="225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AT368" s="160"/>
      <c r="AU368" s="160"/>
    </row>
    <row r="369" spans="1:47" s="55" customFormat="1" ht="18" x14ac:dyDescent="0.25">
      <c r="A369" s="226"/>
      <c r="B369" s="420" t="s">
        <v>302</v>
      </c>
      <c r="C369" s="420"/>
      <c r="D369" s="420"/>
      <c r="E369" s="420"/>
      <c r="F369" s="420"/>
      <c r="G369" s="420"/>
      <c r="AT369" s="162"/>
      <c r="AU369" s="162"/>
    </row>
    <row r="370" spans="1:47" s="20" customFormat="1" ht="18.75" thickBot="1" x14ac:dyDescent="0.3">
      <c r="A370" s="225"/>
      <c r="B370" s="226"/>
      <c r="C370" s="227"/>
      <c r="D370" s="227"/>
      <c r="E370" s="227"/>
      <c r="F370" s="227"/>
      <c r="G370" s="227"/>
      <c r="AT370" s="160"/>
      <c r="AU370" s="160"/>
    </row>
    <row r="371" spans="1:47" s="20" customFormat="1" x14ac:dyDescent="0.2">
      <c r="A371" s="225"/>
      <c r="B371" s="228" t="s">
        <v>0</v>
      </c>
      <c r="C371" s="417" t="str">
        <f>CUSTOMERNAME</f>
        <v>Evergreen Car Wash</v>
      </c>
      <c r="D371" s="418"/>
      <c r="E371" s="419"/>
      <c r="F371" s="225"/>
      <c r="G371" s="225"/>
      <c r="AT371" s="160"/>
      <c r="AU371" s="160"/>
    </row>
    <row r="372" spans="1:47" s="20" customFormat="1" ht="13.5" thickBot="1" x14ac:dyDescent="0.25">
      <c r="A372" s="225"/>
      <c r="B372" s="228" t="s">
        <v>1</v>
      </c>
      <c r="C372" s="409" t="str">
        <f>ADDRESS</f>
        <v>29002 Crossroads Ln., Evergreen, CO 80439</v>
      </c>
      <c r="D372" s="410"/>
      <c r="E372" s="411"/>
      <c r="F372" s="225"/>
      <c r="G372" s="225"/>
      <c r="AT372" s="160"/>
      <c r="AU372" s="160"/>
    </row>
    <row r="373" spans="1:47" s="20" customFormat="1" x14ac:dyDescent="0.2">
      <c r="A373" s="225"/>
      <c r="B373" s="225"/>
      <c r="C373" s="225"/>
      <c r="D373" s="225"/>
      <c r="E373" s="225"/>
      <c r="F373" s="225"/>
      <c r="G373" s="229" t="s">
        <v>216</v>
      </c>
      <c r="AT373" s="160"/>
      <c r="AU373" s="160"/>
    </row>
    <row r="374" spans="1:47" s="230" customFormat="1" ht="19.5" x14ac:dyDescent="0.25">
      <c r="A374" s="412" t="s">
        <v>219</v>
      </c>
      <c r="B374" s="412"/>
      <c r="C374" s="412"/>
      <c r="D374" s="412"/>
      <c r="E374" s="412"/>
      <c r="F374" s="412"/>
      <c r="G374" s="412"/>
      <c r="AT374" s="231"/>
      <c r="AU374" s="231"/>
    </row>
    <row r="375" spans="1:47" s="20" customFormat="1" ht="13.5" thickBot="1" x14ac:dyDescent="0.25">
      <c r="A375" s="225"/>
      <c r="B375" s="225"/>
      <c r="C375" s="225"/>
      <c r="D375" s="225"/>
      <c r="E375" s="225"/>
      <c r="F375" s="225"/>
      <c r="G375" s="225"/>
      <c r="AT375" s="160"/>
      <c r="AU375" s="160"/>
    </row>
    <row r="376" spans="1:47" s="75" customFormat="1" ht="13.5" thickBot="1" x14ac:dyDescent="0.25">
      <c r="A376" s="225"/>
      <c r="B376" s="232"/>
      <c r="C376" s="233"/>
      <c r="D376" s="233"/>
      <c r="E376" s="234"/>
      <c r="F376" s="235" t="s">
        <v>182</v>
      </c>
      <c r="G376" s="298" t="s">
        <v>208</v>
      </c>
      <c r="H376" s="385">
        <f>G39*D52*F377</f>
        <v>130041.53269130437</v>
      </c>
      <c r="I376" s="370"/>
      <c r="AT376" s="184"/>
      <c r="AU376" s="184"/>
    </row>
    <row r="377" spans="1:47" s="212" customFormat="1" ht="13.5" thickBot="1" x14ac:dyDescent="0.25">
      <c r="A377" s="225"/>
      <c r="B377" s="236" t="s">
        <v>207</v>
      </c>
      <c r="C377" s="237"/>
      <c r="D377" s="237"/>
      <c r="E377" s="237"/>
      <c r="F377" s="238">
        <f>D143</f>
        <v>65020.766345652184</v>
      </c>
      <c r="G377" s="299" t="s">
        <v>62</v>
      </c>
      <c r="H377" s="385">
        <f>G40*D53*F377</f>
        <v>292593.44855543482</v>
      </c>
      <c r="I377" s="370" t="s">
        <v>198</v>
      </c>
      <c r="AT377" s="213"/>
      <c r="AU377" s="213"/>
    </row>
    <row r="378" spans="1:47" s="243" customFormat="1" ht="21" thickBot="1" x14ac:dyDescent="0.35">
      <c r="A378" s="225"/>
      <c r="B378" s="240" t="s">
        <v>62</v>
      </c>
      <c r="C378" s="241"/>
      <c r="D378" s="241"/>
      <c r="E378" s="241"/>
      <c r="F378" s="300"/>
      <c r="G378" s="301"/>
      <c r="H378" s="385">
        <f>G41*D54*F377</f>
        <v>386873.55975663045</v>
      </c>
      <c r="I378" s="370"/>
      <c r="AT378" s="244"/>
      <c r="AU378" s="244"/>
    </row>
    <row r="379" spans="1:47" s="20" customFormat="1" x14ac:dyDescent="0.2">
      <c r="A379" s="243"/>
      <c r="B379" s="413" t="s">
        <v>209</v>
      </c>
      <c r="C379" s="414"/>
      <c r="D379" s="26" t="s">
        <v>63</v>
      </c>
      <c r="E379" s="26" t="s">
        <v>65</v>
      </c>
      <c r="F379" s="302"/>
      <c r="G379" s="303"/>
      <c r="H379" s="385">
        <f>G42*D55*F377</f>
        <v>214568.52894065221</v>
      </c>
      <c r="I379" s="370"/>
      <c r="AT379" s="160"/>
      <c r="AU379" s="160"/>
    </row>
    <row r="380" spans="1:47" s="20" customFormat="1" ht="13.5" thickBot="1" x14ac:dyDescent="0.25">
      <c r="B380" s="415" t="s">
        <v>210</v>
      </c>
      <c r="C380" s="416"/>
      <c r="D380" s="32" t="s">
        <v>64</v>
      </c>
      <c r="E380" s="32" t="s">
        <v>66</v>
      </c>
      <c r="F380" s="304"/>
      <c r="G380" s="305"/>
      <c r="H380" s="385">
        <f>G43*D56*F377</f>
        <v>0</v>
      </c>
      <c r="I380" s="370"/>
      <c r="AT380" s="160"/>
      <c r="AU380" s="160"/>
    </row>
    <row r="381" spans="1:47" s="20" customFormat="1" ht="13.5" thickBot="1" x14ac:dyDescent="0.25">
      <c r="B381" s="84" t="s">
        <v>119</v>
      </c>
      <c r="C381" s="85"/>
      <c r="D381" s="126">
        <f>H382</f>
        <v>15.749999999999998</v>
      </c>
      <c r="E381" s="257">
        <f>E246</f>
        <v>1</v>
      </c>
      <c r="F381" s="308">
        <f>F377*D381*E381</f>
        <v>1024077.0699440218</v>
      </c>
      <c r="G381" s="309">
        <f>F381/F387</f>
        <v>0.7529940477613366</v>
      </c>
      <c r="H381" s="385">
        <f>SUM(H376:H380)</f>
        <v>1024077.0699440218</v>
      </c>
      <c r="I381" s="370"/>
      <c r="AT381" s="160"/>
      <c r="AU381" s="160"/>
    </row>
    <row r="382" spans="1:47" s="20" customFormat="1" ht="13.5" thickBot="1" x14ac:dyDescent="0.25">
      <c r="B382" s="84" t="s">
        <v>296</v>
      </c>
      <c r="C382" s="85"/>
      <c r="D382" s="126">
        <f>D247</f>
        <v>15</v>
      </c>
      <c r="E382" s="257">
        <f>$G$44</f>
        <v>0.2</v>
      </c>
      <c r="F382" s="308">
        <f>F377*D382*E382</f>
        <v>195062.29903695657</v>
      </c>
      <c r="G382" s="309">
        <f>F382/F387</f>
        <v>0.14342743766882607</v>
      </c>
      <c r="H382" s="385">
        <f>H381/F377</f>
        <v>15.749999999999998</v>
      </c>
      <c r="I382" s="370"/>
      <c r="AT382" s="160"/>
      <c r="AU382" s="160"/>
    </row>
    <row r="383" spans="1:47" s="20" customFormat="1" ht="13.5" thickBot="1" x14ac:dyDescent="0.25">
      <c r="B383" s="84" t="s">
        <v>288</v>
      </c>
      <c r="C383" s="85"/>
      <c r="D383" s="126">
        <f>D248</f>
        <v>49</v>
      </c>
      <c r="E383" s="257">
        <f>E248</f>
        <v>0.05</v>
      </c>
      <c r="F383" s="308">
        <f>F377*D383*E383</f>
        <v>159300.87754684786</v>
      </c>
      <c r="G383" s="309">
        <f>F383/F387</f>
        <v>0.11713240742954127</v>
      </c>
      <c r="H383" s="370"/>
      <c r="I383" s="370"/>
      <c r="J383" s="329"/>
      <c r="AT383" s="160"/>
      <c r="AU383" s="160"/>
    </row>
    <row r="384" spans="1:47" s="20" customFormat="1" ht="13.5" thickBot="1" x14ac:dyDescent="0.25">
      <c r="B384" s="84" t="s">
        <v>297</v>
      </c>
      <c r="C384" s="85"/>
      <c r="D384" s="326"/>
      <c r="E384" s="325"/>
      <c r="F384" s="308">
        <f>F382+F383</f>
        <v>354363.17658380442</v>
      </c>
      <c r="G384" s="309">
        <f>F384/F387</f>
        <v>0.26055984509836733</v>
      </c>
      <c r="AT384" s="160"/>
      <c r="AU384" s="160"/>
    </row>
    <row r="385" spans="1:55" s="20" customFormat="1" ht="13.5" thickBot="1" x14ac:dyDescent="0.25">
      <c r="B385" s="310" t="s">
        <v>298</v>
      </c>
      <c r="C385" s="311"/>
      <c r="D385" s="329"/>
      <c r="E385" s="311"/>
      <c r="F385" s="308">
        <f>F381</f>
        <v>1024077.0699440218</v>
      </c>
      <c r="G385" s="309">
        <f>F385/F387</f>
        <v>0.7529940477613366</v>
      </c>
      <c r="AT385" s="160"/>
      <c r="AU385" s="160"/>
    </row>
    <row r="386" spans="1:55" s="20" customFormat="1" ht="13.5" thickBot="1" x14ac:dyDescent="0.25">
      <c r="B386" s="250" t="s">
        <v>121</v>
      </c>
      <c r="C386" s="251"/>
      <c r="D386" s="312">
        <f>D251</f>
        <v>0.03</v>
      </c>
      <c r="E386" s="257">
        <f>E251</f>
        <v>0.6</v>
      </c>
      <c r="F386" s="126">
        <f>F385*D386*E386*-1</f>
        <v>-18433.387258992389</v>
      </c>
      <c r="G386" s="312">
        <f>F386/F387</f>
        <v>-1.3553892859704058E-2</v>
      </c>
      <c r="AT386" s="160"/>
      <c r="AU386" s="160"/>
    </row>
    <row r="387" spans="1:55" s="20" customFormat="1" ht="13.5" thickBot="1" x14ac:dyDescent="0.25">
      <c r="B387" s="250" t="s">
        <v>71</v>
      </c>
      <c r="C387" s="251"/>
      <c r="D387" s="251"/>
      <c r="E387" s="251"/>
      <c r="F387" s="252">
        <f>F385+F384+F386</f>
        <v>1360006.8592688339</v>
      </c>
      <c r="G387" s="313">
        <f>F387/F387</f>
        <v>1</v>
      </c>
      <c r="I387" s="261"/>
      <c r="AT387" s="160"/>
      <c r="AU387" s="160"/>
    </row>
    <row r="388" spans="1:55" s="254" customFormat="1" ht="15.75" thickBot="1" x14ac:dyDescent="0.25">
      <c r="A388" s="20"/>
      <c r="B388" s="406" t="s">
        <v>74</v>
      </c>
      <c r="C388" s="407"/>
      <c r="D388" s="407"/>
      <c r="E388" s="407"/>
      <c r="F388" s="407"/>
      <c r="G388" s="408"/>
      <c r="J388" s="384"/>
      <c r="AT388" s="314"/>
      <c r="AU388" s="314"/>
    </row>
    <row r="389" spans="1:55" s="20" customFormat="1" ht="13.5" thickBot="1" x14ac:dyDescent="0.25">
      <c r="B389" s="250" t="s">
        <v>200</v>
      </c>
      <c r="C389" s="311"/>
      <c r="D389" s="311"/>
      <c r="E389" s="315"/>
      <c r="F389" s="321">
        <f>($F$257*12)*(1+G33)</f>
        <v>226237.44</v>
      </c>
      <c r="G389" s="316">
        <f>F389/$F$387</f>
        <v>0.16635021982288359</v>
      </c>
      <c r="H389" s="261"/>
      <c r="I389" s="261"/>
      <c r="J389" s="329"/>
      <c r="AT389" s="160"/>
      <c r="AU389" s="160"/>
    </row>
    <row r="390" spans="1:55" s="20" customFormat="1" ht="13.5" thickBot="1" x14ac:dyDescent="0.25">
      <c r="B390" s="250" t="s">
        <v>233</v>
      </c>
      <c r="C390" s="311"/>
      <c r="D390" s="311"/>
      <c r="E390" s="315"/>
      <c r="F390" s="308">
        <f>K391-1000</f>
        <v>45524.30894330451</v>
      </c>
      <c r="G390" s="316">
        <f t="shared" ref="G390:G402" si="14">F390/$F$387</f>
        <v>3.3473587749240662E-2</v>
      </c>
      <c r="I390" s="261"/>
      <c r="AT390" s="160"/>
      <c r="AU390" s="160"/>
    </row>
    <row r="391" spans="1:55" s="20" customFormat="1" ht="13.5" thickBot="1" x14ac:dyDescent="0.25">
      <c r="B391" s="250" t="s">
        <v>77</v>
      </c>
      <c r="C391" s="311"/>
      <c r="D391" s="311"/>
      <c r="E391" s="315"/>
      <c r="F391" s="308">
        <f>$E$259*F387-2700</f>
        <v>78900.411556130028</v>
      </c>
      <c r="G391" s="316">
        <f>F391/$F$387</f>
        <v>5.8014715895292189E-2</v>
      </c>
      <c r="I391" s="261"/>
      <c r="K391" s="336">
        <f>(F377*$G$39*D$62)+(F377*$G$40*D$63)+(F377*$G$41*D$64)+(F377*$G$42*D$65)+(F377*$G$43*D$66)</f>
        <v>46524.30894330451</v>
      </c>
      <c r="AT391" s="160"/>
      <c r="AU391" s="160"/>
    </row>
    <row r="392" spans="1:55" s="20" customFormat="1" ht="13.5" thickBot="1" x14ac:dyDescent="0.25">
      <c r="B392" s="250" t="s">
        <v>72</v>
      </c>
      <c r="C392" s="311"/>
      <c r="D392" s="311"/>
      <c r="E392" s="315"/>
      <c r="F392" s="308">
        <f>$E$260*F387</f>
        <v>40800.205778065014</v>
      </c>
      <c r="G392" s="316">
        <f t="shared" si="14"/>
        <v>0.03</v>
      </c>
      <c r="I392" s="261"/>
      <c r="AT392" s="160"/>
      <c r="AU392" s="160"/>
    </row>
    <row r="393" spans="1:55" s="20" customFormat="1" ht="13.5" thickBot="1" x14ac:dyDescent="0.25">
      <c r="B393" s="250" t="s">
        <v>78</v>
      </c>
      <c r="C393" s="311"/>
      <c r="D393" s="311"/>
      <c r="E393" s="315"/>
      <c r="F393" s="308">
        <f>$E$261*F387</f>
        <v>13600.06859268834</v>
      </c>
      <c r="G393" s="316">
        <f t="shared" si="14"/>
        <v>0.01</v>
      </c>
      <c r="I393" s="261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9"/>
      <c r="AU393" s="19"/>
      <c r="AV393" s="18"/>
      <c r="AW393" s="18"/>
      <c r="AX393" s="18"/>
      <c r="AY393" s="18"/>
      <c r="AZ393" s="18"/>
      <c r="BA393" s="18"/>
      <c r="BB393" s="18"/>
      <c r="BC393" s="18"/>
    </row>
    <row r="394" spans="1:55" s="20" customFormat="1" ht="13.5" thickBot="1" x14ac:dyDescent="0.25">
      <c r="B394" s="250" t="s">
        <v>83</v>
      </c>
      <c r="C394" s="311"/>
      <c r="D394" s="311"/>
      <c r="E394" s="315"/>
      <c r="F394" s="308">
        <f>$E$262*F387</f>
        <v>13600.06859268834</v>
      </c>
      <c r="G394" s="316">
        <f t="shared" si="14"/>
        <v>0.01</v>
      </c>
      <c r="I394" s="261"/>
      <c r="AT394" s="160"/>
      <c r="AU394" s="160"/>
    </row>
    <row r="395" spans="1:55" s="20" customFormat="1" ht="13.5" thickBot="1" x14ac:dyDescent="0.25">
      <c r="B395" s="250" t="s">
        <v>79</v>
      </c>
      <c r="C395" s="311"/>
      <c r="D395" s="311"/>
      <c r="E395" s="315"/>
      <c r="F395" s="308">
        <f>$E$263*F387</f>
        <v>13600.06859268834</v>
      </c>
      <c r="G395" s="316">
        <f t="shared" si="14"/>
        <v>0.01</v>
      </c>
      <c r="I395" s="261"/>
      <c r="AT395" s="160"/>
      <c r="AU395" s="160"/>
    </row>
    <row r="396" spans="1:55" s="20" customFormat="1" ht="13.5" thickBot="1" x14ac:dyDescent="0.25">
      <c r="B396" s="250" t="s">
        <v>199</v>
      </c>
      <c r="C396" s="311"/>
      <c r="D396" s="311"/>
      <c r="E396" s="315"/>
      <c r="F396" s="321">
        <f>($F$264*12)*(1+G33)</f>
        <v>146025.98400000003</v>
      </c>
      <c r="G396" s="316">
        <f t="shared" si="14"/>
        <v>0.10737150552204305</v>
      </c>
      <c r="I396" s="261"/>
      <c r="AT396" s="160"/>
      <c r="AU396" s="160"/>
    </row>
    <row r="397" spans="1:55" s="20" customFormat="1" ht="13.5" customHeight="1" thickBot="1" x14ac:dyDescent="0.25">
      <c r="B397" s="250" t="s">
        <v>123</v>
      </c>
      <c r="C397" s="311"/>
      <c r="D397" s="311"/>
      <c r="E397" s="315"/>
      <c r="F397" s="308">
        <f>$E$265*F387</f>
        <v>0</v>
      </c>
      <c r="G397" s="316">
        <f t="shared" si="14"/>
        <v>0</v>
      </c>
      <c r="I397" s="261"/>
      <c r="AT397" s="160"/>
      <c r="AU397" s="160"/>
    </row>
    <row r="398" spans="1:55" s="20" customFormat="1" ht="13.5" thickBot="1" x14ac:dyDescent="0.25">
      <c r="B398" s="250" t="s">
        <v>80</v>
      </c>
      <c r="C398" s="311"/>
      <c r="D398" s="311"/>
      <c r="E398" s="315"/>
      <c r="F398" s="308">
        <f>$E$266*F387</f>
        <v>13600.06859268834</v>
      </c>
      <c r="G398" s="316">
        <f t="shared" si="14"/>
        <v>0.01</v>
      </c>
      <c r="I398" s="261"/>
      <c r="AT398" s="160"/>
      <c r="AU398" s="160"/>
    </row>
    <row r="399" spans="1:55" s="20" customFormat="1" ht="13.5" thickBot="1" x14ac:dyDescent="0.25">
      <c r="B399" s="250" t="s">
        <v>290</v>
      </c>
      <c r="C399" s="311"/>
      <c r="D399" s="311"/>
      <c r="E399" s="315"/>
      <c r="F399" s="308">
        <f>$E$267*F387</f>
        <v>20400.102889032507</v>
      </c>
      <c r="G399" s="316">
        <f t="shared" si="14"/>
        <v>1.4999999999999999E-2</v>
      </c>
      <c r="I399" s="261"/>
      <c r="AT399" s="160"/>
      <c r="AU399" s="160"/>
    </row>
    <row r="400" spans="1:55" s="20" customFormat="1" ht="13.5" thickBot="1" x14ac:dyDescent="0.25">
      <c r="B400" s="250" t="s">
        <v>73</v>
      </c>
      <c r="C400" s="311"/>
      <c r="D400" s="311"/>
      <c r="E400" s="315"/>
      <c r="F400" s="308">
        <f>$F$268*12</f>
        <v>24000</v>
      </c>
      <c r="G400" s="316">
        <f t="shared" si="14"/>
        <v>1.7646969819624929E-2</v>
      </c>
      <c r="I400" s="261"/>
      <c r="AT400" s="160"/>
      <c r="AU400" s="160"/>
    </row>
    <row r="401" spans="1:256" s="20" customFormat="1" ht="13.5" thickBot="1" x14ac:dyDescent="0.25">
      <c r="B401" s="250" t="s">
        <v>81</v>
      </c>
      <c r="C401" s="311"/>
      <c r="D401" s="311"/>
      <c r="E401" s="315"/>
      <c r="F401" s="308">
        <f>$F$269*12</f>
        <v>6000</v>
      </c>
      <c r="G401" s="316">
        <f t="shared" si="14"/>
        <v>4.4117424549062322E-3</v>
      </c>
      <c r="I401" s="261"/>
      <c r="AT401" s="160"/>
      <c r="AU401" s="160"/>
    </row>
    <row r="402" spans="1:256" s="20" customFormat="1" ht="13.5" thickBot="1" x14ac:dyDescent="0.25">
      <c r="B402" s="250" t="s">
        <v>82</v>
      </c>
      <c r="C402" s="311"/>
      <c r="D402" s="311"/>
      <c r="E402" s="315"/>
      <c r="F402" s="308">
        <f>$E$270*F387</f>
        <v>13600.06859268834</v>
      </c>
      <c r="G402" s="316">
        <f t="shared" si="14"/>
        <v>0.01</v>
      </c>
      <c r="I402" s="261"/>
      <c r="AT402" s="160"/>
      <c r="AU402" s="160"/>
    </row>
    <row r="403" spans="1:256" s="20" customFormat="1" ht="13.5" thickBot="1" x14ac:dyDescent="0.25">
      <c r="B403" s="250" t="s">
        <v>84</v>
      </c>
      <c r="C403" s="311"/>
      <c r="D403" s="311"/>
      <c r="E403" s="315"/>
      <c r="F403" s="308">
        <f>SUM(F389:F402)</f>
        <v>655888.79612997372</v>
      </c>
      <c r="G403" s="316">
        <f>F403/F387</f>
        <v>0.48226874126399061</v>
      </c>
      <c r="I403" s="261"/>
      <c r="AT403" s="160"/>
      <c r="AU403" s="160"/>
    </row>
    <row r="404" spans="1:256" s="20" customFormat="1" ht="13.5" thickBot="1" x14ac:dyDescent="0.25">
      <c r="B404" s="250"/>
      <c r="C404" s="311"/>
      <c r="D404" s="311"/>
      <c r="E404" s="315"/>
      <c r="F404" s="317"/>
      <c r="G404" s="316"/>
      <c r="AT404" s="160"/>
      <c r="AU404" s="160"/>
    </row>
    <row r="405" spans="1:256" s="20" customFormat="1" ht="13.5" thickBot="1" x14ac:dyDescent="0.25">
      <c r="B405" s="236" t="s">
        <v>220</v>
      </c>
      <c r="C405" s="311"/>
      <c r="D405" s="311"/>
      <c r="E405" s="315"/>
      <c r="F405" s="308">
        <f>F387-F403</f>
        <v>704118.06313886016</v>
      </c>
      <c r="G405" s="316">
        <f>F405/F387</f>
        <v>0.51773125873600945</v>
      </c>
      <c r="AS405" s="160"/>
      <c r="AT405" s="160"/>
    </row>
    <row r="406" spans="1:256" s="254" customFormat="1" ht="15.75" thickBot="1" x14ac:dyDescent="0.25">
      <c r="A406" s="20"/>
      <c r="B406" s="406" t="s">
        <v>211</v>
      </c>
      <c r="C406" s="407"/>
      <c r="D406" s="407"/>
      <c r="E406" s="407"/>
      <c r="F406" s="407"/>
      <c r="G406" s="408"/>
      <c r="AS406" s="314"/>
      <c r="AT406" s="314"/>
    </row>
    <row r="407" spans="1:256" s="10" customFormat="1" ht="13.5" thickBot="1" x14ac:dyDescent="0.25">
      <c r="A407" s="254"/>
      <c r="B407" s="250" t="s">
        <v>212</v>
      </c>
      <c r="C407" s="318"/>
      <c r="D407" s="293"/>
      <c r="E407" s="294"/>
      <c r="F407" s="319">
        <f>$G$301*12</f>
        <v>0</v>
      </c>
      <c r="G407" s="322">
        <f>F407/F387</f>
        <v>0</v>
      </c>
      <c r="AS407" s="323"/>
      <c r="AT407" s="323"/>
    </row>
    <row r="408" spans="1:256" s="20" customFormat="1" ht="13.5" thickBot="1" x14ac:dyDescent="0.25">
      <c r="A408" s="10"/>
      <c r="B408" s="250" t="s">
        <v>108</v>
      </c>
      <c r="C408" s="318"/>
      <c r="D408" s="293"/>
      <c r="E408" s="294"/>
      <c r="F408" s="319">
        <f>$G$309*12</f>
        <v>0</v>
      </c>
      <c r="G408" s="313">
        <f>F408/F387</f>
        <v>0</v>
      </c>
      <c r="AS408" s="160"/>
      <c r="AT408" s="160"/>
    </row>
    <row r="409" spans="1:256" s="20" customFormat="1" ht="13.5" thickBot="1" x14ac:dyDescent="0.25">
      <c r="B409" s="250" t="s">
        <v>213</v>
      </c>
      <c r="C409" s="311"/>
      <c r="D409" s="311"/>
      <c r="E409" s="315"/>
      <c r="F409" s="308">
        <f>SUM(F407:F408)</f>
        <v>0</v>
      </c>
      <c r="G409" s="316">
        <f>SUM(G407:G408)</f>
        <v>0</v>
      </c>
      <c r="AS409" s="160"/>
      <c r="AT409" s="160"/>
    </row>
    <row r="410" spans="1:256" s="20" customFormat="1" x14ac:dyDescent="0.2">
      <c r="B410" s="232"/>
      <c r="C410" s="233"/>
      <c r="D410" s="233"/>
      <c r="E410" s="233"/>
      <c r="F410" s="266"/>
      <c r="G410" s="266"/>
      <c r="AS410" s="160"/>
      <c r="AT410" s="160"/>
    </row>
    <row r="411" spans="1:256" s="20" customFormat="1" ht="13.5" thickBot="1" x14ac:dyDescent="0.25">
      <c r="B411" s="236" t="s">
        <v>214</v>
      </c>
      <c r="C411" s="237"/>
      <c r="D411" s="237"/>
      <c r="E411" s="237"/>
      <c r="F411" s="267">
        <f>F405-F409</f>
        <v>704118.06313886016</v>
      </c>
      <c r="G411" s="320">
        <f>F411/F387</f>
        <v>0.51773125873600945</v>
      </c>
      <c r="AT411" s="160"/>
      <c r="AU411" s="160"/>
    </row>
    <row r="412" spans="1:256" s="20" customFormat="1" x14ac:dyDescent="0.2">
      <c r="J412" s="261"/>
      <c r="AT412" s="160"/>
      <c r="AU412" s="160"/>
    </row>
    <row r="413" spans="1:256" s="21" customFormat="1" x14ac:dyDescent="0.2">
      <c r="A413" s="18"/>
      <c r="B413" s="18"/>
      <c r="C413" s="18"/>
      <c r="D413" s="23"/>
      <c r="E413" s="18"/>
      <c r="F413" s="18"/>
      <c r="G413" s="18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18"/>
      <c r="U413" s="18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160"/>
      <c r="AU413" s="16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/>
      <c r="DB413" s="20"/>
      <c r="DC413" s="20"/>
      <c r="DD413" s="20"/>
      <c r="DE413" s="20"/>
      <c r="DF413" s="20"/>
      <c r="DG413" s="20"/>
      <c r="DH413" s="20"/>
      <c r="DI413" s="20"/>
      <c r="DJ413" s="20"/>
      <c r="DK413" s="20"/>
      <c r="DL413" s="20"/>
      <c r="DM413" s="20"/>
      <c r="DN413" s="20"/>
      <c r="DO413" s="20"/>
      <c r="DP413" s="20"/>
      <c r="DQ413" s="20"/>
      <c r="DR413" s="20"/>
      <c r="DS413" s="20"/>
      <c r="DT413" s="20"/>
      <c r="DU413" s="20"/>
      <c r="DV413" s="20"/>
      <c r="DW413" s="20"/>
      <c r="DX413" s="20"/>
      <c r="DY413" s="20"/>
      <c r="DZ413" s="20"/>
      <c r="EA413" s="20"/>
      <c r="EB413" s="20"/>
      <c r="EC413" s="20"/>
      <c r="ED413" s="20"/>
      <c r="EE413" s="20"/>
      <c r="EF413" s="20"/>
      <c r="EG413" s="20"/>
      <c r="EH413" s="20"/>
      <c r="EI413" s="20"/>
      <c r="EJ413" s="20"/>
      <c r="EK413" s="20"/>
      <c r="EL413" s="20"/>
      <c r="EM413" s="20"/>
      <c r="EN413" s="20"/>
      <c r="EO413" s="20"/>
      <c r="EP413" s="20"/>
      <c r="EQ413" s="20"/>
      <c r="ER413" s="20"/>
      <c r="ES413" s="20"/>
      <c r="ET413" s="20"/>
      <c r="EU413" s="20"/>
      <c r="EV413" s="20"/>
      <c r="EW413" s="20"/>
      <c r="EX413" s="20"/>
      <c r="EY413" s="20"/>
      <c r="EZ413" s="20"/>
      <c r="FA413" s="20"/>
      <c r="FB413" s="20"/>
      <c r="FC413" s="20"/>
      <c r="FD413" s="20"/>
      <c r="FE413" s="20"/>
      <c r="FF413" s="20"/>
      <c r="FG413" s="20"/>
      <c r="FH413" s="20"/>
      <c r="FI413" s="20"/>
      <c r="FJ413" s="20"/>
      <c r="FK413" s="20"/>
      <c r="FL413" s="20"/>
      <c r="FM413" s="20"/>
      <c r="FN413" s="20"/>
      <c r="FO413" s="20"/>
      <c r="FP413" s="20"/>
      <c r="FQ413" s="20"/>
      <c r="FR413" s="20"/>
      <c r="FS413" s="20"/>
      <c r="FT413" s="20"/>
      <c r="FU413" s="20"/>
      <c r="FV413" s="20"/>
      <c r="FW413" s="20"/>
      <c r="FX413" s="20"/>
      <c r="FY413" s="20"/>
      <c r="FZ413" s="20"/>
      <c r="GA413" s="20"/>
      <c r="GB413" s="20"/>
      <c r="GC413" s="20"/>
      <c r="GD413" s="20"/>
      <c r="GE413" s="20"/>
      <c r="GF413" s="20"/>
      <c r="GG413" s="20"/>
      <c r="GH413" s="20"/>
      <c r="GI413" s="20"/>
      <c r="GJ413" s="20"/>
      <c r="GK413" s="20"/>
      <c r="GL413" s="20"/>
      <c r="GM413" s="20"/>
      <c r="GN413" s="20"/>
      <c r="GO413" s="20"/>
      <c r="GP413" s="20"/>
      <c r="GQ413" s="20"/>
      <c r="GR413" s="20"/>
      <c r="GS413" s="20"/>
      <c r="GT413" s="20"/>
      <c r="GU413" s="20"/>
      <c r="GV413" s="20"/>
      <c r="GW413" s="20"/>
      <c r="GX413" s="20"/>
      <c r="GY413" s="20"/>
      <c r="GZ413" s="20"/>
      <c r="HA413" s="20"/>
      <c r="HB413" s="20"/>
      <c r="HC413" s="20"/>
      <c r="HD413" s="20"/>
      <c r="HE413" s="20"/>
      <c r="HF413" s="20"/>
      <c r="HG413" s="20"/>
      <c r="HH413" s="20"/>
      <c r="HI413" s="20"/>
      <c r="HJ413" s="20"/>
      <c r="HK413" s="20"/>
      <c r="HL413" s="20"/>
      <c r="HM413" s="20"/>
      <c r="HN413" s="20"/>
      <c r="HO413" s="20"/>
      <c r="HP413" s="20"/>
      <c r="HQ413" s="20"/>
      <c r="HR413" s="20"/>
      <c r="HS413" s="20"/>
      <c r="HT413" s="20"/>
      <c r="HU413" s="20"/>
      <c r="HV413" s="20"/>
      <c r="HW413" s="20"/>
      <c r="HX413" s="20"/>
      <c r="HY413" s="20"/>
      <c r="HZ413" s="20"/>
      <c r="IA413" s="20"/>
      <c r="IB413" s="20"/>
      <c r="IC413" s="20"/>
      <c r="ID413" s="20"/>
      <c r="IE413" s="20"/>
      <c r="IF413" s="20"/>
      <c r="IG413" s="20"/>
      <c r="IH413" s="20"/>
      <c r="II413" s="20"/>
      <c r="IJ413" s="20"/>
      <c r="IK413" s="20"/>
      <c r="IL413" s="20"/>
      <c r="IM413" s="20"/>
      <c r="IN413" s="20"/>
      <c r="IO413" s="20"/>
      <c r="IP413" s="20"/>
      <c r="IQ413" s="20"/>
      <c r="IR413" s="20"/>
      <c r="IS413" s="20"/>
      <c r="IT413" s="20"/>
      <c r="IU413" s="20"/>
      <c r="IV413" s="20"/>
    </row>
    <row r="414" spans="1:256" s="20" customFormat="1" x14ac:dyDescent="0.2">
      <c r="A414" s="225"/>
      <c r="B414" s="225"/>
      <c r="C414" s="225"/>
      <c r="D414" s="225"/>
      <c r="E414" s="225"/>
      <c r="F414" s="225"/>
      <c r="G414" s="225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AT414" s="160"/>
      <c r="AU414" s="160"/>
    </row>
    <row r="415" spans="1:256" s="55" customFormat="1" ht="18" x14ac:dyDescent="0.25">
      <c r="A415" s="226"/>
      <c r="B415" s="420" t="s">
        <v>302</v>
      </c>
      <c r="C415" s="420"/>
      <c r="D415" s="420"/>
      <c r="E415" s="420"/>
      <c r="F415" s="420"/>
      <c r="G415" s="420"/>
      <c r="AT415" s="162"/>
      <c r="AU415" s="162"/>
    </row>
    <row r="416" spans="1:256" s="20" customFormat="1" ht="18.75" thickBot="1" x14ac:dyDescent="0.3">
      <c r="A416" s="225"/>
      <c r="B416" s="226"/>
      <c r="C416" s="227"/>
      <c r="D416" s="227"/>
      <c r="E416" s="227"/>
      <c r="F416" s="227"/>
      <c r="G416" s="227"/>
      <c r="AT416" s="160"/>
      <c r="AU416" s="160"/>
    </row>
    <row r="417" spans="1:47" s="20" customFormat="1" x14ac:dyDescent="0.2">
      <c r="A417" s="225"/>
      <c r="B417" s="228" t="s">
        <v>0</v>
      </c>
      <c r="C417" s="417" t="str">
        <f>CUSTOMERNAME</f>
        <v>Evergreen Car Wash</v>
      </c>
      <c r="D417" s="418"/>
      <c r="E417" s="419"/>
      <c r="F417" s="225"/>
      <c r="G417" s="225"/>
      <c r="AT417" s="160"/>
      <c r="AU417" s="160"/>
    </row>
    <row r="418" spans="1:47" s="20" customFormat="1" ht="13.5" thickBot="1" x14ac:dyDescent="0.25">
      <c r="A418" s="225"/>
      <c r="B418" s="228" t="s">
        <v>1</v>
      </c>
      <c r="C418" s="409" t="str">
        <f>ADDRESS</f>
        <v>29002 Crossroads Ln., Evergreen, CO 80439</v>
      </c>
      <c r="D418" s="410"/>
      <c r="E418" s="411"/>
      <c r="F418" s="225"/>
      <c r="G418" s="225"/>
      <c r="AT418" s="160"/>
      <c r="AU418" s="160"/>
    </row>
    <row r="419" spans="1:47" s="20" customFormat="1" x14ac:dyDescent="0.2">
      <c r="A419" s="225"/>
      <c r="B419" s="225"/>
      <c r="C419" s="225"/>
      <c r="D419" s="225"/>
      <c r="E419" s="225"/>
      <c r="F419" s="225"/>
      <c r="G419" s="229" t="s">
        <v>217</v>
      </c>
      <c r="AT419" s="160"/>
      <c r="AU419" s="160"/>
    </row>
    <row r="420" spans="1:47" s="230" customFormat="1" ht="19.5" x14ac:dyDescent="0.25">
      <c r="A420" s="412" t="s">
        <v>219</v>
      </c>
      <c r="B420" s="412"/>
      <c r="C420" s="412"/>
      <c r="D420" s="412"/>
      <c r="E420" s="412"/>
      <c r="F420" s="412"/>
      <c r="G420" s="412"/>
      <c r="AT420" s="231"/>
      <c r="AU420" s="231"/>
    </row>
    <row r="421" spans="1:47" s="20" customFormat="1" ht="13.5" thickBot="1" x14ac:dyDescent="0.25">
      <c r="A421" s="225"/>
      <c r="B421" s="225"/>
      <c r="C421" s="225"/>
      <c r="D421" s="225"/>
      <c r="E421" s="225"/>
      <c r="F421" s="225"/>
      <c r="G421" s="225"/>
      <c r="AT421" s="160"/>
      <c r="AU421" s="160"/>
    </row>
    <row r="422" spans="1:47" s="75" customFormat="1" ht="13.5" thickBot="1" x14ac:dyDescent="0.25">
      <c r="A422" s="225"/>
      <c r="B422" s="232"/>
      <c r="C422" s="233"/>
      <c r="D422" s="233"/>
      <c r="E422" s="234"/>
      <c r="F422" s="235" t="s">
        <v>175</v>
      </c>
      <c r="G422" s="298" t="s">
        <v>208</v>
      </c>
      <c r="H422" s="371">
        <f>G39*E52*F423</f>
        <v>140750.83538352943</v>
      </c>
      <c r="AT422" s="184"/>
      <c r="AU422" s="184"/>
    </row>
    <row r="423" spans="1:47" s="212" customFormat="1" ht="13.5" thickBot="1" x14ac:dyDescent="0.25">
      <c r="A423" s="225"/>
      <c r="B423" s="236" t="s">
        <v>207</v>
      </c>
      <c r="C423" s="237"/>
      <c r="D423" s="237"/>
      <c r="E423" s="237"/>
      <c r="F423" s="238">
        <f>E143</f>
        <v>70375.417691764713</v>
      </c>
      <c r="G423" s="299" t="s">
        <v>62</v>
      </c>
      <c r="H423" s="371">
        <f>G40*E53*F423</f>
        <v>316689.37961294118</v>
      </c>
      <c r="I423" s="335" t="s">
        <v>198</v>
      </c>
      <c r="AT423" s="213"/>
      <c r="AU423" s="213"/>
    </row>
    <row r="424" spans="1:47" s="243" customFormat="1" ht="21" thickBot="1" x14ac:dyDescent="0.35">
      <c r="A424" s="225"/>
      <c r="B424" s="240" t="s">
        <v>62</v>
      </c>
      <c r="C424" s="241"/>
      <c r="D424" s="241"/>
      <c r="E424" s="241"/>
      <c r="F424" s="300"/>
      <c r="G424" s="301"/>
      <c r="H424" s="371">
        <f>G41*E54*F423</f>
        <v>418733.73526599997</v>
      </c>
      <c r="AT424" s="244"/>
      <c r="AU424" s="244"/>
    </row>
    <row r="425" spans="1:47" s="20" customFormat="1" x14ac:dyDescent="0.2">
      <c r="A425" s="243"/>
      <c r="B425" s="413" t="s">
        <v>209</v>
      </c>
      <c r="C425" s="414"/>
      <c r="D425" s="26" t="s">
        <v>63</v>
      </c>
      <c r="E425" s="26" t="s">
        <v>65</v>
      </c>
      <c r="F425" s="302"/>
      <c r="G425" s="303"/>
      <c r="H425" s="371">
        <f>G42*E55*F423</f>
        <v>232238.87838282355</v>
      </c>
      <c r="AT425" s="160"/>
      <c r="AU425" s="160"/>
    </row>
    <row r="426" spans="1:47" s="20" customFormat="1" ht="13.5" thickBot="1" x14ac:dyDescent="0.25">
      <c r="B426" s="415" t="s">
        <v>210</v>
      </c>
      <c r="C426" s="416"/>
      <c r="D426" s="32" t="s">
        <v>64</v>
      </c>
      <c r="E426" s="32" t="s">
        <v>66</v>
      </c>
      <c r="F426" s="304"/>
      <c r="G426" s="305"/>
      <c r="H426" s="371">
        <f>G43*E56*F423</f>
        <v>0</v>
      </c>
      <c r="AT426" s="160"/>
      <c r="AU426" s="160"/>
    </row>
    <row r="427" spans="1:47" s="20" customFormat="1" ht="13.5" thickBot="1" x14ac:dyDescent="0.25">
      <c r="B427" s="84" t="s">
        <v>119</v>
      </c>
      <c r="C427" s="85"/>
      <c r="D427" s="126">
        <f>H428</f>
        <v>15.749999999999998</v>
      </c>
      <c r="E427" s="257">
        <f t="shared" ref="D427:E429" si="15">E246</f>
        <v>1</v>
      </c>
      <c r="F427" s="308">
        <f>F423*D427*E427</f>
        <v>1108412.8286452941</v>
      </c>
      <c r="G427" s="309">
        <f>F427/F433</f>
        <v>0.7529940477613366</v>
      </c>
      <c r="H427" s="371">
        <f>SUM(H422:H426)</f>
        <v>1108412.8286452941</v>
      </c>
      <c r="AT427" s="160"/>
      <c r="AU427" s="160"/>
    </row>
    <row r="428" spans="1:47" s="20" customFormat="1" ht="13.5" thickBot="1" x14ac:dyDescent="0.25">
      <c r="B428" s="84" t="s">
        <v>287</v>
      </c>
      <c r="C428" s="85"/>
      <c r="D428" s="126">
        <f t="shared" si="15"/>
        <v>15</v>
      </c>
      <c r="E428" s="257">
        <f t="shared" si="15"/>
        <v>0.2</v>
      </c>
      <c r="F428" s="308">
        <f>F423*D428*E428</f>
        <v>211126.25307529417</v>
      </c>
      <c r="G428" s="309">
        <f>F428/F433</f>
        <v>0.14342743766882607</v>
      </c>
      <c r="H428" s="371">
        <f>H427/F423</f>
        <v>15.749999999999998</v>
      </c>
      <c r="AT428" s="160"/>
      <c r="AU428" s="160"/>
    </row>
    <row r="429" spans="1:47" s="20" customFormat="1" ht="13.5" thickBot="1" x14ac:dyDescent="0.25">
      <c r="B429" s="84" t="s">
        <v>288</v>
      </c>
      <c r="C429" s="85"/>
      <c r="D429" s="126">
        <f t="shared" si="15"/>
        <v>49</v>
      </c>
      <c r="E429" s="257">
        <f t="shared" si="15"/>
        <v>0.05</v>
      </c>
      <c r="F429" s="308">
        <f>F423*D429*E429</f>
        <v>172419.77334482357</v>
      </c>
      <c r="G429" s="309">
        <f>F429/F433</f>
        <v>0.11713240742954129</v>
      </c>
      <c r="AT429" s="160"/>
      <c r="AU429" s="160"/>
    </row>
    <row r="430" spans="1:47" s="20" customFormat="1" ht="13.5" thickBot="1" x14ac:dyDescent="0.25">
      <c r="B430" s="84" t="s">
        <v>299</v>
      </c>
      <c r="C430" s="85"/>
      <c r="D430" s="326"/>
      <c r="E430" s="325"/>
      <c r="F430" s="308">
        <f>F428+F429</f>
        <v>383546.02642011771</v>
      </c>
      <c r="G430" s="309">
        <f>F430/F433</f>
        <v>0.26055984509836733</v>
      </c>
      <c r="AT430" s="160"/>
      <c r="AU430" s="160"/>
    </row>
    <row r="431" spans="1:47" s="20" customFormat="1" ht="13.5" thickBot="1" x14ac:dyDescent="0.25">
      <c r="B431" s="310" t="s">
        <v>300</v>
      </c>
      <c r="C431" s="311"/>
      <c r="D431" s="328"/>
      <c r="E431" s="328"/>
      <c r="F431" s="308">
        <f>F427</f>
        <v>1108412.8286452941</v>
      </c>
      <c r="G431" s="309">
        <f>F431/F433</f>
        <v>0.7529940477613366</v>
      </c>
      <c r="AT431" s="160"/>
      <c r="AU431" s="160"/>
    </row>
    <row r="432" spans="1:47" s="20" customFormat="1" ht="13.5" thickBot="1" x14ac:dyDescent="0.25">
      <c r="B432" s="250" t="s">
        <v>121</v>
      </c>
      <c r="C432" s="251"/>
      <c r="D432" s="312">
        <f>D251</f>
        <v>0.03</v>
      </c>
      <c r="E432" s="257">
        <f>E251</f>
        <v>0.6</v>
      </c>
      <c r="F432" s="126">
        <f>F431*D432*E432*-1</f>
        <v>-19951.430915615292</v>
      </c>
      <c r="G432" s="312">
        <f>F432/F433</f>
        <v>-1.3553892859704059E-2</v>
      </c>
      <c r="AT432" s="160"/>
      <c r="AU432" s="160"/>
    </row>
    <row r="433" spans="1:55" s="20" customFormat="1" ht="13.5" thickBot="1" x14ac:dyDescent="0.25">
      <c r="B433" s="250" t="s">
        <v>71</v>
      </c>
      <c r="C433" s="251"/>
      <c r="D433" s="251"/>
      <c r="E433" s="251"/>
      <c r="F433" s="252">
        <f>F431+F430+F432</f>
        <v>1472007.4241497966</v>
      </c>
      <c r="G433" s="313">
        <f>F433/F433</f>
        <v>1</v>
      </c>
      <c r="I433" s="261"/>
      <c r="AT433" s="160"/>
      <c r="AU433" s="160"/>
    </row>
    <row r="434" spans="1:55" s="254" customFormat="1" ht="15.75" thickBot="1" x14ac:dyDescent="0.25">
      <c r="A434" s="20"/>
      <c r="B434" s="406" t="s">
        <v>74</v>
      </c>
      <c r="C434" s="407"/>
      <c r="D434" s="407"/>
      <c r="E434" s="407"/>
      <c r="F434" s="407"/>
      <c r="G434" s="408"/>
      <c r="AT434" s="314"/>
      <c r="AU434" s="314"/>
    </row>
    <row r="435" spans="1:55" s="20" customFormat="1" ht="13.5" thickBot="1" x14ac:dyDescent="0.25">
      <c r="A435" s="254"/>
      <c r="B435" s="250" t="s">
        <v>200</v>
      </c>
      <c r="C435" s="311"/>
      <c r="D435" s="311"/>
      <c r="E435" s="315"/>
      <c r="F435" s="321">
        <f>($F$389)*(1+G33)</f>
        <v>233024.5632</v>
      </c>
      <c r="G435" s="316">
        <f t="shared" ref="G435:G448" si="16">F435/$F$433</f>
        <v>0.15830393201623325</v>
      </c>
      <c r="I435" s="261"/>
      <c r="AT435" s="160"/>
      <c r="AU435" s="160"/>
    </row>
    <row r="436" spans="1:55" s="20" customFormat="1" ht="13.5" thickBot="1" x14ac:dyDescent="0.25">
      <c r="B436" s="250" t="s">
        <v>233</v>
      </c>
      <c r="C436" s="311"/>
      <c r="D436" s="311"/>
      <c r="E436" s="315"/>
      <c r="F436" s="308">
        <f>K437-1500</f>
        <v>49862.837073408176</v>
      </c>
      <c r="G436" s="316">
        <f t="shared" si="16"/>
        <v>3.3874039121920871E-2</v>
      </c>
      <c r="I436" s="261"/>
      <c r="AT436" s="160"/>
      <c r="AU436" s="160"/>
    </row>
    <row r="437" spans="1:55" s="20" customFormat="1" ht="13.5" thickBot="1" x14ac:dyDescent="0.25">
      <c r="B437" s="250" t="s">
        <v>77</v>
      </c>
      <c r="C437" s="311"/>
      <c r="D437" s="311"/>
      <c r="E437" s="315"/>
      <c r="F437" s="308">
        <f>$E$259*F433-4000</f>
        <v>84320.445448987797</v>
      </c>
      <c r="G437" s="316">
        <f t="shared" si="16"/>
        <v>5.7282622400963552E-2</v>
      </c>
      <c r="I437" s="261"/>
      <c r="K437" s="336">
        <f>(F423*$G$39*E$62)+(F423*$G$40*E$63)+(F423*$G$41*E$64)+(F423*$G$42*E$65)+(F423*$G$43*E$66)</f>
        <v>51362.837073408176</v>
      </c>
      <c r="AT437" s="160"/>
      <c r="AU437" s="160"/>
    </row>
    <row r="438" spans="1:55" s="20" customFormat="1" ht="13.5" thickBot="1" x14ac:dyDescent="0.25">
      <c r="B438" s="250" t="s">
        <v>72</v>
      </c>
      <c r="C438" s="311"/>
      <c r="D438" s="311"/>
      <c r="E438" s="315"/>
      <c r="F438" s="308">
        <f>$E$260*F433</f>
        <v>44160.222724493899</v>
      </c>
      <c r="G438" s="316">
        <f t="shared" si="16"/>
        <v>0.03</v>
      </c>
      <c r="I438" s="261"/>
      <c r="AT438" s="160"/>
      <c r="AU438" s="160"/>
    </row>
    <row r="439" spans="1:55" s="20" customFormat="1" ht="13.5" thickBot="1" x14ac:dyDescent="0.25">
      <c r="B439" s="250" t="s">
        <v>78</v>
      </c>
      <c r="C439" s="311"/>
      <c r="D439" s="311"/>
      <c r="E439" s="315"/>
      <c r="F439" s="308">
        <f>$E$261*F433</f>
        <v>14720.074241497967</v>
      </c>
      <c r="G439" s="316">
        <f t="shared" si="16"/>
        <v>0.01</v>
      </c>
      <c r="I439" s="261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9"/>
      <c r="AU439" s="19"/>
      <c r="AV439" s="18"/>
      <c r="AW439" s="18"/>
      <c r="AX439" s="18"/>
      <c r="AY439" s="18"/>
      <c r="AZ439" s="18"/>
      <c r="BA439" s="18"/>
      <c r="BB439" s="18"/>
      <c r="BC439" s="18"/>
    </row>
    <row r="440" spans="1:55" s="20" customFormat="1" ht="13.5" thickBot="1" x14ac:dyDescent="0.25">
      <c r="B440" s="250" t="s">
        <v>83</v>
      </c>
      <c r="C440" s="311"/>
      <c r="D440" s="311"/>
      <c r="E440" s="315"/>
      <c r="F440" s="308">
        <f>$E$262*F433</f>
        <v>14720.074241497967</v>
      </c>
      <c r="G440" s="316">
        <f t="shared" si="16"/>
        <v>0.01</v>
      </c>
      <c r="I440" s="261"/>
      <c r="AT440" s="160"/>
      <c r="AU440" s="160"/>
    </row>
    <row r="441" spans="1:55" s="20" customFormat="1" ht="13.5" thickBot="1" x14ac:dyDescent="0.25">
      <c r="B441" s="250" t="s">
        <v>79</v>
      </c>
      <c r="C441" s="311"/>
      <c r="D441" s="311"/>
      <c r="E441" s="315"/>
      <c r="F441" s="308">
        <f>$E$263*F433</f>
        <v>14720.074241497967</v>
      </c>
      <c r="G441" s="316">
        <f t="shared" si="16"/>
        <v>0.01</v>
      </c>
      <c r="I441" s="261"/>
      <c r="AT441" s="160"/>
      <c r="AU441" s="160"/>
    </row>
    <row r="442" spans="1:55" s="20" customFormat="1" ht="13.5" thickBot="1" x14ac:dyDescent="0.25">
      <c r="B442" s="250" t="s">
        <v>199</v>
      </c>
      <c r="C442" s="311"/>
      <c r="D442" s="311"/>
      <c r="E442" s="315"/>
      <c r="F442" s="321">
        <f>($F$396)*(1+G33)</f>
        <v>150406.76352000004</v>
      </c>
      <c r="G442" s="316">
        <f t="shared" si="16"/>
        <v>0.10217799248320511</v>
      </c>
      <c r="I442" s="261"/>
      <c r="AT442" s="160"/>
      <c r="AU442" s="160"/>
    </row>
    <row r="443" spans="1:55" s="20" customFormat="1" ht="13.5" customHeight="1" thickBot="1" x14ac:dyDescent="0.25">
      <c r="B443" s="250" t="s">
        <v>123</v>
      </c>
      <c r="C443" s="311"/>
      <c r="D443" s="311"/>
      <c r="E443" s="315"/>
      <c r="F443" s="308">
        <f>$E$265*F433</f>
        <v>0</v>
      </c>
      <c r="G443" s="316">
        <f t="shared" si="16"/>
        <v>0</v>
      </c>
      <c r="I443" s="261"/>
      <c r="AT443" s="160"/>
      <c r="AU443" s="160"/>
    </row>
    <row r="444" spans="1:55" s="20" customFormat="1" ht="13.5" thickBot="1" x14ac:dyDescent="0.25">
      <c r="B444" s="250" t="s">
        <v>80</v>
      </c>
      <c r="C444" s="311"/>
      <c r="D444" s="311"/>
      <c r="E444" s="315"/>
      <c r="F444" s="308">
        <f>$E$266*F433</f>
        <v>14720.074241497967</v>
      </c>
      <c r="G444" s="316">
        <f t="shared" si="16"/>
        <v>0.01</v>
      </c>
      <c r="I444" s="261"/>
      <c r="AT444" s="160"/>
      <c r="AU444" s="160"/>
    </row>
    <row r="445" spans="1:55" s="20" customFormat="1" ht="13.5" thickBot="1" x14ac:dyDescent="0.25">
      <c r="B445" s="250" t="s">
        <v>290</v>
      </c>
      <c r="C445" s="311"/>
      <c r="D445" s="311"/>
      <c r="E445" s="315"/>
      <c r="F445" s="308">
        <f>$E$267*F433</f>
        <v>22080.111362246949</v>
      </c>
      <c r="G445" s="316">
        <f t="shared" si="16"/>
        <v>1.4999999999999999E-2</v>
      </c>
      <c r="I445" s="261"/>
      <c r="AT445" s="160"/>
      <c r="AU445" s="160"/>
    </row>
    <row r="446" spans="1:55" s="20" customFormat="1" ht="13.5" thickBot="1" x14ac:dyDescent="0.25">
      <c r="B446" s="250" t="s">
        <v>73</v>
      </c>
      <c r="C446" s="311"/>
      <c r="D446" s="311"/>
      <c r="E446" s="315"/>
      <c r="F446" s="308">
        <f>$F$268*12</f>
        <v>24000</v>
      </c>
      <c r="G446" s="316">
        <f t="shared" si="16"/>
        <v>1.6304265594218686E-2</v>
      </c>
      <c r="I446" s="261"/>
      <c r="AT446" s="160"/>
      <c r="AU446" s="160"/>
    </row>
    <row r="447" spans="1:55" s="20" customFormat="1" ht="13.5" thickBot="1" x14ac:dyDescent="0.25">
      <c r="B447" s="250" t="s">
        <v>81</v>
      </c>
      <c r="C447" s="311"/>
      <c r="D447" s="311"/>
      <c r="E447" s="315"/>
      <c r="F447" s="308">
        <f>$F$269*12</f>
        <v>6000</v>
      </c>
      <c r="G447" s="316">
        <f t="shared" si="16"/>
        <v>4.0760663985546716E-3</v>
      </c>
      <c r="I447" s="261"/>
      <c r="AT447" s="160"/>
      <c r="AU447" s="160"/>
    </row>
    <row r="448" spans="1:55" s="20" customFormat="1" ht="13.5" thickBot="1" x14ac:dyDescent="0.25">
      <c r="B448" s="250" t="s">
        <v>82</v>
      </c>
      <c r="C448" s="311"/>
      <c r="D448" s="311"/>
      <c r="E448" s="315"/>
      <c r="F448" s="308">
        <f>$E$270*F433</f>
        <v>14720.074241497967</v>
      </c>
      <c r="G448" s="316">
        <f t="shared" si="16"/>
        <v>0.01</v>
      </c>
      <c r="I448" s="261"/>
      <c r="AT448" s="160"/>
      <c r="AU448" s="160"/>
    </row>
    <row r="449" spans="1:256" s="20" customFormat="1" ht="13.5" thickBot="1" x14ac:dyDescent="0.25">
      <c r="B449" s="250" t="s">
        <v>84</v>
      </c>
      <c r="C449" s="311"/>
      <c r="D449" s="311"/>
      <c r="E449" s="315"/>
      <c r="F449" s="308">
        <f>SUM(F435:F448)</f>
        <v>687455.31453662668</v>
      </c>
      <c r="G449" s="316">
        <f>F449/F433</f>
        <v>0.4670189180150961</v>
      </c>
      <c r="I449" s="261"/>
      <c r="AT449" s="160"/>
      <c r="AU449" s="160"/>
    </row>
    <row r="450" spans="1:256" s="20" customFormat="1" ht="13.5" thickBot="1" x14ac:dyDescent="0.25">
      <c r="B450" s="250"/>
      <c r="C450" s="311"/>
      <c r="D450" s="311"/>
      <c r="E450" s="315"/>
      <c r="F450" s="317"/>
      <c r="G450" s="316"/>
      <c r="AT450" s="160"/>
      <c r="AU450" s="160"/>
    </row>
    <row r="451" spans="1:256" s="20" customFormat="1" ht="13.5" thickBot="1" x14ac:dyDescent="0.25">
      <c r="B451" s="236" t="s">
        <v>220</v>
      </c>
      <c r="C451" s="311"/>
      <c r="D451" s="311"/>
      <c r="E451" s="315"/>
      <c r="F451" s="308">
        <f>F433-F449</f>
        <v>784552.10961316992</v>
      </c>
      <c r="G451" s="316">
        <f>F451/F433</f>
        <v>0.5329810819849039</v>
      </c>
      <c r="AT451" s="160"/>
      <c r="AU451" s="160"/>
    </row>
    <row r="452" spans="1:256" s="254" customFormat="1" ht="15.75" thickBot="1" x14ac:dyDescent="0.25">
      <c r="B452" s="406" t="s">
        <v>211</v>
      </c>
      <c r="C452" s="407"/>
      <c r="D452" s="407"/>
      <c r="E452" s="407"/>
      <c r="F452" s="407"/>
      <c r="G452" s="408"/>
      <c r="AT452" s="314"/>
      <c r="AU452" s="314"/>
    </row>
    <row r="453" spans="1:256" s="10" customFormat="1" ht="13.5" thickBot="1" x14ac:dyDescent="0.25">
      <c r="A453" s="254"/>
      <c r="B453" s="250" t="s">
        <v>212</v>
      </c>
      <c r="C453" s="318"/>
      <c r="D453" s="293"/>
      <c r="E453" s="294"/>
      <c r="F453" s="319">
        <f>$G$301*12</f>
        <v>0</v>
      </c>
      <c r="G453" s="322">
        <f>F453/F433</f>
        <v>0</v>
      </c>
      <c r="AT453" s="323"/>
      <c r="AU453" s="323"/>
    </row>
    <row r="454" spans="1:256" s="20" customFormat="1" ht="13.5" thickBot="1" x14ac:dyDescent="0.25">
      <c r="A454" s="10"/>
      <c r="B454" s="250" t="s">
        <v>108</v>
      </c>
      <c r="C454" s="318"/>
      <c r="D454" s="293"/>
      <c r="E454" s="294"/>
      <c r="F454" s="319">
        <f>$G$309*12</f>
        <v>0</v>
      </c>
      <c r="G454" s="313">
        <f>F454/F433</f>
        <v>0</v>
      </c>
      <c r="AT454" s="160"/>
      <c r="AU454" s="160"/>
    </row>
    <row r="455" spans="1:256" s="20" customFormat="1" ht="13.5" thickBot="1" x14ac:dyDescent="0.25">
      <c r="B455" s="250" t="s">
        <v>213</v>
      </c>
      <c r="C455" s="311"/>
      <c r="D455" s="311"/>
      <c r="E455" s="315"/>
      <c r="F455" s="308">
        <f>SUM(F453:F454)</f>
        <v>0</v>
      </c>
      <c r="G455" s="316">
        <f>SUM(G453:G454)</f>
        <v>0</v>
      </c>
      <c r="AT455" s="160"/>
      <c r="AU455" s="160"/>
    </row>
    <row r="456" spans="1:256" s="20" customFormat="1" x14ac:dyDescent="0.2">
      <c r="B456" s="232"/>
      <c r="C456" s="233"/>
      <c r="D456" s="233"/>
      <c r="E456" s="233"/>
      <c r="F456" s="266"/>
      <c r="G456" s="266"/>
      <c r="AT456" s="160"/>
      <c r="AU456" s="160"/>
    </row>
    <row r="457" spans="1:256" s="20" customFormat="1" ht="13.5" thickBot="1" x14ac:dyDescent="0.25">
      <c r="B457" s="236" t="s">
        <v>214</v>
      </c>
      <c r="C457" s="237"/>
      <c r="D457" s="237"/>
      <c r="E457" s="237"/>
      <c r="F457" s="267">
        <f>F451-F455</f>
        <v>784552.10961316992</v>
      </c>
      <c r="G457" s="320">
        <f>F457/F433</f>
        <v>0.5329810819849039</v>
      </c>
      <c r="AT457" s="160"/>
      <c r="AU457" s="160"/>
    </row>
    <row r="458" spans="1:256" s="20" customFormat="1" x14ac:dyDescent="0.2">
      <c r="J458" s="261"/>
      <c r="AT458" s="160"/>
      <c r="AU458" s="160"/>
    </row>
    <row r="459" spans="1:256" s="21" customFormat="1" x14ac:dyDescent="0.2">
      <c r="A459" s="18"/>
      <c r="B459" s="18"/>
      <c r="C459" s="18"/>
      <c r="D459" s="23"/>
      <c r="E459" s="18"/>
      <c r="F459" s="18"/>
      <c r="G459" s="18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18"/>
      <c r="U459" s="18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160"/>
      <c r="AU459" s="16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/>
      <c r="DB459" s="20"/>
      <c r="DC459" s="20"/>
      <c r="DD459" s="20"/>
      <c r="DE459" s="20"/>
      <c r="DF459" s="20"/>
      <c r="DG459" s="20"/>
      <c r="DH459" s="20"/>
      <c r="DI459" s="20"/>
      <c r="DJ459" s="20"/>
      <c r="DK459" s="20"/>
      <c r="DL459" s="20"/>
      <c r="DM459" s="20"/>
      <c r="DN459" s="20"/>
      <c r="DO459" s="20"/>
      <c r="DP459" s="20"/>
      <c r="DQ459" s="20"/>
      <c r="DR459" s="20"/>
      <c r="DS459" s="20"/>
      <c r="DT459" s="20"/>
      <c r="DU459" s="20"/>
      <c r="DV459" s="20"/>
      <c r="DW459" s="20"/>
      <c r="DX459" s="20"/>
      <c r="DY459" s="20"/>
      <c r="DZ459" s="20"/>
      <c r="EA459" s="20"/>
      <c r="EB459" s="20"/>
      <c r="EC459" s="20"/>
      <c r="ED459" s="20"/>
      <c r="EE459" s="20"/>
      <c r="EF459" s="20"/>
      <c r="EG459" s="20"/>
      <c r="EH459" s="20"/>
      <c r="EI459" s="20"/>
      <c r="EJ459" s="20"/>
      <c r="EK459" s="20"/>
      <c r="EL459" s="20"/>
      <c r="EM459" s="20"/>
      <c r="EN459" s="20"/>
      <c r="EO459" s="20"/>
      <c r="EP459" s="20"/>
      <c r="EQ459" s="20"/>
      <c r="ER459" s="20"/>
      <c r="ES459" s="20"/>
      <c r="ET459" s="20"/>
      <c r="EU459" s="20"/>
      <c r="EV459" s="20"/>
      <c r="EW459" s="20"/>
      <c r="EX459" s="20"/>
      <c r="EY459" s="20"/>
      <c r="EZ459" s="20"/>
      <c r="FA459" s="20"/>
      <c r="FB459" s="20"/>
      <c r="FC459" s="20"/>
      <c r="FD459" s="20"/>
      <c r="FE459" s="20"/>
      <c r="FF459" s="20"/>
      <c r="FG459" s="20"/>
      <c r="FH459" s="20"/>
      <c r="FI459" s="20"/>
      <c r="FJ459" s="20"/>
      <c r="FK459" s="20"/>
      <c r="FL459" s="20"/>
      <c r="FM459" s="20"/>
      <c r="FN459" s="20"/>
      <c r="FO459" s="20"/>
      <c r="FP459" s="20"/>
      <c r="FQ459" s="20"/>
      <c r="FR459" s="20"/>
      <c r="FS459" s="20"/>
      <c r="FT459" s="20"/>
      <c r="FU459" s="20"/>
      <c r="FV459" s="20"/>
      <c r="FW459" s="20"/>
      <c r="FX459" s="20"/>
      <c r="FY459" s="20"/>
      <c r="FZ459" s="20"/>
      <c r="GA459" s="20"/>
      <c r="GB459" s="20"/>
      <c r="GC459" s="20"/>
      <c r="GD459" s="20"/>
      <c r="GE459" s="20"/>
      <c r="GF459" s="20"/>
      <c r="GG459" s="20"/>
      <c r="GH459" s="20"/>
      <c r="GI459" s="20"/>
      <c r="GJ459" s="20"/>
      <c r="GK459" s="20"/>
      <c r="GL459" s="20"/>
      <c r="GM459" s="20"/>
      <c r="GN459" s="20"/>
      <c r="GO459" s="20"/>
      <c r="GP459" s="20"/>
      <c r="GQ459" s="20"/>
      <c r="GR459" s="20"/>
      <c r="GS459" s="20"/>
      <c r="GT459" s="20"/>
      <c r="GU459" s="20"/>
      <c r="GV459" s="20"/>
      <c r="GW459" s="20"/>
      <c r="GX459" s="20"/>
      <c r="GY459" s="20"/>
      <c r="GZ459" s="20"/>
      <c r="HA459" s="20"/>
      <c r="HB459" s="20"/>
      <c r="HC459" s="20"/>
      <c r="HD459" s="20"/>
      <c r="HE459" s="20"/>
      <c r="HF459" s="20"/>
      <c r="HG459" s="20"/>
      <c r="HH459" s="20"/>
      <c r="HI459" s="20"/>
      <c r="HJ459" s="20"/>
      <c r="HK459" s="20"/>
      <c r="HL459" s="20"/>
      <c r="HM459" s="20"/>
      <c r="HN459" s="20"/>
      <c r="HO459" s="20"/>
      <c r="HP459" s="20"/>
      <c r="HQ459" s="20"/>
      <c r="HR459" s="20"/>
      <c r="HS459" s="20"/>
      <c r="HT459" s="20"/>
      <c r="HU459" s="20"/>
      <c r="HV459" s="20"/>
      <c r="HW459" s="20"/>
      <c r="HX459" s="20"/>
      <c r="HY459" s="20"/>
      <c r="HZ459" s="20"/>
      <c r="IA459" s="20"/>
      <c r="IB459" s="20"/>
      <c r="IC459" s="20"/>
      <c r="ID459" s="20"/>
      <c r="IE459" s="20"/>
      <c r="IF459" s="20"/>
      <c r="IG459" s="20"/>
      <c r="IH459" s="20"/>
      <c r="II459" s="20"/>
      <c r="IJ459" s="20"/>
      <c r="IK459" s="20"/>
      <c r="IL459" s="20"/>
      <c r="IM459" s="20"/>
      <c r="IN459" s="20"/>
      <c r="IO459" s="20"/>
      <c r="IP459" s="20"/>
      <c r="IQ459" s="20"/>
      <c r="IR459" s="20"/>
      <c r="IS459" s="20"/>
      <c r="IT459" s="20"/>
      <c r="IU459" s="20"/>
      <c r="IV459" s="20"/>
    </row>
    <row r="460" spans="1:256" s="20" customFormat="1" x14ac:dyDescent="0.2">
      <c r="A460" s="225"/>
      <c r="B460" s="225"/>
      <c r="C460" s="225"/>
      <c r="D460" s="225"/>
      <c r="E460" s="225"/>
      <c r="F460" s="225"/>
      <c r="G460" s="225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AT460" s="160"/>
      <c r="AU460" s="160"/>
    </row>
    <row r="461" spans="1:256" s="55" customFormat="1" ht="18" x14ac:dyDescent="0.25">
      <c r="A461" s="226"/>
      <c r="B461" s="420" t="s">
        <v>302</v>
      </c>
      <c r="C461" s="420"/>
      <c r="D461" s="420"/>
      <c r="E461" s="420"/>
      <c r="F461" s="420"/>
      <c r="G461" s="420"/>
      <c r="AT461" s="162"/>
      <c r="AU461" s="162"/>
    </row>
    <row r="462" spans="1:256" s="20" customFormat="1" ht="18.75" thickBot="1" x14ac:dyDescent="0.3">
      <c r="A462" s="225"/>
      <c r="B462" s="226"/>
      <c r="C462" s="227"/>
      <c r="D462" s="227"/>
      <c r="E462" s="227"/>
      <c r="F462" s="227"/>
      <c r="G462" s="227"/>
      <c r="AT462" s="160"/>
      <c r="AU462" s="160"/>
    </row>
    <row r="463" spans="1:256" s="20" customFormat="1" x14ac:dyDescent="0.2">
      <c r="A463" s="225"/>
      <c r="B463" s="228" t="s">
        <v>0</v>
      </c>
      <c r="C463" s="417" t="str">
        <f>CUSTOMERNAME</f>
        <v>Evergreen Car Wash</v>
      </c>
      <c r="D463" s="418"/>
      <c r="E463" s="419"/>
      <c r="F463" s="225"/>
      <c r="G463" s="225"/>
      <c r="AT463" s="160"/>
      <c r="AU463" s="160"/>
    </row>
    <row r="464" spans="1:256" s="20" customFormat="1" ht="13.5" thickBot="1" x14ac:dyDescent="0.25">
      <c r="A464" s="225"/>
      <c r="B464" s="228" t="s">
        <v>1</v>
      </c>
      <c r="C464" s="409" t="str">
        <f>ADDRESS</f>
        <v>29002 Crossroads Ln., Evergreen, CO 80439</v>
      </c>
      <c r="D464" s="410"/>
      <c r="E464" s="411"/>
      <c r="F464" s="225"/>
      <c r="G464" s="225"/>
      <c r="AT464" s="160"/>
      <c r="AU464" s="160"/>
    </row>
    <row r="465" spans="1:47" s="20" customFormat="1" x14ac:dyDescent="0.2">
      <c r="A465" s="225"/>
      <c r="B465" s="225"/>
      <c r="C465" s="225"/>
      <c r="D465" s="225"/>
      <c r="E465" s="225"/>
      <c r="F465" s="225"/>
      <c r="G465" s="229" t="s">
        <v>218</v>
      </c>
      <c r="AT465" s="160"/>
      <c r="AU465" s="160"/>
    </row>
    <row r="466" spans="1:47" s="230" customFormat="1" ht="19.5" x14ac:dyDescent="0.25">
      <c r="A466" s="412" t="s">
        <v>219</v>
      </c>
      <c r="B466" s="412"/>
      <c r="C466" s="412"/>
      <c r="D466" s="412"/>
      <c r="E466" s="412"/>
      <c r="F466" s="412"/>
      <c r="G466" s="412"/>
      <c r="AT466" s="231"/>
      <c r="AU466" s="231"/>
    </row>
    <row r="467" spans="1:47" s="20" customFormat="1" ht="13.5" thickBot="1" x14ac:dyDescent="0.25">
      <c r="A467" s="225"/>
      <c r="B467" s="225"/>
      <c r="C467" s="225"/>
      <c r="D467" s="225"/>
      <c r="E467" s="225"/>
      <c r="F467" s="225"/>
      <c r="G467" s="225"/>
      <c r="AT467" s="160"/>
      <c r="AU467" s="160"/>
    </row>
    <row r="468" spans="1:47" s="75" customFormat="1" ht="13.5" thickBot="1" x14ac:dyDescent="0.25">
      <c r="A468" s="225"/>
      <c r="B468" s="232"/>
      <c r="C468" s="233"/>
      <c r="D468" s="233"/>
      <c r="E468" s="234"/>
      <c r="F468" s="235" t="s">
        <v>176</v>
      </c>
      <c r="G468" s="298" t="s">
        <v>208</v>
      </c>
      <c r="H468" s="371">
        <f>G39*F52*F469</f>
        <v>145900.25619024393</v>
      </c>
      <c r="AT468" s="184"/>
      <c r="AU468" s="184"/>
    </row>
    <row r="469" spans="1:47" s="212" customFormat="1" ht="13.5" thickBot="1" x14ac:dyDescent="0.25">
      <c r="A469" s="225"/>
      <c r="B469" s="236" t="s">
        <v>207</v>
      </c>
      <c r="C469" s="237"/>
      <c r="D469" s="237"/>
      <c r="E469" s="237"/>
      <c r="F469" s="238">
        <f>F143</f>
        <v>72950.128095121967</v>
      </c>
      <c r="G469" s="299" t="s">
        <v>62</v>
      </c>
      <c r="H469" s="371">
        <f>G40*F53*F469</f>
        <v>328275.57642804884</v>
      </c>
      <c r="I469" s="335" t="s">
        <v>198</v>
      </c>
      <c r="AT469" s="213"/>
      <c r="AU469" s="213"/>
    </row>
    <row r="470" spans="1:47" s="243" customFormat="1" ht="21" thickBot="1" x14ac:dyDescent="0.35">
      <c r="A470" s="225"/>
      <c r="B470" s="240" t="s">
        <v>62</v>
      </c>
      <c r="C470" s="241"/>
      <c r="D470" s="241"/>
      <c r="E470" s="241"/>
      <c r="F470" s="300"/>
      <c r="G470" s="301"/>
      <c r="H470" s="371">
        <f>G41*F54*F469</f>
        <v>434053.26216597564</v>
      </c>
      <c r="AT470" s="244"/>
      <c r="AU470" s="244"/>
    </row>
    <row r="471" spans="1:47" s="20" customFormat="1" x14ac:dyDescent="0.2">
      <c r="A471" s="243"/>
      <c r="B471" s="413" t="s">
        <v>209</v>
      </c>
      <c r="C471" s="414"/>
      <c r="D471" s="26" t="s">
        <v>63</v>
      </c>
      <c r="E471" s="26" t="s">
        <v>65</v>
      </c>
      <c r="F471" s="302"/>
      <c r="G471" s="303"/>
      <c r="H471" s="371">
        <f>G42*F55*F469</f>
        <v>240735.42271390249</v>
      </c>
      <c r="AT471" s="160"/>
      <c r="AU471" s="160"/>
    </row>
    <row r="472" spans="1:47" s="20" customFormat="1" ht="13.5" thickBot="1" x14ac:dyDescent="0.25">
      <c r="B472" s="415" t="s">
        <v>210</v>
      </c>
      <c r="C472" s="416"/>
      <c r="D472" s="32" t="s">
        <v>64</v>
      </c>
      <c r="E472" s="32" t="s">
        <v>66</v>
      </c>
      <c r="F472" s="304"/>
      <c r="G472" s="305"/>
      <c r="H472" s="371">
        <f>G43*F56*F469</f>
        <v>0</v>
      </c>
      <c r="AT472" s="160"/>
      <c r="AU472" s="160"/>
    </row>
    <row r="473" spans="1:47" s="20" customFormat="1" ht="13.5" thickBot="1" x14ac:dyDescent="0.25">
      <c r="B473" s="84" t="s">
        <v>119</v>
      </c>
      <c r="C473" s="85"/>
      <c r="D473" s="126">
        <f>H474</f>
        <v>15.75</v>
      </c>
      <c r="E473" s="257">
        <f t="shared" ref="D473:E475" si="17">E246</f>
        <v>1</v>
      </c>
      <c r="F473" s="308">
        <f>F469*D473*E473</f>
        <v>1148964.517498171</v>
      </c>
      <c r="G473" s="309">
        <f>F473/F479</f>
        <v>0.75299404776133672</v>
      </c>
      <c r="H473" s="371">
        <f>SUM(H468:H472)</f>
        <v>1148964.517498171</v>
      </c>
      <c r="AT473" s="160"/>
      <c r="AU473" s="160"/>
    </row>
    <row r="474" spans="1:47" s="20" customFormat="1" ht="13.5" thickBot="1" x14ac:dyDescent="0.25">
      <c r="B474" s="84" t="s">
        <v>287</v>
      </c>
      <c r="C474" s="85"/>
      <c r="D474" s="126">
        <f t="shared" si="17"/>
        <v>15</v>
      </c>
      <c r="E474" s="257">
        <f t="shared" si="17"/>
        <v>0.2</v>
      </c>
      <c r="F474" s="308">
        <f>F469*D474*E474</f>
        <v>218850.3842853659</v>
      </c>
      <c r="G474" s="309">
        <f>F474/F479</f>
        <v>0.14342743766882604</v>
      </c>
      <c r="H474" s="371">
        <f>H473/F469</f>
        <v>15.75</v>
      </c>
      <c r="AT474" s="160"/>
      <c r="AU474" s="160"/>
    </row>
    <row r="475" spans="1:47" s="20" customFormat="1" ht="13.5" thickBot="1" x14ac:dyDescent="0.25">
      <c r="B475" s="84" t="s">
        <v>288</v>
      </c>
      <c r="C475" s="85"/>
      <c r="D475" s="126">
        <f t="shared" si="17"/>
        <v>49</v>
      </c>
      <c r="E475" s="257">
        <f t="shared" si="17"/>
        <v>0.05</v>
      </c>
      <c r="F475" s="308">
        <f>F469*D475*E475</f>
        <v>178727.81383304883</v>
      </c>
      <c r="G475" s="309">
        <f>F475/F479</f>
        <v>0.11713240742954127</v>
      </c>
      <c r="H475" s="370"/>
      <c r="AT475" s="160"/>
      <c r="AU475" s="160"/>
    </row>
    <row r="476" spans="1:47" s="20" customFormat="1" ht="13.5" thickBot="1" x14ac:dyDescent="0.25">
      <c r="B476" s="84" t="s">
        <v>291</v>
      </c>
      <c r="C476" s="85"/>
      <c r="D476" s="326"/>
      <c r="E476" s="325"/>
      <c r="F476" s="308">
        <f>F474+F475</f>
        <v>397578.19811841473</v>
      </c>
      <c r="G476" s="309">
        <f>F476/F479</f>
        <v>0.26055984509836733</v>
      </c>
      <c r="AT476" s="160"/>
      <c r="AU476" s="160"/>
    </row>
    <row r="477" spans="1:47" s="20" customFormat="1" ht="13.5" thickBot="1" x14ac:dyDescent="0.25">
      <c r="B477" s="310" t="s">
        <v>300</v>
      </c>
      <c r="C477" s="311"/>
      <c r="D477" s="311"/>
      <c r="E477" s="311"/>
      <c r="F477" s="308">
        <f>F473</f>
        <v>1148964.517498171</v>
      </c>
      <c r="G477" s="309">
        <f>F477/F479</f>
        <v>0.75299404776133672</v>
      </c>
      <c r="AT477" s="160"/>
      <c r="AU477" s="160"/>
    </row>
    <row r="478" spans="1:47" s="20" customFormat="1" ht="13.5" thickBot="1" x14ac:dyDescent="0.25">
      <c r="B478" s="250" t="s">
        <v>121</v>
      </c>
      <c r="C478" s="251"/>
      <c r="D478" s="312">
        <f>D251</f>
        <v>0.03</v>
      </c>
      <c r="E478" s="257">
        <f>E251</f>
        <v>0.6</v>
      </c>
      <c r="F478" s="126">
        <f>F477*D478*E478*-1</f>
        <v>-20681.361314967075</v>
      </c>
      <c r="G478" s="312">
        <f>F478/F479</f>
        <v>-1.3553892859704059E-2</v>
      </c>
      <c r="AT478" s="160"/>
      <c r="AU478" s="160"/>
    </row>
    <row r="479" spans="1:47" s="20" customFormat="1" ht="13.5" thickBot="1" x14ac:dyDescent="0.25">
      <c r="B479" s="250" t="s">
        <v>71</v>
      </c>
      <c r="C479" s="251"/>
      <c r="D479" s="251"/>
      <c r="E479" s="251"/>
      <c r="F479" s="252">
        <f>F477+F476+F478</f>
        <v>1525861.3543016186</v>
      </c>
      <c r="G479" s="313">
        <f>F479/F479</f>
        <v>1</v>
      </c>
      <c r="I479" s="261"/>
      <c r="AT479" s="160"/>
      <c r="AU479" s="160"/>
    </row>
    <row r="480" spans="1:47" s="254" customFormat="1" ht="15.75" thickBot="1" x14ac:dyDescent="0.25">
      <c r="A480" s="20"/>
      <c r="B480" s="406" t="s">
        <v>74</v>
      </c>
      <c r="C480" s="407"/>
      <c r="D480" s="407"/>
      <c r="E480" s="407"/>
      <c r="F480" s="407"/>
      <c r="G480" s="408"/>
      <c r="AT480" s="314"/>
      <c r="AU480" s="314"/>
    </row>
    <row r="481" spans="1:47" s="20" customFormat="1" ht="13.5" thickBot="1" x14ac:dyDescent="0.25">
      <c r="A481" s="254"/>
      <c r="B481" s="250" t="s">
        <v>200</v>
      </c>
      <c r="C481" s="311"/>
      <c r="D481" s="311"/>
      <c r="E481" s="315"/>
      <c r="F481" s="321">
        <f>($F$435)*(1+G33)</f>
        <v>240015.30009600002</v>
      </c>
      <c r="G481" s="316">
        <f>F481/$F$479</f>
        <v>0.1572982364481301</v>
      </c>
      <c r="I481" s="261"/>
      <c r="AT481" s="160"/>
      <c r="AU481" s="160"/>
    </row>
    <row r="482" spans="1:47" s="20" customFormat="1" ht="13.5" thickBot="1" x14ac:dyDescent="0.25">
      <c r="B482" s="250" t="s">
        <v>233</v>
      </c>
      <c r="C482" s="311"/>
      <c r="D482" s="311"/>
      <c r="E482" s="315"/>
      <c r="F482" s="308">
        <f>K483-2500</f>
        <v>51806.804564201098</v>
      </c>
      <c r="G482" s="316">
        <f t="shared" ref="G482:G495" si="18">F482/$F$479</f>
        <v>3.3952497989512873E-2</v>
      </c>
      <c r="I482" s="261"/>
      <c r="AT482" s="160"/>
      <c r="AU482" s="160"/>
    </row>
    <row r="483" spans="1:47" s="20" customFormat="1" ht="13.5" thickBot="1" x14ac:dyDescent="0.25">
      <c r="B483" s="250" t="s">
        <v>77</v>
      </c>
      <c r="C483" s="311"/>
      <c r="D483" s="311"/>
      <c r="E483" s="315"/>
      <c r="F483" s="308">
        <f>$E$259*F479-5000</f>
        <v>86551.681258097116</v>
      </c>
      <c r="G483" s="316">
        <f t="shared" si="18"/>
        <v>5.6723162307044279E-2</v>
      </c>
      <c r="I483" s="261"/>
      <c r="K483" s="336">
        <f>(F469*$G$39*F$62)+(F469*$G$40*F$63)+(F469*$G$41*F$64)+(F469*$G$42*F$65)+(F469*$G$43*F$66)</f>
        <v>54306.804564201098</v>
      </c>
      <c r="AT483" s="160"/>
      <c r="AU483" s="160"/>
    </row>
    <row r="484" spans="1:47" s="20" customFormat="1" ht="13.5" thickBot="1" x14ac:dyDescent="0.25">
      <c r="B484" s="250" t="s">
        <v>72</v>
      </c>
      <c r="C484" s="311"/>
      <c r="D484" s="311"/>
      <c r="E484" s="315"/>
      <c r="F484" s="308">
        <f>$E$260*F479</f>
        <v>45775.840629048558</v>
      </c>
      <c r="G484" s="316">
        <f t="shared" si="18"/>
        <v>0.03</v>
      </c>
      <c r="I484" s="261"/>
      <c r="AT484" s="160"/>
      <c r="AU484" s="160"/>
    </row>
    <row r="485" spans="1:47" s="20" customFormat="1" ht="13.5" thickBot="1" x14ac:dyDescent="0.25">
      <c r="B485" s="250" t="s">
        <v>78</v>
      </c>
      <c r="C485" s="311"/>
      <c r="D485" s="311"/>
      <c r="E485" s="315"/>
      <c r="F485" s="308">
        <f>$E$261*F479</f>
        <v>15258.613543016187</v>
      </c>
      <c r="G485" s="316">
        <f t="shared" si="18"/>
        <v>0.01</v>
      </c>
      <c r="I485" s="261"/>
      <c r="AT485" s="160"/>
      <c r="AU485" s="160"/>
    </row>
    <row r="486" spans="1:47" s="20" customFormat="1" ht="13.5" thickBot="1" x14ac:dyDescent="0.25">
      <c r="B486" s="250" t="s">
        <v>83</v>
      </c>
      <c r="C486" s="311"/>
      <c r="D486" s="311"/>
      <c r="E486" s="315"/>
      <c r="F486" s="308">
        <f>$E$262*F479</f>
        <v>15258.613543016187</v>
      </c>
      <c r="G486" s="316">
        <f t="shared" si="18"/>
        <v>0.01</v>
      </c>
      <c r="I486" s="261"/>
      <c r="AT486" s="160"/>
      <c r="AU486" s="160"/>
    </row>
    <row r="487" spans="1:47" s="20" customFormat="1" ht="13.5" thickBot="1" x14ac:dyDescent="0.25">
      <c r="B487" s="250" t="s">
        <v>79</v>
      </c>
      <c r="C487" s="311"/>
      <c r="D487" s="311"/>
      <c r="E487" s="315"/>
      <c r="F487" s="308">
        <f>$E$263*F479</f>
        <v>15258.613543016187</v>
      </c>
      <c r="G487" s="316">
        <f t="shared" si="18"/>
        <v>0.01</v>
      </c>
      <c r="I487" s="261"/>
      <c r="AT487" s="160"/>
      <c r="AU487" s="160"/>
    </row>
    <row r="488" spans="1:47" s="20" customFormat="1" ht="13.5" thickBot="1" x14ac:dyDescent="0.25">
      <c r="B488" s="250" t="s">
        <v>199</v>
      </c>
      <c r="C488" s="311"/>
      <c r="D488" s="311"/>
      <c r="E488" s="315"/>
      <c r="F488" s="321">
        <f>($F$442)*(1+G33)</f>
        <v>154918.96642560005</v>
      </c>
      <c r="G488" s="316">
        <f t="shared" si="18"/>
        <v>0.10152886170742945</v>
      </c>
      <c r="I488" s="261"/>
      <c r="AT488" s="160"/>
      <c r="AU488" s="160"/>
    </row>
    <row r="489" spans="1:47" s="20" customFormat="1" ht="13.5" customHeight="1" thickBot="1" x14ac:dyDescent="0.25">
      <c r="B489" s="250" t="s">
        <v>123</v>
      </c>
      <c r="C489" s="311"/>
      <c r="D489" s="311"/>
      <c r="E489" s="315"/>
      <c r="F489" s="308">
        <f>$E$265*F479</f>
        <v>0</v>
      </c>
      <c r="G489" s="316">
        <f t="shared" si="18"/>
        <v>0</v>
      </c>
      <c r="I489" s="261"/>
      <c r="AT489" s="160"/>
      <c r="AU489" s="160"/>
    </row>
    <row r="490" spans="1:47" s="20" customFormat="1" ht="13.5" thickBot="1" x14ac:dyDescent="0.25">
      <c r="B490" s="250" t="s">
        <v>80</v>
      </c>
      <c r="C490" s="311"/>
      <c r="D490" s="311"/>
      <c r="E490" s="315"/>
      <c r="F490" s="308">
        <f>$E$266*F479</f>
        <v>15258.613543016187</v>
      </c>
      <c r="G490" s="316">
        <f t="shared" si="18"/>
        <v>0.01</v>
      </c>
      <c r="I490" s="261"/>
      <c r="AT490" s="160"/>
      <c r="AU490" s="160"/>
    </row>
    <row r="491" spans="1:47" s="20" customFormat="1" ht="13.5" thickBot="1" x14ac:dyDescent="0.25">
      <c r="B491" s="250" t="s">
        <v>290</v>
      </c>
      <c r="C491" s="311"/>
      <c r="D491" s="311"/>
      <c r="E491" s="315"/>
      <c r="F491" s="308">
        <f>$E$267*F479</f>
        <v>22887.920314524279</v>
      </c>
      <c r="G491" s="316">
        <f t="shared" si="18"/>
        <v>1.4999999999999999E-2</v>
      </c>
      <c r="I491" s="261"/>
      <c r="AT491" s="160"/>
      <c r="AU491" s="160"/>
    </row>
    <row r="492" spans="1:47" s="20" customFormat="1" ht="13.5" thickBot="1" x14ac:dyDescent="0.25">
      <c r="B492" s="250" t="s">
        <v>73</v>
      </c>
      <c r="C492" s="311"/>
      <c r="D492" s="311"/>
      <c r="E492" s="315"/>
      <c r="F492" s="308">
        <f>$F$268*12</f>
        <v>24000</v>
      </c>
      <c r="G492" s="316">
        <f t="shared" si="18"/>
        <v>1.5728820926187437E-2</v>
      </c>
      <c r="I492" s="261"/>
      <c r="AT492" s="160"/>
      <c r="AU492" s="160"/>
    </row>
    <row r="493" spans="1:47" s="20" customFormat="1" ht="13.5" thickBot="1" x14ac:dyDescent="0.25">
      <c r="B493" s="250" t="s">
        <v>81</v>
      </c>
      <c r="C493" s="311"/>
      <c r="D493" s="311"/>
      <c r="E493" s="315"/>
      <c r="F493" s="308">
        <f>$F$269*12</f>
        <v>6000</v>
      </c>
      <c r="G493" s="316">
        <f t="shared" si="18"/>
        <v>3.9322052315468592E-3</v>
      </c>
      <c r="I493" s="261"/>
      <c r="AT493" s="160"/>
      <c r="AU493" s="160"/>
    </row>
    <row r="494" spans="1:47" s="20" customFormat="1" ht="13.5" thickBot="1" x14ac:dyDescent="0.25">
      <c r="B494" s="250" t="s">
        <v>82</v>
      </c>
      <c r="C494" s="311"/>
      <c r="D494" s="311"/>
      <c r="E494" s="315"/>
      <c r="F494" s="308">
        <f>$E$270*F479</f>
        <v>15258.613543016187</v>
      </c>
      <c r="G494" s="316">
        <f t="shared" si="18"/>
        <v>0.01</v>
      </c>
      <c r="I494" s="261"/>
      <c r="AT494" s="160"/>
      <c r="AU494" s="160"/>
    </row>
    <row r="495" spans="1:47" s="20" customFormat="1" ht="13.5" thickBot="1" x14ac:dyDescent="0.25">
      <c r="B495" s="250" t="s">
        <v>84</v>
      </c>
      <c r="C495" s="311"/>
      <c r="D495" s="311"/>
      <c r="E495" s="315"/>
      <c r="F495" s="308">
        <f>SUM(F481:F494)</f>
        <v>708249.58100255206</v>
      </c>
      <c r="G495" s="316">
        <f t="shared" si="18"/>
        <v>0.46416378460985103</v>
      </c>
      <c r="I495" s="261"/>
      <c r="AT495" s="160"/>
      <c r="AU495" s="160"/>
    </row>
    <row r="496" spans="1:47" s="20" customFormat="1" ht="13.5" thickBot="1" x14ac:dyDescent="0.25">
      <c r="B496" s="250"/>
      <c r="C496" s="311"/>
      <c r="D496" s="311"/>
      <c r="E496" s="315"/>
      <c r="F496" s="317"/>
      <c r="G496" s="316"/>
      <c r="AT496" s="160"/>
      <c r="AU496" s="160"/>
    </row>
    <row r="497" spans="1:256" s="20" customFormat="1" ht="13.5" thickBot="1" x14ac:dyDescent="0.25">
      <c r="B497" s="236" t="s">
        <v>220</v>
      </c>
      <c r="C497" s="311"/>
      <c r="D497" s="311"/>
      <c r="E497" s="315"/>
      <c r="F497" s="308">
        <f>F479-F495</f>
        <v>817611.77329906658</v>
      </c>
      <c r="G497" s="316">
        <f>F497/F479</f>
        <v>0.53583621539014903</v>
      </c>
      <c r="AT497" s="160"/>
      <c r="AU497" s="160"/>
    </row>
    <row r="498" spans="1:256" s="254" customFormat="1" ht="15.75" thickBot="1" x14ac:dyDescent="0.25">
      <c r="B498" s="406" t="s">
        <v>211</v>
      </c>
      <c r="C498" s="407"/>
      <c r="D498" s="407"/>
      <c r="E498" s="407"/>
      <c r="F498" s="407"/>
      <c r="G498" s="408"/>
      <c r="AT498" s="314"/>
      <c r="AU498" s="314"/>
    </row>
    <row r="499" spans="1:256" s="10" customFormat="1" ht="13.5" thickBot="1" x14ac:dyDescent="0.25">
      <c r="B499" s="250" t="s">
        <v>212</v>
      </c>
      <c r="C499" s="318"/>
      <c r="D499" s="293"/>
      <c r="E499" s="294"/>
      <c r="F499" s="319">
        <f>$G$301*12</f>
        <v>0</v>
      </c>
      <c r="G499" s="322">
        <f>F499/F479</f>
        <v>0</v>
      </c>
      <c r="AT499" s="323"/>
      <c r="AU499" s="323"/>
    </row>
    <row r="500" spans="1:256" s="20" customFormat="1" ht="13.5" thickBot="1" x14ac:dyDescent="0.25">
      <c r="B500" s="250" t="s">
        <v>108</v>
      </c>
      <c r="C500" s="318"/>
      <c r="D500" s="293"/>
      <c r="E500" s="294"/>
      <c r="F500" s="319">
        <f>$G$309*12</f>
        <v>0</v>
      </c>
      <c r="G500" s="313">
        <f>F500/F479</f>
        <v>0</v>
      </c>
      <c r="AT500" s="160"/>
      <c r="AU500" s="160"/>
    </row>
    <row r="501" spans="1:256" s="20" customFormat="1" ht="13.5" thickBot="1" x14ac:dyDescent="0.25">
      <c r="B501" s="250" t="s">
        <v>213</v>
      </c>
      <c r="C501" s="311"/>
      <c r="D501" s="311"/>
      <c r="E501" s="315"/>
      <c r="F501" s="308">
        <f>SUM(F499:F500)</f>
        <v>0</v>
      </c>
      <c r="G501" s="316">
        <f>SUM(G499:G500)</f>
        <v>0</v>
      </c>
      <c r="AT501" s="160"/>
      <c r="AU501" s="160"/>
    </row>
    <row r="502" spans="1:256" s="20" customFormat="1" x14ac:dyDescent="0.2">
      <c r="B502" s="232"/>
      <c r="C502" s="233"/>
      <c r="D502" s="233"/>
      <c r="E502" s="233"/>
      <c r="F502" s="266"/>
      <c r="G502" s="266"/>
      <c r="AT502" s="160"/>
      <c r="AU502" s="160"/>
    </row>
    <row r="503" spans="1:256" s="20" customFormat="1" ht="13.5" thickBot="1" x14ac:dyDescent="0.25">
      <c r="B503" s="236" t="s">
        <v>214</v>
      </c>
      <c r="C503" s="237"/>
      <c r="D503" s="237"/>
      <c r="E503" s="237"/>
      <c r="F503" s="267">
        <f>F497-F501</f>
        <v>817611.77329906658</v>
      </c>
      <c r="G503" s="320">
        <f>F503/F479</f>
        <v>0.53583621539014903</v>
      </c>
      <c r="AT503" s="160"/>
      <c r="AU503" s="160"/>
    </row>
    <row r="504" spans="1:256" s="20" customFormat="1" x14ac:dyDescent="0.2">
      <c r="J504" s="261"/>
      <c r="AT504" s="160"/>
      <c r="AU504" s="160"/>
    </row>
    <row r="505" spans="1:256" s="21" customFormat="1" x14ac:dyDescent="0.2">
      <c r="A505" s="18"/>
      <c r="B505" s="18"/>
      <c r="C505" s="18"/>
      <c r="D505" s="23"/>
      <c r="E505" s="18"/>
      <c r="F505" s="18"/>
      <c r="G505" s="18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18"/>
      <c r="U505" s="18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160"/>
      <c r="AU505" s="16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/>
      <c r="DB505" s="20"/>
      <c r="DC505" s="20"/>
      <c r="DD505" s="20"/>
      <c r="DE505" s="20"/>
      <c r="DF505" s="20"/>
      <c r="DG505" s="20"/>
      <c r="DH505" s="20"/>
      <c r="DI505" s="20"/>
      <c r="DJ505" s="20"/>
      <c r="DK505" s="20"/>
      <c r="DL505" s="20"/>
      <c r="DM505" s="20"/>
      <c r="DN505" s="20"/>
      <c r="DO505" s="20"/>
      <c r="DP505" s="20"/>
      <c r="DQ505" s="20"/>
      <c r="DR505" s="20"/>
      <c r="DS505" s="20"/>
      <c r="DT505" s="20"/>
      <c r="DU505" s="20"/>
      <c r="DV505" s="20"/>
      <c r="DW505" s="20"/>
      <c r="DX505" s="20"/>
      <c r="DY505" s="20"/>
      <c r="DZ505" s="20"/>
      <c r="EA505" s="20"/>
      <c r="EB505" s="20"/>
      <c r="EC505" s="20"/>
      <c r="ED505" s="20"/>
      <c r="EE505" s="20"/>
      <c r="EF505" s="20"/>
      <c r="EG505" s="20"/>
      <c r="EH505" s="20"/>
      <c r="EI505" s="20"/>
      <c r="EJ505" s="20"/>
      <c r="EK505" s="20"/>
      <c r="EL505" s="20"/>
      <c r="EM505" s="20"/>
      <c r="EN505" s="20"/>
      <c r="EO505" s="20"/>
      <c r="EP505" s="20"/>
      <c r="EQ505" s="20"/>
      <c r="ER505" s="20"/>
      <c r="ES505" s="20"/>
      <c r="ET505" s="20"/>
      <c r="EU505" s="20"/>
      <c r="EV505" s="20"/>
      <c r="EW505" s="20"/>
      <c r="EX505" s="20"/>
      <c r="EY505" s="20"/>
      <c r="EZ505" s="20"/>
      <c r="FA505" s="20"/>
      <c r="FB505" s="20"/>
      <c r="FC505" s="20"/>
      <c r="FD505" s="20"/>
      <c r="FE505" s="20"/>
      <c r="FF505" s="20"/>
      <c r="FG505" s="20"/>
      <c r="FH505" s="20"/>
      <c r="FI505" s="20"/>
      <c r="FJ505" s="20"/>
      <c r="FK505" s="20"/>
      <c r="FL505" s="20"/>
      <c r="FM505" s="20"/>
      <c r="FN505" s="20"/>
      <c r="FO505" s="20"/>
      <c r="FP505" s="20"/>
      <c r="FQ505" s="20"/>
      <c r="FR505" s="20"/>
      <c r="FS505" s="20"/>
      <c r="FT505" s="20"/>
      <c r="FU505" s="20"/>
      <c r="FV505" s="20"/>
      <c r="FW505" s="20"/>
      <c r="FX505" s="20"/>
      <c r="FY505" s="20"/>
      <c r="FZ505" s="20"/>
      <c r="GA505" s="20"/>
      <c r="GB505" s="20"/>
      <c r="GC505" s="20"/>
      <c r="GD505" s="20"/>
      <c r="GE505" s="20"/>
      <c r="GF505" s="20"/>
      <c r="GG505" s="20"/>
      <c r="GH505" s="20"/>
      <c r="GI505" s="20"/>
      <c r="GJ505" s="20"/>
      <c r="GK505" s="20"/>
      <c r="GL505" s="20"/>
      <c r="GM505" s="20"/>
      <c r="GN505" s="20"/>
      <c r="GO505" s="20"/>
      <c r="GP505" s="20"/>
      <c r="GQ505" s="20"/>
      <c r="GR505" s="20"/>
      <c r="GS505" s="20"/>
      <c r="GT505" s="20"/>
      <c r="GU505" s="20"/>
      <c r="GV505" s="20"/>
      <c r="GW505" s="20"/>
      <c r="GX505" s="20"/>
      <c r="GY505" s="20"/>
      <c r="GZ505" s="20"/>
      <c r="HA505" s="20"/>
      <c r="HB505" s="20"/>
      <c r="HC505" s="20"/>
      <c r="HD505" s="20"/>
      <c r="HE505" s="20"/>
      <c r="HF505" s="20"/>
      <c r="HG505" s="20"/>
      <c r="HH505" s="20"/>
      <c r="HI505" s="20"/>
      <c r="HJ505" s="20"/>
      <c r="HK505" s="20"/>
      <c r="HL505" s="20"/>
      <c r="HM505" s="20"/>
      <c r="HN505" s="20"/>
      <c r="HO505" s="20"/>
      <c r="HP505" s="20"/>
      <c r="HQ505" s="20"/>
      <c r="HR505" s="20"/>
      <c r="HS505" s="20"/>
      <c r="HT505" s="20"/>
      <c r="HU505" s="20"/>
      <c r="HV505" s="20"/>
      <c r="HW505" s="20"/>
      <c r="HX505" s="20"/>
      <c r="HY505" s="20"/>
      <c r="HZ505" s="20"/>
      <c r="IA505" s="20"/>
      <c r="IB505" s="20"/>
      <c r="IC505" s="20"/>
      <c r="ID505" s="20"/>
      <c r="IE505" s="20"/>
      <c r="IF505" s="20"/>
      <c r="IG505" s="20"/>
      <c r="IH505" s="20"/>
      <c r="II505" s="20"/>
      <c r="IJ505" s="20"/>
      <c r="IK505" s="20"/>
      <c r="IL505" s="20"/>
      <c r="IM505" s="20"/>
      <c r="IN505" s="20"/>
      <c r="IO505" s="20"/>
      <c r="IP505" s="20"/>
      <c r="IQ505" s="20"/>
      <c r="IR505" s="20"/>
      <c r="IS505" s="20"/>
      <c r="IT505" s="20"/>
      <c r="IU505" s="20"/>
      <c r="IV505" s="20"/>
    </row>
    <row r="506" spans="1:256" s="20" customFormat="1" x14ac:dyDescent="0.2">
      <c r="A506" s="225"/>
      <c r="B506" s="225"/>
      <c r="C506" s="225"/>
      <c r="D506" s="225"/>
      <c r="E506" s="225"/>
      <c r="F506" s="225"/>
      <c r="G506" s="225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AT506" s="160"/>
      <c r="AU506" s="160"/>
    </row>
    <row r="507" spans="1:256" s="55" customFormat="1" ht="18" x14ac:dyDescent="0.25">
      <c r="A507" s="226"/>
      <c r="B507" s="420" t="s">
        <v>302</v>
      </c>
      <c r="C507" s="420"/>
      <c r="D507" s="420"/>
      <c r="E507" s="420"/>
      <c r="F507" s="420"/>
      <c r="G507" s="420"/>
      <c r="AT507" s="162"/>
      <c r="AU507" s="162"/>
    </row>
    <row r="508" spans="1:256" s="20" customFormat="1" ht="18.75" thickBot="1" x14ac:dyDescent="0.3">
      <c r="A508" s="225"/>
      <c r="B508" s="226"/>
      <c r="C508" s="227"/>
      <c r="D508" s="227"/>
      <c r="E508" s="227"/>
      <c r="F508" s="227"/>
      <c r="G508" s="227"/>
      <c r="AT508" s="160"/>
      <c r="AU508" s="160"/>
    </row>
    <row r="509" spans="1:256" s="20" customFormat="1" x14ac:dyDescent="0.2">
      <c r="A509" s="225"/>
      <c r="B509" s="228" t="s">
        <v>0</v>
      </c>
      <c r="C509" s="417" t="str">
        <f>CUSTOMERNAME</f>
        <v>Evergreen Car Wash</v>
      </c>
      <c r="D509" s="418"/>
      <c r="E509" s="419"/>
      <c r="F509" s="225"/>
      <c r="G509" s="225"/>
      <c r="AT509" s="160"/>
      <c r="AU509" s="160"/>
    </row>
    <row r="510" spans="1:256" s="20" customFormat="1" ht="13.5" thickBot="1" x14ac:dyDescent="0.25">
      <c r="A510" s="225"/>
      <c r="B510" s="228" t="s">
        <v>1</v>
      </c>
      <c r="C510" s="409" t="str">
        <f>ADDRESS</f>
        <v>29002 Crossroads Ln., Evergreen, CO 80439</v>
      </c>
      <c r="D510" s="410"/>
      <c r="E510" s="411"/>
      <c r="F510" s="225"/>
      <c r="G510" s="225"/>
      <c r="AT510" s="160"/>
      <c r="AU510" s="160"/>
    </row>
    <row r="511" spans="1:256" s="20" customFormat="1" x14ac:dyDescent="0.2">
      <c r="A511" s="225"/>
      <c r="B511" s="225"/>
      <c r="C511" s="225"/>
      <c r="D511" s="225"/>
      <c r="E511" s="225"/>
      <c r="F511" s="225"/>
      <c r="G511" s="229" t="s">
        <v>221</v>
      </c>
      <c r="AT511" s="160"/>
      <c r="AU511" s="160"/>
    </row>
    <row r="512" spans="1:256" s="230" customFormat="1" ht="19.5" x14ac:dyDescent="0.25">
      <c r="A512" s="412" t="s">
        <v>219</v>
      </c>
      <c r="B512" s="412"/>
      <c r="C512" s="412"/>
      <c r="D512" s="412"/>
      <c r="E512" s="412"/>
      <c r="F512" s="412"/>
      <c r="G512" s="412"/>
      <c r="AT512" s="231"/>
      <c r="AU512" s="231"/>
    </row>
    <row r="513" spans="1:47" s="20" customFormat="1" ht="13.5" thickBot="1" x14ac:dyDescent="0.25">
      <c r="A513" s="225"/>
      <c r="B513" s="225"/>
      <c r="C513" s="225"/>
      <c r="D513" s="225"/>
      <c r="E513" s="225"/>
      <c r="F513" s="225"/>
      <c r="G513" s="225"/>
      <c r="AT513" s="160"/>
      <c r="AU513" s="160"/>
    </row>
    <row r="514" spans="1:47" s="75" customFormat="1" ht="13.5" thickBot="1" x14ac:dyDescent="0.25">
      <c r="A514" s="225"/>
      <c r="B514" s="232"/>
      <c r="C514" s="233"/>
      <c r="D514" s="233"/>
      <c r="E514" s="234"/>
      <c r="F514" s="235" t="s">
        <v>177</v>
      </c>
      <c r="G514" s="298" t="s">
        <v>208</v>
      </c>
      <c r="H514" s="371">
        <f>G39*G52*F515</f>
        <v>157418.69746842107</v>
      </c>
      <c r="AT514" s="184"/>
      <c r="AU514" s="184"/>
    </row>
    <row r="515" spans="1:47" s="212" customFormat="1" ht="13.5" thickBot="1" x14ac:dyDescent="0.25">
      <c r="A515" s="225"/>
      <c r="B515" s="236" t="s">
        <v>207</v>
      </c>
      <c r="C515" s="237"/>
      <c r="D515" s="237"/>
      <c r="E515" s="237"/>
      <c r="F515" s="238">
        <f>G143</f>
        <v>78709.348734210536</v>
      </c>
      <c r="G515" s="299" t="s">
        <v>62</v>
      </c>
      <c r="H515" s="371">
        <f>G40*G53*F515</f>
        <v>354192.06930394738</v>
      </c>
      <c r="I515" s="335" t="s">
        <v>198</v>
      </c>
      <c r="AT515" s="213"/>
      <c r="AU515" s="213"/>
    </row>
    <row r="516" spans="1:47" s="243" customFormat="1" ht="21" thickBot="1" x14ac:dyDescent="0.35">
      <c r="A516" s="225"/>
      <c r="B516" s="240" t="s">
        <v>62</v>
      </c>
      <c r="C516" s="241"/>
      <c r="D516" s="241"/>
      <c r="E516" s="241"/>
      <c r="F516" s="300"/>
      <c r="G516" s="301"/>
      <c r="H516" s="371">
        <f>G41*G54*F515</f>
        <v>468320.62496855261</v>
      </c>
      <c r="AT516" s="244"/>
      <c r="AU516" s="244"/>
    </row>
    <row r="517" spans="1:47" s="20" customFormat="1" x14ac:dyDescent="0.2">
      <c r="B517" s="413" t="s">
        <v>209</v>
      </c>
      <c r="C517" s="414"/>
      <c r="D517" s="26" t="s">
        <v>63</v>
      </c>
      <c r="E517" s="26" t="s">
        <v>65</v>
      </c>
      <c r="F517" s="302"/>
      <c r="G517" s="303"/>
      <c r="H517" s="371">
        <f>G42*G55*F515</f>
        <v>259740.85082289475</v>
      </c>
      <c r="AT517" s="160"/>
      <c r="AU517" s="160"/>
    </row>
    <row r="518" spans="1:47" s="20" customFormat="1" ht="13.5" thickBot="1" x14ac:dyDescent="0.25">
      <c r="B518" s="415" t="s">
        <v>210</v>
      </c>
      <c r="C518" s="416"/>
      <c r="D518" s="32" t="s">
        <v>64</v>
      </c>
      <c r="E518" s="32" t="s">
        <v>66</v>
      </c>
      <c r="F518" s="304"/>
      <c r="G518" s="305"/>
      <c r="H518" s="371">
        <f>G43*G56*F515</f>
        <v>0</v>
      </c>
      <c r="AT518" s="160"/>
      <c r="AU518" s="160"/>
    </row>
    <row r="519" spans="1:47" s="20" customFormat="1" ht="13.5" thickBot="1" x14ac:dyDescent="0.25">
      <c r="B519" s="84" t="s">
        <v>119</v>
      </c>
      <c r="C519" s="85"/>
      <c r="D519" s="126">
        <f>H520</f>
        <v>15.749999999999998</v>
      </c>
      <c r="E519" s="257">
        <f t="shared" ref="D519:E521" si="19">E246</f>
        <v>1</v>
      </c>
      <c r="F519" s="308">
        <f>F515*D519*E519</f>
        <v>1239672.2425638158</v>
      </c>
      <c r="G519" s="309">
        <f>F519/F525</f>
        <v>0.75299404776133672</v>
      </c>
      <c r="H519" s="371">
        <f>SUM(H514:H518)</f>
        <v>1239672.2425638158</v>
      </c>
      <c r="AT519" s="160"/>
      <c r="AU519" s="160"/>
    </row>
    <row r="520" spans="1:47" s="20" customFormat="1" ht="13.5" thickBot="1" x14ac:dyDescent="0.25">
      <c r="B520" s="84" t="s">
        <v>287</v>
      </c>
      <c r="C520" s="85"/>
      <c r="D520" s="126">
        <f t="shared" si="19"/>
        <v>15</v>
      </c>
      <c r="E520" s="257">
        <f t="shared" si="19"/>
        <v>0.2</v>
      </c>
      <c r="F520" s="308">
        <f>F515*D520*E520</f>
        <v>236128.04620263164</v>
      </c>
      <c r="G520" s="309">
        <f>F520/F525</f>
        <v>0.14342743766882607</v>
      </c>
      <c r="H520" s="371">
        <f>H519/F515</f>
        <v>15.749999999999998</v>
      </c>
      <c r="AT520" s="160"/>
      <c r="AU520" s="160"/>
    </row>
    <row r="521" spans="1:47" s="20" customFormat="1" ht="13.5" thickBot="1" x14ac:dyDescent="0.25">
      <c r="B521" s="84" t="s">
        <v>288</v>
      </c>
      <c r="C521" s="85"/>
      <c r="D521" s="126">
        <f t="shared" si="19"/>
        <v>49</v>
      </c>
      <c r="E521" s="257">
        <f t="shared" si="19"/>
        <v>0.05</v>
      </c>
      <c r="F521" s="308">
        <f>F515*D521*E521</f>
        <v>192837.90439881582</v>
      </c>
      <c r="G521" s="309">
        <f>F521/F525</f>
        <v>0.11713240742954129</v>
      </c>
      <c r="H521" s="370"/>
      <c r="AT521" s="160"/>
      <c r="AU521" s="160"/>
    </row>
    <row r="522" spans="1:47" s="20" customFormat="1" ht="13.5" thickBot="1" x14ac:dyDescent="0.25">
      <c r="B522" s="84" t="s">
        <v>299</v>
      </c>
      <c r="C522" s="85"/>
      <c r="D522" s="326"/>
      <c r="E522" s="325"/>
      <c r="F522" s="308">
        <f>F520+F521</f>
        <v>428965.95060144749</v>
      </c>
      <c r="G522" s="309">
        <f>F522/F525</f>
        <v>0.26055984509836738</v>
      </c>
      <c r="AT522" s="160"/>
      <c r="AU522" s="160"/>
    </row>
    <row r="523" spans="1:47" s="20" customFormat="1" ht="13.5" thickBot="1" x14ac:dyDescent="0.25">
      <c r="B523" s="310" t="s">
        <v>300</v>
      </c>
      <c r="C523" s="311"/>
      <c r="D523" s="311"/>
      <c r="E523" s="311"/>
      <c r="F523" s="308">
        <f>F519</f>
        <v>1239672.2425638158</v>
      </c>
      <c r="G523" s="309">
        <f>F523/F525</f>
        <v>0.75299404776133672</v>
      </c>
      <c r="AT523" s="160"/>
      <c r="AU523" s="160"/>
    </row>
    <row r="524" spans="1:47" s="20" customFormat="1" ht="13.5" thickBot="1" x14ac:dyDescent="0.25">
      <c r="B524" s="250" t="s">
        <v>121</v>
      </c>
      <c r="C524" s="251"/>
      <c r="D524" s="312">
        <f>D251</f>
        <v>0.03</v>
      </c>
      <c r="E524" s="257">
        <f>E251</f>
        <v>0.6</v>
      </c>
      <c r="F524" s="126">
        <f>F523*D524*E524*-1</f>
        <v>-22314.100366148683</v>
      </c>
      <c r="G524" s="312">
        <f>F524/F525</f>
        <v>-1.3553892859704059E-2</v>
      </c>
      <c r="AT524" s="160"/>
      <c r="AU524" s="160"/>
    </row>
    <row r="525" spans="1:47" s="20" customFormat="1" ht="13.5" thickBot="1" x14ac:dyDescent="0.25">
      <c r="B525" s="250" t="s">
        <v>71</v>
      </c>
      <c r="C525" s="251"/>
      <c r="D525" s="251"/>
      <c r="E525" s="251"/>
      <c r="F525" s="252">
        <f>F523+F522+F524</f>
        <v>1646324.0927991145</v>
      </c>
      <c r="G525" s="313">
        <f>F525/F525</f>
        <v>1</v>
      </c>
      <c r="I525" s="261"/>
      <c r="AT525" s="160"/>
      <c r="AU525" s="160"/>
    </row>
    <row r="526" spans="1:47" s="254" customFormat="1" ht="15.75" thickBot="1" x14ac:dyDescent="0.25">
      <c r="B526" s="406" t="s">
        <v>74</v>
      </c>
      <c r="C526" s="407"/>
      <c r="D526" s="407"/>
      <c r="E526" s="407"/>
      <c r="F526" s="407"/>
      <c r="G526" s="408"/>
      <c r="AT526" s="314"/>
      <c r="AU526" s="314"/>
    </row>
    <row r="527" spans="1:47" s="20" customFormat="1" ht="13.5" thickBot="1" x14ac:dyDescent="0.25">
      <c r="B527" s="250" t="s">
        <v>200</v>
      </c>
      <c r="C527" s="311"/>
      <c r="D527" s="311"/>
      <c r="E527" s="315"/>
      <c r="F527" s="321">
        <f>($F$481)*(1+G33)</f>
        <v>247215.75909888002</v>
      </c>
      <c r="G527" s="316">
        <f>F527/$F525</f>
        <v>0.15016226767267837</v>
      </c>
      <c r="I527" s="261"/>
      <c r="AT527" s="160"/>
      <c r="AU527" s="160"/>
    </row>
    <row r="528" spans="1:47" s="20" customFormat="1" ht="13.5" thickBot="1" x14ac:dyDescent="0.25">
      <c r="B528" s="250" t="s">
        <v>233</v>
      </c>
      <c r="C528" s="311"/>
      <c r="D528" s="311"/>
      <c r="E528" s="315"/>
      <c r="F528" s="308">
        <f>K529-3500</f>
        <v>56266.06754933919</v>
      </c>
      <c r="G528" s="316">
        <f t="shared" ref="G528:G541" si="20">F528/$F$525</f>
        <v>3.4176786815817324E-2</v>
      </c>
      <c r="I528" s="261"/>
      <c r="AT528" s="160"/>
      <c r="AU528" s="160"/>
    </row>
    <row r="529" spans="2:47" s="20" customFormat="1" ht="13.5" thickBot="1" x14ac:dyDescent="0.25">
      <c r="B529" s="250" t="s">
        <v>77</v>
      </c>
      <c r="C529" s="311"/>
      <c r="D529" s="311"/>
      <c r="E529" s="315"/>
      <c r="F529" s="308">
        <f>$E$259*F525-6000</f>
        <v>92779.445567946867</v>
      </c>
      <c r="G529" s="316">
        <f t="shared" si="20"/>
        <v>5.6355517102468763E-2</v>
      </c>
      <c r="I529" s="261"/>
      <c r="K529" s="336">
        <f>(F515*$G$39*G$62)+(F515*$G$40*G$63)+(F515*$G$41*G$64)+(F515*$G$42*G$65)+(F515*$G$43*G$66)</f>
        <v>59766.06754933919</v>
      </c>
      <c r="AT529" s="160"/>
      <c r="AU529" s="160"/>
    </row>
    <row r="530" spans="2:47" s="20" customFormat="1" ht="13.5" thickBot="1" x14ac:dyDescent="0.25">
      <c r="B530" s="250" t="s">
        <v>72</v>
      </c>
      <c r="C530" s="311"/>
      <c r="D530" s="311"/>
      <c r="E530" s="315"/>
      <c r="F530" s="308">
        <f>$E$260*F525</f>
        <v>49389.722783973433</v>
      </c>
      <c r="G530" s="316">
        <f t="shared" si="20"/>
        <v>0.03</v>
      </c>
      <c r="I530" s="261"/>
      <c r="AT530" s="160"/>
      <c r="AU530" s="160"/>
    </row>
    <row r="531" spans="2:47" s="20" customFormat="1" ht="13.5" thickBot="1" x14ac:dyDescent="0.25">
      <c r="B531" s="250" t="s">
        <v>78</v>
      </c>
      <c r="C531" s="311"/>
      <c r="D531" s="311"/>
      <c r="E531" s="315"/>
      <c r="F531" s="308">
        <f>$E$261*F525</f>
        <v>16463.240927991144</v>
      </c>
      <c r="G531" s="316">
        <f t="shared" si="20"/>
        <v>0.01</v>
      </c>
      <c r="I531" s="261"/>
      <c r="AT531" s="160"/>
      <c r="AU531" s="160"/>
    </row>
    <row r="532" spans="2:47" s="20" customFormat="1" ht="13.5" thickBot="1" x14ac:dyDescent="0.25">
      <c r="B532" s="250" t="s">
        <v>83</v>
      </c>
      <c r="C532" s="311"/>
      <c r="D532" s="311"/>
      <c r="E532" s="315"/>
      <c r="F532" s="308">
        <f>$E$262*F525</f>
        <v>16463.240927991144</v>
      </c>
      <c r="G532" s="316">
        <f t="shared" si="20"/>
        <v>0.01</v>
      </c>
      <c r="I532" s="261"/>
      <c r="AT532" s="160"/>
      <c r="AU532" s="160"/>
    </row>
    <row r="533" spans="2:47" s="20" customFormat="1" ht="13.5" thickBot="1" x14ac:dyDescent="0.25">
      <c r="B533" s="250" t="s">
        <v>79</v>
      </c>
      <c r="C533" s="311"/>
      <c r="D533" s="311"/>
      <c r="E533" s="315"/>
      <c r="F533" s="308">
        <f>$E$263*F525</f>
        <v>16463.240927991144</v>
      </c>
      <c r="G533" s="316">
        <f t="shared" si="20"/>
        <v>0.01</v>
      </c>
      <c r="I533" s="261"/>
      <c r="AT533" s="160"/>
      <c r="AU533" s="160"/>
    </row>
    <row r="534" spans="2:47" s="20" customFormat="1" ht="13.5" thickBot="1" x14ac:dyDescent="0.25">
      <c r="B534" s="250" t="s">
        <v>199</v>
      </c>
      <c r="C534" s="311"/>
      <c r="D534" s="311"/>
      <c r="E534" s="315"/>
      <c r="F534" s="321">
        <f>($F$488)*(1+G33)</f>
        <v>159566.53541836806</v>
      </c>
      <c r="G534" s="316">
        <f t="shared" si="20"/>
        <v>9.6922918225092428E-2</v>
      </c>
      <c r="I534" s="261"/>
      <c r="AT534" s="160"/>
      <c r="AU534" s="160"/>
    </row>
    <row r="535" spans="2:47" s="20" customFormat="1" ht="13.5" customHeight="1" thickBot="1" x14ac:dyDescent="0.25">
      <c r="B535" s="250" t="s">
        <v>123</v>
      </c>
      <c r="C535" s="311"/>
      <c r="D535" s="311"/>
      <c r="E535" s="315"/>
      <c r="F535" s="308">
        <f>$E$265*F525</f>
        <v>0</v>
      </c>
      <c r="G535" s="316">
        <f t="shared" si="20"/>
        <v>0</v>
      </c>
      <c r="I535" s="261"/>
      <c r="AT535" s="160"/>
      <c r="AU535" s="160"/>
    </row>
    <row r="536" spans="2:47" s="20" customFormat="1" ht="13.5" thickBot="1" x14ac:dyDescent="0.25">
      <c r="B536" s="250" t="s">
        <v>80</v>
      </c>
      <c r="C536" s="311"/>
      <c r="D536" s="311"/>
      <c r="E536" s="315"/>
      <c r="F536" s="308">
        <f>$E$266*F525</f>
        <v>16463.240927991144</v>
      </c>
      <c r="G536" s="316">
        <f t="shared" si="20"/>
        <v>0.01</v>
      </c>
      <c r="I536" s="261"/>
      <c r="AT536" s="160"/>
      <c r="AU536" s="160"/>
    </row>
    <row r="537" spans="2:47" s="20" customFormat="1" ht="13.5" thickBot="1" x14ac:dyDescent="0.25">
      <c r="B537" s="250" t="s">
        <v>290</v>
      </c>
      <c r="C537" s="311"/>
      <c r="D537" s="311"/>
      <c r="E537" s="315"/>
      <c r="F537" s="308">
        <f>$E$267*F525</f>
        <v>24694.861391986717</v>
      </c>
      <c r="G537" s="316">
        <f t="shared" si="20"/>
        <v>1.4999999999999999E-2</v>
      </c>
      <c r="I537" s="261"/>
      <c r="AT537" s="160"/>
      <c r="AU537" s="160"/>
    </row>
    <row r="538" spans="2:47" s="20" customFormat="1" ht="13.5" thickBot="1" x14ac:dyDescent="0.25">
      <c r="B538" s="250" t="s">
        <v>73</v>
      </c>
      <c r="C538" s="311"/>
      <c r="D538" s="311"/>
      <c r="E538" s="315"/>
      <c r="F538" s="308">
        <f>$F$268*12</f>
        <v>24000</v>
      </c>
      <c r="G538" s="316">
        <f t="shared" si="20"/>
        <v>1.4577931590124943E-2</v>
      </c>
      <c r="I538" s="261"/>
      <c r="AT538" s="160"/>
      <c r="AU538" s="160"/>
    </row>
    <row r="539" spans="2:47" s="20" customFormat="1" ht="13.5" thickBot="1" x14ac:dyDescent="0.25">
      <c r="B539" s="250" t="s">
        <v>81</v>
      </c>
      <c r="C539" s="311"/>
      <c r="D539" s="311"/>
      <c r="E539" s="315"/>
      <c r="F539" s="308">
        <f>$F$269*12</f>
        <v>6000</v>
      </c>
      <c r="G539" s="316">
        <f t="shared" si="20"/>
        <v>3.6444828975312356E-3</v>
      </c>
      <c r="I539" s="261"/>
      <c r="AT539" s="160"/>
      <c r="AU539" s="160"/>
    </row>
    <row r="540" spans="2:47" s="20" customFormat="1" ht="13.5" thickBot="1" x14ac:dyDescent="0.25">
      <c r="B540" s="250" t="s">
        <v>82</v>
      </c>
      <c r="C540" s="311"/>
      <c r="D540" s="311"/>
      <c r="E540" s="315"/>
      <c r="F540" s="308">
        <f>$E$270*F525</f>
        <v>16463.240927991144</v>
      </c>
      <c r="G540" s="316">
        <f t="shared" si="20"/>
        <v>0.01</v>
      </c>
      <c r="I540" s="261"/>
      <c r="AT540" s="160"/>
      <c r="AU540" s="160"/>
    </row>
    <row r="541" spans="2:47" s="20" customFormat="1" ht="13.5" thickBot="1" x14ac:dyDescent="0.25">
      <c r="B541" s="250" t="s">
        <v>84</v>
      </c>
      <c r="C541" s="311"/>
      <c r="D541" s="311"/>
      <c r="E541" s="315"/>
      <c r="F541" s="308">
        <f>SUM(F527:F540)</f>
        <v>742228.59645045002</v>
      </c>
      <c r="G541" s="316">
        <f t="shared" si="20"/>
        <v>0.45083990430371307</v>
      </c>
      <c r="I541" s="261"/>
      <c r="AT541" s="160"/>
      <c r="AU541" s="160"/>
    </row>
    <row r="542" spans="2:47" s="20" customFormat="1" ht="13.5" thickBot="1" x14ac:dyDescent="0.25">
      <c r="B542" s="250"/>
      <c r="C542" s="311"/>
      <c r="D542" s="311"/>
      <c r="E542" s="315"/>
      <c r="F542" s="317"/>
      <c r="G542" s="316"/>
      <c r="AT542" s="160"/>
      <c r="AU542" s="160"/>
    </row>
    <row r="543" spans="2:47" s="20" customFormat="1" ht="13.5" thickBot="1" x14ac:dyDescent="0.25">
      <c r="B543" s="236" t="s">
        <v>220</v>
      </c>
      <c r="C543" s="311"/>
      <c r="D543" s="311"/>
      <c r="E543" s="315"/>
      <c r="F543" s="308">
        <f>F525-F541</f>
        <v>904095.49634866451</v>
      </c>
      <c r="G543" s="316">
        <f>F543/F525</f>
        <v>0.54916009569628699</v>
      </c>
      <c r="AT543" s="160"/>
      <c r="AU543" s="160"/>
    </row>
    <row r="544" spans="2:47" s="254" customFormat="1" ht="15.75" thickBot="1" x14ac:dyDescent="0.25">
      <c r="B544" s="406" t="s">
        <v>211</v>
      </c>
      <c r="C544" s="407"/>
      <c r="D544" s="407"/>
      <c r="E544" s="407"/>
      <c r="F544" s="407"/>
      <c r="G544" s="408"/>
      <c r="AT544" s="314"/>
      <c r="AU544" s="314"/>
    </row>
    <row r="545" spans="1:256" s="10" customFormat="1" ht="13.5" thickBot="1" x14ac:dyDescent="0.25">
      <c r="B545" s="250" t="s">
        <v>212</v>
      </c>
      <c r="C545" s="318"/>
      <c r="D545" s="293"/>
      <c r="E545" s="294"/>
      <c r="F545" s="319">
        <f>$G$301*12</f>
        <v>0</v>
      </c>
      <c r="G545" s="322">
        <f>F545/F525</f>
        <v>0</v>
      </c>
      <c r="AT545" s="323"/>
      <c r="AU545" s="323"/>
    </row>
    <row r="546" spans="1:256" s="20" customFormat="1" ht="13.5" thickBot="1" x14ac:dyDescent="0.25">
      <c r="B546" s="250" t="s">
        <v>108</v>
      </c>
      <c r="C546" s="318"/>
      <c r="D546" s="293"/>
      <c r="E546" s="294"/>
      <c r="F546" s="319">
        <f>$G$309*12</f>
        <v>0</v>
      </c>
      <c r="G546" s="313">
        <f>F546/F525</f>
        <v>0</v>
      </c>
      <c r="AT546" s="160"/>
      <c r="AU546" s="160"/>
    </row>
    <row r="547" spans="1:256" s="20" customFormat="1" ht="13.5" thickBot="1" x14ac:dyDescent="0.25">
      <c r="B547" s="250" t="s">
        <v>213</v>
      </c>
      <c r="C547" s="311"/>
      <c r="D547" s="311"/>
      <c r="E547" s="315"/>
      <c r="F547" s="308">
        <f>SUM(F545:F546)</f>
        <v>0</v>
      </c>
      <c r="G547" s="316">
        <f>SUM(G545:G546)</f>
        <v>0</v>
      </c>
      <c r="AT547" s="160"/>
      <c r="AU547" s="160"/>
    </row>
    <row r="548" spans="1:256" s="20" customFormat="1" x14ac:dyDescent="0.2">
      <c r="B548" s="232"/>
      <c r="C548" s="233"/>
      <c r="D548" s="233"/>
      <c r="E548" s="233"/>
      <c r="F548" s="266"/>
      <c r="G548" s="266"/>
      <c r="AT548" s="160"/>
      <c r="AU548" s="160"/>
    </row>
    <row r="549" spans="1:256" s="20" customFormat="1" ht="13.5" thickBot="1" x14ac:dyDescent="0.25">
      <c r="B549" s="236" t="s">
        <v>214</v>
      </c>
      <c r="C549" s="237"/>
      <c r="D549" s="237"/>
      <c r="E549" s="237"/>
      <c r="F549" s="267">
        <f>F543-F547</f>
        <v>904095.49634866451</v>
      </c>
      <c r="G549" s="320">
        <f>F549/F525</f>
        <v>0.54916009569628699</v>
      </c>
      <c r="AT549" s="160"/>
      <c r="AU549" s="160"/>
    </row>
    <row r="550" spans="1:256" s="20" customFormat="1" x14ac:dyDescent="0.2">
      <c r="J550" s="261"/>
      <c r="AT550" s="160"/>
      <c r="AU550" s="160"/>
    </row>
    <row r="551" spans="1:256" s="21" customFormat="1" x14ac:dyDescent="0.2">
      <c r="A551" s="18"/>
      <c r="B551" s="18"/>
      <c r="C551" s="18"/>
      <c r="D551" s="23"/>
      <c r="E551" s="18"/>
      <c r="F551" s="18"/>
      <c r="G551" s="18"/>
      <c r="H551" s="20"/>
      <c r="I551" s="20"/>
      <c r="J551" s="372"/>
      <c r="K551" s="20"/>
      <c r="L551" s="20"/>
      <c r="M551" s="20"/>
      <c r="N551" s="20"/>
      <c r="O551" s="20"/>
      <c r="P551" s="20"/>
      <c r="Q551" s="20"/>
      <c r="R551" s="20"/>
      <c r="S551" s="20"/>
      <c r="T551" s="18"/>
      <c r="U551" s="18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160"/>
      <c r="AU551" s="16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/>
      <c r="DB551" s="20"/>
      <c r="DC551" s="20"/>
      <c r="DD551" s="20"/>
      <c r="DE551" s="20"/>
      <c r="DF551" s="20"/>
      <c r="DG551" s="20"/>
      <c r="DH551" s="20"/>
      <c r="DI551" s="20"/>
      <c r="DJ551" s="20"/>
      <c r="DK551" s="20"/>
      <c r="DL551" s="20"/>
      <c r="DM551" s="20"/>
      <c r="DN551" s="20"/>
      <c r="DO551" s="20"/>
      <c r="DP551" s="20"/>
      <c r="DQ551" s="20"/>
      <c r="DR551" s="20"/>
      <c r="DS551" s="20"/>
      <c r="DT551" s="20"/>
      <c r="DU551" s="20"/>
      <c r="DV551" s="20"/>
      <c r="DW551" s="20"/>
      <c r="DX551" s="20"/>
      <c r="DY551" s="20"/>
      <c r="DZ551" s="20"/>
      <c r="EA551" s="20"/>
      <c r="EB551" s="20"/>
      <c r="EC551" s="20"/>
      <c r="ED551" s="20"/>
      <c r="EE551" s="20"/>
      <c r="EF551" s="20"/>
      <c r="EG551" s="20"/>
      <c r="EH551" s="20"/>
      <c r="EI551" s="20"/>
      <c r="EJ551" s="20"/>
      <c r="EK551" s="20"/>
      <c r="EL551" s="20"/>
      <c r="EM551" s="20"/>
      <c r="EN551" s="20"/>
      <c r="EO551" s="20"/>
      <c r="EP551" s="20"/>
      <c r="EQ551" s="20"/>
      <c r="ER551" s="20"/>
      <c r="ES551" s="20"/>
      <c r="ET551" s="20"/>
      <c r="EU551" s="20"/>
      <c r="EV551" s="20"/>
      <c r="EW551" s="20"/>
      <c r="EX551" s="20"/>
      <c r="EY551" s="20"/>
      <c r="EZ551" s="20"/>
      <c r="FA551" s="20"/>
      <c r="FB551" s="20"/>
      <c r="FC551" s="20"/>
      <c r="FD551" s="20"/>
      <c r="FE551" s="20"/>
      <c r="FF551" s="20"/>
      <c r="FG551" s="20"/>
      <c r="FH551" s="20"/>
      <c r="FI551" s="20"/>
      <c r="FJ551" s="20"/>
      <c r="FK551" s="20"/>
      <c r="FL551" s="20"/>
      <c r="FM551" s="20"/>
      <c r="FN551" s="20"/>
      <c r="FO551" s="20"/>
      <c r="FP551" s="20"/>
      <c r="FQ551" s="20"/>
      <c r="FR551" s="20"/>
      <c r="FS551" s="20"/>
      <c r="FT551" s="20"/>
      <c r="FU551" s="20"/>
      <c r="FV551" s="20"/>
      <c r="FW551" s="20"/>
      <c r="FX551" s="20"/>
      <c r="FY551" s="20"/>
      <c r="FZ551" s="20"/>
      <c r="GA551" s="20"/>
      <c r="GB551" s="20"/>
      <c r="GC551" s="20"/>
      <c r="GD551" s="20"/>
      <c r="GE551" s="20"/>
      <c r="GF551" s="20"/>
      <c r="GG551" s="20"/>
      <c r="GH551" s="20"/>
      <c r="GI551" s="20"/>
      <c r="GJ551" s="20"/>
      <c r="GK551" s="20"/>
      <c r="GL551" s="20"/>
      <c r="GM551" s="20"/>
      <c r="GN551" s="20"/>
      <c r="GO551" s="20"/>
      <c r="GP551" s="20"/>
      <c r="GQ551" s="20"/>
      <c r="GR551" s="20"/>
      <c r="GS551" s="20"/>
      <c r="GT551" s="20"/>
      <c r="GU551" s="20"/>
      <c r="GV551" s="20"/>
      <c r="GW551" s="20"/>
      <c r="GX551" s="20"/>
      <c r="GY551" s="20"/>
      <c r="GZ551" s="20"/>
      <c r="HA551" s="20"/>
      <c r="HB551" s="20"/>
      <c r="HC551" s="20"/>
      <c r="HD551" s="20"/>
      <c r="HE551" s="20"/>
      <c r="HF551" s="20"/>
      <c r="HG551" s="20"/>
      <c r="HH551" s="20"/>
      <c r="HI551" s="20"/>
      <c r="HJ551" s="20"/>
      <c r="HK551" s="20"/>
      <c r="HL551" s="20"/>
      <c r="HM551" s="20"/>
      <c r="HN551" s="20"/>
      <c r="HO551" s="20"/>
      <c r="HP551" s="20"/>
      <c r="HQ551" s="20"/>
      <c r="HR551" s="20"/>
      <c r="HS551" s="20"/>
      <c r="HT551" s="20"/>
      <c r="HU551" s="20"/>
      <c r="HV551" s="20"/>
      <c r="HW551" s="20"/>
      <c r="HX551" s="20"/>
      <c r="HY551" s="20"/>
      <c r="HZ551" s="20"/>
      <c r="IA551" s="20"/>
      <c r="IB551" s="20"/>
      <c r="IC551" s="20"/>
      <c r="ID551" s="20"/>
      <c r="IE551" s="20"/>
      <c r="IF551" s="20"/>
      <c r="IG551" s="20"/>
      <c r="IH551" s="20"/>
      <c r="II551" s="20"/>
      <c r="IJ551" s="20"/>
      <c r="IK551" s="20"/>
      <c r="IL551" s="20"/>
      <c r="IM551" s="20"/>
      <c r="IN551" s="20"/>
      <c r="IO551" s="20"/>
      <c r="IP551" s="20"/>
      <c r="IQ551" s="20"/>
      <c r="IR551" s="20"/>
      <c r="IS551" s="20"/>
      <c r="IT551" s="20"/>
      <c r="IU551" s="20"/>
      <c r="IV551" s="20"/>
    </row>
    <row r="552" spans="1:256" s="20" customFormat="1" x14ac:dyDescent="0.2">
      <c r="A552" s="225"/>
      <c r="B552" s="225"/>
      <c r="C552" s="225"/>
      <c r="D552" s="225"/>
      <c r="E552" s="225"/>
      <c r="F552" s="225"/>
      <c r="G552" s="225"/>
      <c r="J552" s="382"/>
      <c r="K552" s="18"/>
      <c r="L552" s="18"/>
      <c r="M552" s="18"/>
      <c r="N552" s="18"/>
      <c r="O552" s="18"/>
      <c r="P552" s="18"/>
      <c r="Q552" s="18"/>
      <c r="R552" s="18"/>
      <c r="S552" s="18"/>
      <c r="AT552" s="160"/>
      <c r="AU552" s="160"/>
    </row>
    <row r="553" spans="1:256" s="55" customFormat="1" ht="18" x14ac:dyDescent="0.25">
      <c r="A553" s="420" t="s">
        <v>302</v>
      </c>
      <c r="B553" s="420"/>
      <c r="C553" s="420"/>
      <c r="D553" s="420"/>
      <c r="E553" s="420"/>
      <c r="F553" s="420"/>
      <c r="G553" s="420"/>
      <c r="J553" s="372"/>
      <c r="AT553" s="162"/>
      <c r="AU553" s="162"/>
    </row>
    <row r="554" spans="1:256" s="20" customFormat="1" ht="18" x14ac:dyDescent="0.25">
      <c r="A554" s="225"/>
      <c r="B554" s="226"/>
      <c r="C554" s="227"/>
      <c r="D554" s="227"/>
      <c r="E554" s="227"/>
      <c r="F554" s="227"/>
      <c r="G554" s="227"/>
      <c r="I554" s="335"/>
      <c r="J554" s="371">
        <f>-1*F291</f>
        <v>0</v>
      </c>
      <c r="K554" s="370" t="s">
        <v>223</v>
      </c>
      <c r="AT554" s="160"/>
      <c r="AU554" s="160"/>
    </row>
    <row r="555" spans="1:256" s="20" customFormat="1" x14ac:dyDescent="0.2">
      <c r="A555" s="225"/>
      <c r="B555" s="228" t="s">
        <v>0</v>
      </c>
      <c r="C555" s="403" t="str">
        <f>CUSTOMERNAME</f>
        <v>Evergreen Car Wash</v>
      </c>
      <c r="D555" s="403"/>
      <c r="E555" s="403"/>
      <c r="F555" s="225"/>
      <c r="G555" s="225"/>
      <c r="I555" s="335"/>
      <c r="J555" s="370"/>
      <c r="K555" s="370"/>
      <c r="AT555" s="160"/>
      <c r="AU555" s="160"/>
    </row>
    <row r="556" spans="1:256" s="20" customFormat="1" x14ac:dyDescent="0.2">
      <c r="A556" s="225"/>
      <c r="B556" s="228" t="s">
        <v>1</v>
      </c>
      <c r="C556" s="403" t="str">
        <f>ADDRESS</f>
        <v>29002 Crossroads Ln., Evergreen, CO 80439</v>
      </c>
      <c r="D556" s="403"/>
      <c r="E556" s="403"/>
      <c r="F556" s="225"/>
      <c r="G556" s="225"/>
      <c r="I556" s="372"/>
      <c r="J556" s="371">
        <f>F365</f>
        <v>444713.74252706347</v>
      </c>
      <c r="K556" s="370" t="s">
        <v>225</v>
      </c>
      <c r="L556" s="372"/>
      <c r="M556" s="372"/>
      <c r="N556" s="372"/>
      <c r="O556" s="372"/>
      <c r="P556" s="372"/>
      <c r="Q556" s="372"/>
      <c r="AT556" s="160"/>
      <c r="AU556" s="160"/>
    </row>
    <row r="557" spans="1:256" s="20" customFormat="1" x14ac:dyDescent="0.2">
      <c r="A557" s="225"/>
      <c r="B557" s="225"/>
      <c r="C557" s="225"/>
      <c r="D557" s="225"/>
      <c r="E557" s="225"/>
      <c r="F557" s="225"/>
      <c r="G557" s="229" t="s">
        <v>222</v>
      </c>
      <c r="I557" s="372"/>
      <c r="J557" s="371">
        <f>F411</f>
        <v>704118.06313886016</v>
      </c>
      <c r="K557" s="370" t="s">
        <v>226</v>
      </c>
      <c r="L557" s="372"/>
      <c r="M557" s="372"/>
      <c r="N557" s="372"/>
      <c r="O557" s="372"/>
      <c r="P557" s="372"/>
      <c r="Q557" s="372"/>
      <c r="AT557" s="160"/>
      <c r="AU557" s="160"/>
    </row>
    <row r="558" spans="1:256" s="230" customFormat="1" ht="19.5" x14ac:dyDescent="0.25">
      <c r="A558" s="388" t="s">
        <v>317</v>
      </c>
      <c r="B558" s="389"/>
      <c r="C558" s="390"/>
      <c r="D558" s="390"/>
      <c r="E558" s="390" t="s">
        <v>318</v>
      </c>
      <c r="F558" s="390"/>
      <c r="G558" s="391" t="e">
        <f>MIRR(J564:J569, E559, E560)</f>
        <v>#DIV/0!</v>
      </c>
      <c r="I558" s="372"/>
      <c r="J558" s="371">
        <f>F457</f>
        <v>784552.10961316992</v>
      </c>
      <c r="K558" s="370" t="s">
        <v>227</v>
      </c>
      <c r="L558" s="372"/>
      <c r="M558" s="372"/>
      <c r="N558" s="372"/>
      <c r="O558" s="372"/>
      <c r="P558" s="372"/>
      <c r="Q558" s="372"/>
      <c r="AT558" s="231"/>
      <c r="AU558" s="231"/>
    </row>
    <row r="559" spans="1:256" s="20" customFormat="1" ht="19.5" x14ac:dyDescent="0.25">
      <c r="A559" s="373">
        <f>1*F291</f>
        <v>0</v>
      </c>
      <c r="B559" s="372" t="s">
        <v>223</v>
      </c>
      <c r="C559" s="389"/>
      <c r="D559" s="389"/>
      <c r="E559" s="374">
        <f>D166</f>
        <v>0.06</v>
      </c>
      <c r="F559" s="372" t="s">
        <v>230</v>
      </c>
      <c r="G559" s="389"/>
      <c r="I559" s="372"/>
      <c r="J559" s="371">
        <f>F503</f>
        <v>817611.77329906658</v>
      </c>
      <c r="K559" s="370" t="s">
        <v>228</v>
      </c>
      <c r="L559" s="372"/>
      <c r="M559" s="372"/>
      <c r="N559" s="372"/>
      <c r="O559" s="372"/>
      <c r="P559" s="372"/>
      <c r="Q559" s="372"/>
      <c r="AT559" s="160"/>
      <c r="AU559" s="160"/>
    </row>
    <row r="560" spans="1:256" s="221" customFormat="1" ht="19.5" x14ac:dyDescent="0.25">
      <c r="A560" s="372"/>
      <c r="B560" s="372"/>
      <c r="C560" s="392"/>
      <c r="D560" s="392"/>
      <c r="E560" s="393">
        <v>0.08</v>
      </c>
      <c r="F560" s="372" t="s">
        <v>231</v>
      </c>
      <c r="G560" s="394"/>
      <c r="I560" s="372"/>
      <c r="J560" s="371">
        <f>F549</f>
        <v>904095.49634866451</v>
      </c>
      <c r="K560" s="370" t="s">
        <v>229</v>
      </c>
      <c r="L560" s="372"/>
      <c r="M560" s="372"/>
      <c r="N560" s="372"/>
      <c r="O560" s="372"/>
      <c r="P560" s="372"/>
      <c r="Q560" s="372"/>
      <c r="AT560" s="222"/>
      <c r="AU560" s="222"/>
    </row>
    <row r="561" spans="1:47" s="221" customFormat="1" ht="19.5" x14ac:dyDescent="0.25">
      <c r="A561" s="373">
        <f>F365</f>
        <v>444713.74252706347</v>
      </c>
      <c r="B561" s="372" t="s">
        <v>225</v>
      </c>
      <c r="C561" s="389"/>
      <c r="D561" s="395" t="e">
        <f>A561/A559*1</f>
        <v>#DIV/0!</v>
      </c>
      <c r="E561" s="373">
        <f>C291*1</f>
        <v>0</v>
      </c>
      <c r="F561" s="372" t="s">
        <v>319</v>
      </c>
      <c r="G561" s="394"/>
      <c r="I561" s="372"/>
      <c r="J561" s="398">
        <v>7.0000000000000007E-2</v>
      </c>
      <c r="K561" s="370" t="s">
        <v>230</v>
      </c>
      <c r="L561" s="372"/>
      <c r="M561" s="372"/>
      <c r="N561" s="372"/>
      <c r="O561" s="372"/>
      <c r="P561" s="372"/>
      <c r="Q561" s="372"/>
      <c r="AT561" s="222"/>
      <c r="AU561" s="222"/>
    </row>
    <row r="562" spans="1:47" s="221" customFormat="1" ht="19.5" x14ac:dyDescent="0.25">
      <c r="A562" s="373">
        <f>F457</f>
        <v>784552.10961316992</v>
      </c>
      <c r="B562" s="372" t="s">
        <v>227</v>
      </c>
      <c r="C562" s="392"/>
      <c r="D562" s="395" t="e">
        <f>A562/A559*1</f>
        <v>#DIV/0!</v>
      </c>
      <c r="E562" s="396"/>
      <c r="F562" s="372"/>
      <c r="G562" s="394"/>
      <c r="I562" s="372"/>
      <c r="J562" s="398">
        <v>7.0000000000000007E-2</v>
      </c>
      <c r="K562" s="370" t="s">
        <v>231</v>
      </c>
      <c r="L562" s="372"/>
      <c r="M562" s="372"/>
      <c r="N562" s="372"/>
      <c r="O562" s="372"/>
      <c r="P562" s="372"/>
      <c r="Q562" s="372"/>
      <c r="AT562" s="222"/>
      <c r="AU562" s="222"/>
    </row>
    <row r="563" spans="1:47" s="221" customFormat="1" ht="19.5" x14ac:dyDescent="0.25">
      <c r="A563" s="373">
        <f>F549</f>
        <v>904095.49634866451</v>
      </c>
      <c r="B563" s="372" t="s">
        <v>320</v>
      </c>
      <c r="C563" s="389"/>
      <c r="D563" s="395" t="e">
        <f>A563/A559*1</f>
        <v>#DIV/0!</v>
      </c>
      <c r="E563" s="373"/>
      <c r="F563" s="372"/>
      <c r="G563" s="372"/>
      <c r="I563" s="372"/>
      <c r="J563" s="370"/>
      <c r="K563" s="370"/>
      <c r="L563" s="372"/>
      <c r="M563" s="372"/>
      <c r="N563" s="372"/>
      <c r="O563" s="372"/>
      <c r="P563" s="372"/>
      <c r="Q563" s="372"/>
      <c r="AT563" s="222"/>
      <c r="AU563" s="222"/>
    </row>
    <row r="564" spans="1:47" s="221" customFormat="1" x14ac:dyDescent="0.2">
      <c r="I564" s="372"/>
      <c r="J564" s="371">
        <f>C291*-1</f>
        <v>0</v>
      </c>
      <c r="K564" s="370" t="s">
        <v>224</v>
      </c>
      <c r="L564" s="372"/>
      <c r="M564" s="372"/>
      <c r="N564" s="372"/>
      <c r="O564" s="372"/>
      <c r="P564" s="372"/>
      <c r="Q564" s="372"/>
      <c r="AT564" s="222"/>
      <c r="AU564" s="222"/>
    </row>
    <row r="565" spans="1:47" s="221" customFormat="1" x14ac:dyDescent="0.2">
      <c r="I565" s="372"/>
      <c r="J565" s="371">
        <f>F359</f>
        <v>444713.74252706347</v>
      </c>
      <c r="K565" s="370" t="s">
        <v>225</v>
      </c>
      <c r="L565" s="372"/>
      <c r="M565" s="372"/>
      <c r="N565" s="372"/>
      <c r="O565" s="372"/>
      <c r="P565" s="372"/>
      <c r="Q565" s="372"/>
      <c r="AT565" s="222"/>
      <c r="AU565" s="222"/>
    </row>
    <row r="566" spans="1:47" s="221" customFormat="1" x14ac:dyDescent="0.2">
      <c r="I566" s="372"/>
      <c r="J566" s="371">
        <f>F405</f>
        <v>704118.06313886016</v>
      </c>
      <c r="K566" s="370" t="s">
        <v>226</v>
      </c>
      <c r="L566" s="372"/>
      <c r="M566" s="372"/>
      <c r="N566" s="372"/>
      <c r="O566" s="372"/>
      <c r="P566" s="372"/>
      <c r="Q566" s="372"/>
      <c r="AT566" s="222"/>
      <c r="AU566" s="222"/>
    </row>
    <row r="567" spans="1:47" s="221" customFormat="1" x14ac:dyDescent="0.2">
      <c r="I567" s="372"/>
      <c r="J567" s="371">
        <f>F451</f>
        <v>784552.10961316992</v>
      </c>
      <c r="K567" s="370" t="s">
        <v>227</v>
      </c>
      <c r="L567" s="372"/>
      <c r="M567" s="372"/>
      <c r="N567" s="372"/>
      <c r="O567" s="372"/>
      <c r="P567" s="372"/>
      <c r="Q567" s="372"/>
      <c r="AT567" s="222"/>
      <c r="AU567" s="222"/>
    </row>
    <row r="568" spans="1:47" s="221" customFormat="1" x14ac:dyDescent="0.2">
      <c r="I568" s="372"/>
      <c r="J568" s="371">
        <f>F497</f>
        <v>817611.77329906658</v>
      </c>
      <c r="K568" s="370" t="s">
        <v>228</v>
      </c>
      <c r="L568" s="372"/>
      <c r="M568" s="372"/>
      <c r="N568" s="372"/>
      <c r="O568" s="372"/>
      <c r="P568" s="372"/>
      <c r="Q568" s="372"/>
      <c r="AT568" s="222"/>
      <c r="AU568" s="222"/>
    </row>
    <row r="569" spans="1:47" s="221" customFormat="1" x14ac:dyDescent="0.2">
      <c r="I569" s="372"/>
      <c r="J569" s="371">
        <f>F543</f>
        <v>904095.49634866451</v>
      </c>
      <c r="K569" s="370" t="s">
        <v>229</v>
      </c>
      <c r="L569" s="372"/>
      <c r="M569" s="372"/>
      <c r="N569" s="372"/>
      <c r="O569" s="372"/>
      <c r="P569" s="372"/>
      <c r="Q569" s="372"/>
      <c r="AT569" s="222"/>
      <c r="AU569" s="222"/>
    </row>
    <row r="570" spans="1:47" s="221" customFormat="1" x14ac:dyDescent="0.2">
      <c r="I570" s="372"/>
      <c r="J570" s="370"/>
      <c r="K570" s="370"/>
      <c r="L570" s="372"/>
      <c r="M570" s="372"/>
      <c r="N570" s="372"/>
      <c r="O570" s="372"/>
      <c r="P570" s="372"/>
      <c r="Q570" s="372"/>
      <c r="AT570" s="222"/>
      <c r="AU570" s="222"/>
    </row>
    <row r="571" spans="1:47" s="221" customFormat="1" x14ac:dyDescent="0.2">
      <c r="I571" s="372"/>
      <c r="J571" s="372"/>
      <c r="K571" s="372"/>
      <c r="L571" s="372"/>
      <c r="M571" s="372"/>
      <c r="N571" s="372"/>
      <c r="O571" s="372"/>
      <c r="P571" s="372"/>
      <c r="Q571" s="372"/>
      <c r="AT571" s="222"/>
      <c r="AU571" s="222"/>
    </row>
    <row r="572" spans="1:47" s="221" customFormat="1" x14ac:dyDescent="0.2">
      <c r="I572" s="372"/>
      <c r="J572" s="372"/>
      <c r="K572" s="372"/>
      <c r="L572" s="372"/>
      <c r="M572" s="372"/>
      <c r="N572" s="372"/>
      <c r="O572" s="372"/>
      <c r="P572" s="372"/>
      <c r="Q572" s="372"/>
      <c r="AT572" s="222"/>
      <c r="AU572" s="222"/>
    </row>
    <row r="573" spans="1:47" s="221" customFormat="1" x14ac:dyDescent="0.2">
      <c r="I573" s="372"/>
      <c r="J573" s="372"/>
      <c r="K573" s="372"/>
      <c r="L573" s="372"/>
      <c r="M573" s="372"/>
      <c r="N573" s="372"/>
      <c r="O573" s="372"/>
      <c r="P573" s="372"/>
      <c r="Q573" s="372"/>
      <c r="AT573" s="222"/>
      <c r="AU573" s="222"/>
    </row>
    <row r="574" spans="1:47" s="221" customFormat="1" x14ac:dyDescent="0.2">
      <c r="I574" s="372"/>
      <c r="J574" s="372"/>
      <c r="K574" s="372"/>
      <c r="L574" s="372"/>
      <c r="M574" s="372"/>
      <c r="N574" s="372"/>
      <c r="O574" s="372"/>
      <c r="P574" s="372"/>
      <c r="Q574" s="372"/>
      <c r="AT574" s="222"/>
      <c r="AU574" s="222"/>
    </row>
    <row r="575" spans="1:47" s="221" customFormat="1" x14ac:dyDescent="0.2">
      <c r="I575" s="372"/>
      <c r="J575" s="372"/>
      <c r="K575" s="372"/>
      <c r="L575" s="372"/>
      <c r="M575" s="372"/>
      <c r="N575" s="372"/>
      <c r="O575" s="372"/>
      <c r="P575" s="372"/>
      <c r="Q575" s="372"/>
      <c r="AT575" s="222"/>
      <c r="AU575" s="222"/>
    </row>
    <row r="576" spans="1:47" s="221" customFormat="1" x14ac:dyDescent="0.2">
      <c r="I576" s="372"/>
      <c r="J576" s="372"/>
      <c r="K576" s="372"/>
      <c r="L576" s="372"/>
      <c r="M576" s="372"/>
      <c r="N576" s="372"/>
      <c r="O576" s="372"/>
      <c r="P576" s="372"/>
      <c r="Q576" s="372"/>
      <c r="AT576" s="222"/>
      <c r="AU576" s="222"/>
    </row>
    <row r="577" spans="46:47" s="221" customFormat="1" x14ac:dyDescent="0.2">
      <c r="AT577" s="222"/>
      <c r="AU577" s="222"/>
    </row>
    <row r="578" spans="46:47" s="221" customFormat="1" x14ac:dyDescent="0.2">
      <c r="AT578" s="222"/>
      <c r="AU578" s="222"/>
    </row>
    <row r="579" spans="46:47" s="221" customFormat="1" x14ac:dyDescent="0.2">
      <c r="AT579" s="222"/>
      <c r="AU579" s="222"/>
    </row>
    <row r="580" spans="46:47" s="221" customFormat="1" x14ac:dyDescent="0.2">
      <c r="AT580" s="222"/>
      <c r="AU580" s="222"/>
    </row>
    <row r="581" spans="46:47" s="221" customFormat="1" x14ac:dyDescent="0.2">
      <c r="AT581" s="222"/>
      <c r="AU581" s="222"/>
    </row>
    <row r="582" spans="46:47" s="221" customFormat="1" x14ac:dyDescent="0.2">
      <c r="AT582" s="222"/>
      <c r="AU582" s="222"/>
    </row>
    <row r="583" spans="46:47" s="221" customFormat="1" x14ac:dyDescent="0.2">
      <c r="AT583" s="222"/>
      <c r="AU583" s="222"/>
    </row>
    <row r="584" spans="46:47" s="221" customFormat="1" x14ac:dyDescent="0.2">
      <c r="AT584" s="222"/>
      <c r="AU584" s="222"/>
    </row>
    <row r="585" spans="46:47" s="221" customFormat="1" x14ac:dyDescent="0.2">
      <c r="AT585" s="222"/>
      <c r="AU585" s="222"/>
    </row>
    <row r="586" spans="46:47" s="221" customFormat="1" x14ac:dyDescent="0.2">
      <c r="AT586" s="222"/>
      <c r="AU586" s="222"/>
    </row>
    <row r="587" spans="46:47" s="221" customFormat="1" x14ac:dyDescent="0.2">
      <c r="AT587" s="222"/>
      <c r="AU587" s="222"/>
    </row>
    <row r="588" spans="46:47" s="221" customFormat="1" x14ac:dyDescent="0.2">
      <c r="AT588" s="222"/>
      <c r="AU588" s="222"/>
    </row>
    <row r="589" spans="46:47" s="221" customFormat="1" x14ac:dyDescent="0.2">
      <c r="AT589" s="222"/>
      <c r="AU589" s="222"/>
    </row>
    <row r="590" spans="46:47" s="221" customFormat="1" x14ac:dyDescent="0.2">
      <c r="AT590" s="222"/>
      <c r="AU590" s="222"/>
    </row>
    <row r="591" spans="46:47" s="221" customFormat="1" x14ac:dyDescent="0.2">
      <c r="AT591" s="222"/>
      <c r="AU591" s="222"/>
    </row>
    <row r="592" spans="46:47" s="221" customFormat="1" x14ac:dyDescent="0.2">
      <c r="AT592" s="222"/>
      <c r="AU592" s="222"/>
    </row>
    <row r="593" spans="46:47" s="221" customFormat="1" x14ac:dyDescent="0.2">
      <c r="AT593" s="222"/>
      <c r="AU593" s="222"/>
    </row>
    <row r="594" spans="46:47" s="221" customFormat="1" x14ac:dyDescent="0.2">
      <c r="AT594" s="222"/>
      <c r="AU594" s="222"/>
    </row>
    <row r="595" spans="46:47" s="221" customFormat="1" x14ac:dyDescent="0.2">
      <c r="AT595" s="222"/>
      <c r="AU595" s="222"/>
    </row>
    <row r="596" spans="46:47" s="221" customFormat="1" x14ac:dyDescent="0.2">
      <c r="AT596" s="222"/>
      <c r="AU596" s="222"/>
    </row>
    <row r="597" spans="46:47" s="221" customFormat="1" x14ac:dyDescent="0.2">
      <c r="AT597" s="222"/>
      <c r="AU597" s="222"/>
    </row>
    <row r="598" spans="46:47" s="221" customFormat="1" x14ac:dyDescent="0.2">
      <c r="AT598" s="222"/>
      <c r="AU598" s="222"/>
    </row>
    <row r="599" spans="46:47" s="221" customFormat="1" x14ac:dyDescent="0.2">
      <c r="AT599" s="222"/>
      <c r="AU599" s="222"/>
    </row>
    <row r="600" spans="46:47" s="221" customFormat="1" x14ac:dyDescent="0.2">
      <c r="AT600" s="222"/>
      <c r="AU600" s="222"/>
    </row>
    <row r="601" spans="46:47" s="221" customFormat="1" x14ac:dyDescent="0.2">
      <c r="AT601" s="222"/>
      <c r="AU601" s="222"/>
    </row>
    <row r="602" spans="46:47" s="221" customFormat="1" x14ac:dyDescent="0.2">
      <c r="AT602" s="222"/>
      <c r="AU602" s="222"/>
    </row>
    <row r="603" spans="46:47" s="221" customFormat="1" x14ac:dyDescent="0.2">
      <c r="AT603" s="222"/>
      <c r="AU603" s="222"/>
    </row>
    <row r="604" spans="46:47" s="221" customFormat="1" x14ac:dyDescent="0.2">
      <c r="AT604" s="222"/>
      <c r="AU604" s="222"/>
    </row>
    <row r="605" spans="46:47" s="221" customFormat="1" x14ac:dyDescent="0.2">
      <c r="AT605" s="222"/>
      <c r="AU605" s="222"/>
    </row>
    <row r="606" spans="46:47" s="221" customFormat="1" x14ac:dyDescent="0.2">
      <c r="AT606" s="222"/>
      <c r="AU606" s="222"/>
    </row>
    <row r="607" spans="46:47" s="221" customFormat="1" x14ac:dyDescent="0.2">
      <c r="AT607" s="222"/>
      <c r="AU607" s="222"/>
    </row>
    <row r="608" spans="46:47" s="221" customFormat="1" x14ac:dyDescent="0.2">
      <c r="AT608" s="222"/>
      <c r="AU608" s="222"/>
    </row>
    <row r="609" spans="46:47" s="221" customFormat="1" x14ac:dyDescent="0.2">
      <c r="AT609" s="222"/>
      <c r="AU609" s="222"/>
    </row>
    <row r="610" spans="46:47" s="221" customFormat="1" x14ac:dyDescent="0.2">
      <c r="AT610" s="222"/>
      <c r="AU610" s="222"/>
    </row>
    <row r="611" spans="46:47" s="221" customFormat="1" x14ac:dyDescent="0.2">
      <c r="AT611" s="222"/>
      <c r="AU611" s="222"/>
    </row>
    <row r="612" spans="46:47" s="221" customFormat="1" x14ac:dyDescent="0.2">
      <c r="AT612" s="222"/>
      <c r="AU612" s="222"/>
    </row>
    <row r="613" spans="46:47" s="221" customFormat="1" x14ac:dyDescent="0.2">
      <c r="AT613" s="222"/>
      <c r="AU613" s="222"/>
    </row>
    <row r="614" spans="46:47" s="221" customFormat="1" x14ac:dyDescent="0.2">
      <c r="AT614" s="222"/>
      <c r="AU614" s="222"/>
    </row>
    <row r="615" spans="46:47" s="221" customFormat="1" x14ac:dyDescent="0.2">
      <c r="AT615" s="222"/>
      <c r="AU615" s="222"/>
    </row>
    <row r="616" spans="46:47" s="221" customFormat="1" x14ac:dyDescent="0.2">
      <c r="AT616" s="222"/>
      <c r="AU616" s="222"/>
    </row>
    <row r="617" spans="46:47" s="221" customFormat="1" x14ac:dyDescent="0.2">
      <c r="AT617" s="222"/>
      <c r="AU617" s="222"/>
    </row>
    <row r="618" spans="46:47" s="221" customFormat="1" x14ac:dyDescent="0.2">
      <c r="AT618" s="222"/>
      <c r="AU618" s="222"/>
    </row>
    <row r="619" spans="46:47" s="221" customFormat="1" x14ac:dyDescent="0.2">
      <c r="AT619" s="222"/>
      <c r="AU619" s="222"/>
    </row>
    <row r="620" spans="46:47" s="221" customFormat="1" x14ac:dyDescent="0.2">
      <c r="AT620" s="222"/>
      <c r="AU620" s="222"/>
    </row>
    <row r="621" spans="46:47" s="221" customFormat="1" x14ac:dyDescent="0.2">
      <c r="AT621" s="222"/>
      <c r="AU621" s="222"/>
    </row>
    <row r="622" spans="46:47" s="221" customFormat="1" x14ac:dyDescent="0.2">
      <c r="AT622" s="222"/>
      <c r="AU622" s="222"/>
    </row>
    <row r="623" spans="46:47" s="221" customFormat="1" x14ac:dyDescent="0.2">
      <c r="AT623" s="222"/>
      <c r="AU623" s="222"/>
    </row>
    <row r="624" spans="46:47" s="221" customFormat="1" x14ac:dyDescent="0.2">
      <c r="AT624" s="222"/>
      <c r="AU624" s="222"/>
    </row>
    <row r="625" spans="46:47" s="221" customFormat="1" x14ac:dyDescent="0.2">
      <c r="AT625" s="222"/>
      <c r="AU625" s="222"/>
    </row>
    <row r="626" spans="46:47" s="221" customFormat="1" x14ac:dyDescent="0.2">
      <c r="AT626" s="222"/>
      <c r="AU626" s="222"/>
    </row>
    <row r="627" spans="46:47" s="221" customFormat="1" x14ac:dyDescent="0.2">
      <c r="AT627" s="222"/>
      <c r="AU627" s="222"/>
    </row>
    <row r="628" spans="46:47" s="221" customFormat="1" x14ac:dyDescent="0.2">
      <c r="AT628" s="222"/>
      <c r="AU628" s="222"/>
    </row>
    <row r="629" spans="46:47" s="221" customFormat="1" x14ac:dyDescent="0.2">
      <c r="AT629" s="222"/>
      <c r="AU629" s="222"/>
    </row>
    <row r="630" spans="46:47" s="221" customFormat="1" x14ac:dyDescent="0.2">
      <c r="AT630" s="222"/>
      <c r="AU630" s="222"/>
    </row>
    <row r="631" spans="46:47" s="221" customFormat="1" x14ac:dyDescent="0.2">
      <c r="AT631" s="222"/>
      <c r="AU631" s="222"/>
    </row>
    <row r="632" spans="46:47" s="221" customFormat="1" x14ac:dyDescent="0.2">
      <c r="AT632" s="222"/>
      <c r="AU632" s="222"/>
    </row>
    <row r="633" spans="46:47" s="221" customFormat="1" x14ac:dyDescent="0.2">
      <c r="AT633" s="222"/>
      <c r="AU633" s="222"/>
    </row>
    <row r="634" spans="46:47" s="221" customFormat="1" x14ac:dyDescent="0.2">
      <c r="AT634" s="222"/>
      <c r="AU634" s="222"/>
    </row>
    <row r="635" spans="46:47" s="221" customFormat="1" x14ac:dyDescent="0.2">
      <c r="AT635" s="222"/>
      <c r="AU635" s="222"/>
    </row>
    <row r="636" spans="46:47" s="221" customFormat="1" x14ac:dyDescent="0.2">
      <c r="AT636" s="222"/>
      <c r="AU636" s="222"/>
    </row>
    <row r="637" spans="46:47" s="221" customFormat="1" x14ac:dyDescent="0.2">
      <c r="AT637" s="222"/>
      <c r="AU637" s="222"/>
    </row>
    <row r="638" spans="46:47" s="221" customFormat="1" x14ac:dyDescent="0.2">
      <c r="AT638" s="222"/>
      <c r="AU638" s="222"/>
    </row>
    <row r="639" spans="46:47" s="221" customFormat="1" x14ac:dyDescent="0.2">
      <c r="AT639" s="222"/>
      <c r="AU639" s="222"/>
    </row>
    <row r="640" spans="46:47" s="221" customFormat="1" x14ac:dyDescent="0.2">
      <c r="AT640" s="222"/>
      <c r="AU640" s="222"/>
    </row>
    <row r="641" spans="46:47" s="221" customFormat="1" x14ac:dyDescent="0.2">
      <c r="AT641" s="222"/>
      <c r="AU641" s="222"/>
    </row>
    <row r="642" spans="46:47" s="221" customFormat="1" x14ac:dyDescent="0.2">
      <c r="AT642" s="222"/>
      <c r="AU642" s="222"/>
    </row>
    <row r="643" spans="46:47" s="221" customFormat="1" x14ac:dyDescent="0.2">
      <c r="AT643" s="222"/>
      <c r="AU643" s="222"/>
    </row>
    <row r="644" spans="46:47" s="221" customFormat="1" x14ac:dyDescent="0.2">
      <c r="AT644" s="222"/>
      <c r="AU644" s="222"/>
    </row>
    <row r="645" spans="46:47" s="221" customFormat="1" x14ac:dyDescent="0.2">
      <c r="AT645" s="222"/>
      <c r="AU645" s="222"/>
    </row>
    <row r="646" spans="46:47" s="221" customFormat="1" x14ac:dyDescent="0.2">
      <c r="AT646" s="222"/>
      <c r="AU646" s="222"/>
    </row>
    <row r="647" spans="46:47" s="221" customFormat="1" x14ac:dyDescent="0.2">
      <c r="AT647" s="222"/>
      <c r="AU647" s="222"/>
    </row>
    <row r="648" spans="46:47" s="221" customFormat="1" x14ac:dyDescent="0.2">
      <c r="AT648" s="222"/>
      <c r="AU648" s="222"/>
    </row>
    <row r="649" spans="46:47" s="221" customFormat="1" x14ac:dyDescent="0.2">
      <c r="AT649" s="222"/>
      <c r="AU649" s="222"/>
    </row>
    <row r="650" spans="46:47" s="221" customFormat="1" x14ac:dyDescent="0.2">
      <c r="AT650" s="222"/>
      <c r="AU650" s="222"/>
    </row>
    <row r="651" spans="46:47" s="221" customFormat="1" x14ac:dyDescent="0.2">
      <c r="AT651" s="222"/>
      <c r="AU651" s="222"/>
    </row>
    <row r="652" spans="46:47" s="221" customFormat="1" x14ac:dyDescent="0.2">
      <c r="AT652" s="222"/>
      <c r="AU652" s="222"/>
    </row>
    <row r="653" spans="46:47" s="221" customFormat="1" x14ac:dyDescent="0.2">
      <c r="AT653" s="222"/>
      <c r="AU653" s="222"/>
    </row>
    <row r="654" spans="46:47" s="221" customFormat="1" x14ac:dyDescent="0.2">
      <c r="AT654" s="222"/>
      <c r="AU654" s="222"/>
    </row>
    <row r="655" spans="46:47" s="221" customFormat="1" x14ac:dyDescent="0.2">
      <c r="AT655" s="222"/>
      <c r="AU655" s="222"/>
    </row>
    <row r="656" spans="46:47" s="221" customFormat="1" x14ac:dyDescent="0.2">
      <c r="AT656" s="222"/>
      <c r="AU656" s="222"/>
    </row>
    <row r="657" spans="46:47" s="221" customFormat="1" x14ac:dyDescent="0.2">
      <c r="AT657" s="222"/>
      <c r="AU657" s="222"/>
    </row>
    <row r="658" spans="46:47" s="221" customFormat="1" x14ac:dyDescent="0.2">
      <c r="AT658" s="222"/>
      <c r="AU658" s="222"/>
    </row>
    <row r="659" spans="46:47" s="221" customFormat="1" x14ac:dyDescent="0.2">
      <c r="AT659" s="222"/>
      <c r="AU659" s="222"/>
    </row>
    <row r="660" spans="46:47" s="221" customFormat="1" x14ac:dyDescent="0.2">
      <c r="AT660" s="222"/>
      <c r="AU660" s="222"/>
    </row>
    <row r="661" spans="46:47" s="221" customFormat="1" x14ac:dyDescent="0.2">
      <c r="AT661" s="222"/>
      <c r="AU661" s="222"/>
    </row>
    <row r="662" spans="46:47" s="221" customFormat="1" x14ac:dyDescent="0.2">
      <c r="AT662" s="222"/>
      <c r="AU662" s="222"/>
    </row>
    <row r="663" spans="46:47" s="221" customFormat="1" x14ac:dyDescent="0.2">
      <c r="AT663" s="222"/>
      <c r="AU663" s="222"/>
    </row>
    <row r="664" spans="46:47" s="221" customFormat="1" x14ac:dyDescent="0.2">
      <c r="AT664" s="222"/>
      <c r="AU664" s="222"/>
    </row>
    <row r="665" spans="46:47" s="221" customFormat="1" x14ac:dyDescent="0.2">
      <c r="AT665" s="222"/>
      <c r="AU665" s="222"/>
    </row>
    <row r="666" spans="46:47" s="221" customFormat="1" x14ac:dyDescent="0.2">
      <c r="AT666" s="222"/>
      <c r="AU666" s="222"/>
    </row>
    <row r="667" spans="46:47" s="221" customFormat="1" x14ac:dyDescent="0.2">
      <c r="AT667" s="222"/>
      <c r="AU667" s="222"/>
    </row>
    <row r="668" spans="46:47" s="221" customFormat="1" x14ac:dyDescent="0.2">
      <c r="AT668" s="222"/>
      <c r="AU668" s="222"/>
    </row>
    <row r="669" spans="46:47" s="221" customFormat="1" x14ac:dyDescent="0.2">
      <c r="AT669" s="222"/>
      <c r="AU669" s="222"/>
    </row>
    <row r="670" spans="46:47" s="221" customFormat="1" x14ac:dyDescent="0.2">
      <c r="AT670" s="222"/>
      <c r="AU670" s="222"/>
    </row>
    <row r="671" spans="46:47" s="221" customFormat="1" x14ac:dyDescent="0.2">
      <c r="AT671" s="222"/>
      <c r="AU671" s="222"/>
    </row>
    <row r="672" spans="46:47" s="221" customFormat="1" x14ac:dyDescent="0.2">
      <c r="AT672" s="222"/>
      <c r="AU672" s="222"/>
    </row>
    <row r="673" spans="46:47" s="221" customFormat="1" x14ac:dyDescent="0.2">
      <c r="AT673" s="222"/>
      <c r="AU673" s="222"/>
    </row>
    <row r="674" spans="46:47" s="221" customFormat="1" x14ac:dyDescent="0.2">
      <c r="AT674" s="222"/>
      <c r="AU674" s="222"/>
    </row>
    <row r="675" spans="46:47" s="221" customFormat="1" x14ac:dyDescent="0.2">
      <c r="AT675" s="222"/>
      <c r="AU675" s="222"/>
    </row>
    <row r="676" spans="46:47" s="221" customFormat="1" x14ac:dyDescent="0.2">
      <c r="AT676" s="222"/>
      <c r="AU676" s="222"/>
    </row>
    <row r="677" spans="46:47" s="221" customFormat="1" x14ac:dyDescent="0.2">
      <c r="AT677" s="222"/>
      <c r="AU677" s="222"/>
    </row>
    <row r="678" spans="46:47" s="221" customFormat="1" x14ac:dyDescent="0.2">
      <c r="AT678" s="222"/>
      <c r="AU678" s="222"/>
    </row>
    <row r="679" spans="46:47" s="221" customFormat="1" x14ac:dyDescent="0.2">
      <c r="AT679" s="222"/>
      <c r="AU679" s="222"/>
    </row>
    <row r="680" spans="46:47" s="221" customFormat="1" x14ac:dyDescent="0.2">
      <c r="AT680" s="222"/>
      <c r="AU680" s="222"/>
    </row>
    <row r="681" spans="46:47" s="221" customFormat="1" x14ac:dyDescent="0.2">
      <c r="AT681" s="222"/>
      <c r="AU681" s="222"/>
    </row>
    <row r="682" spans="46:47" s="221" customFormat="1" x14ac:dyDescent="0.2">
      <c r="AT682" s="222"/>
      <c r="AU682" s="222"/>
    </row>
    <row r="683" spans="46:47" s="221" customFormat="1" x14ac:dyDescent="0.2">
      <c r="AT683" s="222"/>
      <c r="AU683" s="222"/>
    </row>
    <row r="684" spans="46:47" s="221" customFormat="1" x14ac:dyDescent="0.2">
      <c r="AT684" s="222"/>
      <c r="AU684" s="222"/>
    </row>
    <row r="685" spans="46:47" s="221" customFormat="1" x14ac:dyDescent="0.2">
      <c r="AT685" s="222"/>
      <c r="AU685" s="222"/>
    </row>
    <row r="686" spans="46:47" s="221" customFormat="1" x14ac:dyDescent="0.2">
      <c r="AT686" s="222"/>
      <c r="AU686" s="222"/>
    </row>
    <row r="687" spans="46:47" s="221" customFormat="1" x14ac:dyDescent="0.2">
      <c r="AT687" s="222"/>
      <c r="AU687" s="222"/>
    </row>
    <row r="688" spans="46:47" s="221" customFormat="1" x14ac:dyDescent="0.2">
      <c r="AT688" s="222"/>
      <c r="AU688" s="222"/>
    </row>
    <row r="689" spans="46:47" s="221" customFormat="1" x14ac:dyDescent="0.2">
      <c r="AT689" s="222"/>
      <c r="AU689" s="222"/>
    </row>
    <row r="690" spans="46:47" s="221" customFormat="1" x14ac:dyDescent="0.2">
      <c r="AT690" s="222"/>
      <c r="AU690" s="222"/>
    </row>
    <row r="691" spans="46:47" s="221" customFormat="1" x14ac:dyDescent="0.2">
      <c r="AT691" s="222"/>
      <c r="AU691" s="222"/>
    </row>
    <row r="692" spans="46:47" s="221" customFormat="1" x14ac:dyDescent="0.2">
      <c r="AT692" s="222"/>
      <c r="AU692" s="222"/>
    </row>
    <row r="693" spans="46:47" s="221" customFormat="1" x14ac:dyDescent="0.2">
      <c r="AT693" s="222"/>
      <c r="AU693" s="222"/>
    </row>
    <row r="694" spans="46:47" s="221" customFormat="1" x14ac:dyDescent="0.2">
      <c r="AT694" s="222"/>
      <c r="AU694" s="222"/>
    </row>
    <row r="695" spans="46:47" s="221" customFormat="1" x14ac:dyDescent="0.2">
      <c r="AT695" s="222"/>
      <c r="AU695" s="222"/>
    </row>
    <row r="696" spans="46:47" s="221" customFormat="1" x14ac:dyDescent="0.2">
      <c r="AT696" s="222"/>
      <c r="AU696" s="222"/>
    </row>
    <row r="697" spans="46:47" s="221" customFormat="1" x14ac:dyDescent="0.2">
      <c r="AT697" s="222"/>
      <c r="AU697" s="222"/>
    </row>
    <row r="698" spans="46:47" s="221" customFormat="1" x14ac:dyDescent="0.2">
      <c r="AT698" s="222"/>
      <c r="AU698" s="222"/>
    </row>
    <row r="699" spans="46:47" s="221" customFormat="1" x14ac:dyDescent="0.2">
      <c r="AT699" s="222"/>
      <c r="AU699" s="222"/>
    </row>
    <row r="700" spans="46:47" s="221" customFormat="1" x14ac:dyDescent="0.2">
      <c r="AT700" s="222"/>
      <c r="AU700" s="222"/>
    </row>
    <row r="701" spans="46:47" s="221" customFormat="1" x14ac:dyDescent="0.2">
      <c r="AT701" s="222"/>
      <c r="AU701" s="222"/>
    </row>
    <row r="702" spans="46:47" s="221" customFormat="1" x14ac:dyDescent="0.2">
      <c r="AT702" s="222"/>
      <c r="AU702" s="222"/>
    </row>
    <row r="703" spans="46:47" s="221" customFormat="1" x14ac:dyDescent="0.2">
      <c r="AT703" s="222"/>
      <c r="AU703" s="222"/>
    </row>
    <row r="704" spans="46:47" s="221" customFormat="1" x14ac:dyDescent="0.2">
      <c r="AT704" s="222"/>
      <c r="AU704" s="222"/>
    </row>
    <row r="705" spans="46:47" s="221" customFormat="1" x14ac:dyDescent="0.2">
      <c r="AT705" s="222"/>
      <c r="AU705" s="222"/>
    </row>
    <row r="706" spans="46:47" s="221" customFormat="1" x14ac:dyDescent="0.2">
      <c r="AT706" s="222"/>
      <c r="AU706" s="222"/>
    </row>
    <row r="707" spans="46:47" s="221" customFormat="1" x14ac:dyDescent="0.2">
      <c r="AT707" s="222"/>
      <c r="AU707" s="222"/>
    </row>
    <row r="708" spans="46:47" s="221" customFormat="1" x14ac:dyDescent="0.2">
      <c r="AT708" s="222"/>
      <c r="AU708" s="222"/>
    </row>
    <row r="709" spans="46:47" s="221" customFormat="1" x14ac:dyDescent="0.2">
      <c r="AT709" s="222"/>
      <c r="AU709" s="222"/>
    </row>
    <row r="710" spans="46:47" s="221" customFormat="1" x14ac:dyDescent="0.2">
      <c r="AT710" s="222"/>
      <c r="AU710" s="222"/>
    </row>
    <row r="711" spans="46:47" s="221" customFormat="1" x14ac:dyDescent="0.2">
      <c r="AT711" s="222"/>
      <c r="AU711" s="222"/>
    </row>
    <row r="712" spans="46:47" s="221" customFormat="1" x14ac:dyDescent="0.2">
      <c r="AT712" s="222"/>
      <c r="AU712" s="222"/>
    </row>
    <row r="713" spans="46:47" s="221" customFormat="1" x14ac:dyDescent="0.2">
      <c r="AT713" s="222"/>
      <c r="AU713" s="222"/>
    </row>
    <row r="714" spans="46:47" s="221" customFormat="1" x14ac:dyDescent="0.2">
      <c r="AT714" s="222"/>
      <c r="AU714" s="222"/>
    </row>
    <row r="715" spans="46:47" s="221" customFormat="1" x14ac:dyDescent="0.2">
      <c r="AT715" s="222"/>
      <c r="AU715" s="222"/>
    </row>
    <row r="716" spans="46:47" s="221" customFormat="1" x14ac:dyDescent="0.2">
      <c r="AT716" s="222"/>
      <c r="AU716" s="222"/>
    </row>
    <row r="717" spans="46:47" s="221" customFormat="1" x14ac:dyDescent="0.2">
      <c r="AT717" s="222"/>
      <c r="AU717" s="222"/>
    </row>
    <row r="718" spans="46:47" s="221" customFormat="1" x14ac:dyDescent="0.2">
      <c r="AT718" s="222"/>
      <c r="AU718" s="222"/>
    </row>
    <row r="719" spans="46:47" s="221" customFormat="1" x14ac:dyDescent="0.2">
      <c r="AT719" s="222"/>
      <c r="AU719" s="222"/>
    </row>
    <row r="720" spans="46:47" s="221" customFormat="1" x14ac:dyDescent="0.2">
      <c r="AT720" s="222"/>
      <c r="AU720" s="222"/>
    </row>
    <row r="721" spans="46:47" s="221" customFormat="1" x14ac:dyDescent="0.2">
      <c r="AT721" s="222"/>
      <c r="AU721" s="222"/>
    </row>
    <row r="722" spans="46:47" s="221" customFormat="1" x14ac:dyDescent="0.2">
      <c r="AT722" s="222"/>
      <c r="AU722" s="222"/>
    </row>
    <row r="723" spans="46:47" s="221" customFormat="1" x14ac:dyDescent="0.2">
      <c r="AT723" s="222"/>
      <c r="AU723" s="222"/>
    </row>
    <row r="724" spans="46:47" s="221" customFormat="1" x14ac:dyDescent="0.2">
      <c r="AT724" s="222"/>
      <c r="AU724" s="222"/>
    </row>
    <row r="725" spans="46:47" s="221" customFormat="1" x14ac:dyDescent="0.2">
      <c r="AT725" s="222"/>
      <c r="AU725" s="222"/>
    </row>
    <row r="726" spans="46:47" s="221" customFormat="1" x14ac:dyDescent="0.2">
      <c r="AT726" s="222"/>
      <c r="AU726" s="222"/>
    </row>
    <row r="727" spans="46:47" s="221" customFormat="1" x14ac:dyDescent="0.2">
      <c r="AT727" s="222"/>
      <c r="AU727" s="222"/>
    </row>
    <row r="728" spans="46:47" s="221" customFormat="1" x14ac:dyDescent="0.2">
      <c r="AT728" s="222"/>
      <c r="AU728" s="222"/>
    </row>
    <row r="729" spans="46:47" s="221" customFormat="1" x14ac:dyDescent="0.2">
      <c r="AT729" s="222"/>
      <c r="AU729" s="222"/>
    </row>
    <row r="730" spans="46:47" s="221" customFormat="1" x14ac:dyDescent="0.2">
      <c r="AT730" s="222"/>
      <c r="AU730" s="222"/>
    </row>
    <row r="731" spans="46:47" s="221" customFormat="1" x14ac:dyDescent="0.2">
      <c r="AT731" s="222"/>
      <c r="AU731" s="222"/>
    </row>
    <row r="732" spans="46:47" s="221" customFormat="1" x14ac:dyDescent="0.2">
      <c r="AT732" s="222"/>
      <c r="AU732" s="222"/>
    </row>
    <row r="733" spans="46:47" s="221" customFormat="1" x14ac:dyDescent="0.2">
      <c r="AT733" s="222"/>
      <c r="AU733" s="222"/>
    </row>
    <row r="734" spans="46:47" s="221" customFormat="1" x14ac:dyDescent="0.2">
      <c r="AT734" s="222"/>
      <c r="AU734" s="222"/>
    </row>
    <row r="735" spans="46:47" s="221" customFormat="1" x14ac:dyDescent="0.2">
      <c r="AT735" s="222"/>
      <c r="AU735" s="222"/>
    </row>
    <row r="736" spans="46:47" s="221" customFormat="1" x14ac:dyDescent="0.2">
      <c r="AT736" s="222"/>
      <c r="AU736" s="222"/>
    </row>
    <row r="737" spans="46:47" s="221" customFormat="1" x14ac:dyDescent="0.2">
      <c r="AT737" s="222"/>
      <c r="AU737" s="222"/>
    </row>
    <row r="738" spans="46:47" s="221" customFormat="1" x14ac:dyDescent="0.2">
      <c r="AT738" s="222"/>
      <c r="AU738" s="222"/>
    </row>
    <row r="739" spans="46:47" s="221" customFormat="1" x14ac:dyDescent="0.2">
      <c r="AT739" s="222"/>
      <c r="AU739" s="222"/>
    </row>
    <row r="740" spans="46:47" s="221" customFormat="1" x14ac:dyDescent="0.2">
      <c r="AT740" s="222"/>
      <c r="AU740" s="222"/>
    </row>
    <row r="741" spans="46:47" s="221" customFormat="1" x14ac:dyDescent="0.2">
      <c r="AT741" s="222"/>
      <c r="AU741" s="222"/>
    </row>
    <row r="742" spans="46:47" s="221" customFormat="1" x14ac:dyDescent="0.2">
      <c r="AT742" s="222"/>
      <c r="AU742" s="222"/>
    </row>
    <row r="743" spans="46:47" s="221" customFormat="1" x14ac:dyDescent="0.2">
      <c r="AT743" s="222"/>
      <c r="AU743" s="222"/>
    </row>
    <row r="744" spans="46:47" s="221" customFormat="1" x14ac:dyDescent="0.2">
      <c r="AT744" s="222"/>
      <c r="AU744" s="222"/>
    </row>
    <row r="745" spans="46:47" s="221" customFormat="1" x14ac:dyDescent="0.2">
      <c r="AT745" s="222"/>
      <c r="AU745" s="222"/>
    </row>
    <row r="746" spans="46:47" s="221" customFormat="1" x14ac:dyDescent="0.2">
      <c r="AT746" s="222"/>
      <c r="AU746" s="222"/>
    </row>
    <row r="747" spans="46:47" s="221" customFormat="1" x14ac:dyDescent="0.2">
      <c r="AT747" s="222"/>
      <c r="AU747" s="222"/>
    </row>
    <row r="748" spans="46:47" s="221" customFormat="1" x14ac:dyDescent="0.2">
      <c r="AT748" s="222"/>
      <c r="AU748" s="222"/>
    </row>
    <row r="749" spans="46:47" s="221" customFormat="1" x14ac:dyDescent="0.2">
      <c r="AT749" s="222"/>
      <c r="AU749" s="222"/>
    </row>
    <row r="750" spans="46:47" s="221" customFormat="1" x14ac:dyDescent="0.2">
      <c r="AT750" s="222"/>
      <c r="AU750" s="222"/>
    </row>
    <row r="751" spans="46:47" s="221" customFormat="1" x14ac:dyDescent="0.2">
      <c r="AT751" s="222"/>
      <c r="AU751" s="222"/>
    </row>
    <row r="752" spans="46:47" s="221" customFormat="1" x14ac:dyDescent="0.2">
      <c r="AT752" s="222"/>
      <c r="AU752" s="222"/>
    </row>
    <row r="753" spans="46:47" s="221" customFormat="1" x14ac:dyDescent="0.2">
      <c r="AT753" s="222"/>
      <c r="AU753" s="222"/>
    </row>
    <row r="754" spans="46:47" s="221" customFormat="1" x14ac:dyDescent="0.2">
      <c r="AT754" s="222"/>
      <c r="AU754" s="222"/>
    </row>
    <row r="755" spans="46:47" s="221" customFormat="1" x14ac:dyDescent="0.2">
      <c r="AT755" s="222"/>
      <c r="AU755" s="222"/>
    </row>
    <row r="756" spans="46:47" s="221" customFormat="1" x14ac:dyDescent="0.2">
      <c r="AT756" s="222"/>
      <c r="AU756" s="222"/>
    </row>
    <row r="757" spans="46:47" s="221" customFormat="1" x14ac:dyDescent="0.2">
      <c r="AT757" s="222"/>
      <c r="AU757" s="222"/>
    </row>
    <row r="758" spans="46:47" s="221" customFormat="1" x14ac:dyDescent="0.2">
      <c r="AT758" s="222"/>
      <c r="AU758" s="222"/>
    </row>
    <row r="759" spans="46:47" s="221" customFormat="1" x14ac:dyDescent="0.2">
      <c r="AT759" s="222"/>
      <c r="AU759" s="222"/>
    </row>
    <row r="760" spans="46:47" s="221" customFormat="1" x14ac:dyDescent="0.2">
      <c r="AT760" s="222"/>
      <c r="AU760" s="222"/>
    </row>
    <row r="761" spans="46:47" s="221" customFormat="1" x14ac:dyDescent="0.2">
      <c r="AT761" s="222"/>
      <c r="AU761" s="222"/>
    </row>
    <row r="762" spans="46:47" s="221" customFormat="1" x14ac:dyDescent="0.2">
      <c r="AT762" s="222"/>
      <c r="AU762" s="222"/>
    </row>
    <row r="763" spans="46:47" s="221" customFormat="1" x14ac:dyDescent="0.2">
      <c r="AT763" s="222"/>
      <c r="AU763" s="222"/>
    </row>
    <row r="764" spans="46:47" s="221" customFormat="1" x14ac:dyDescent="0.2">
      <c r="AT764" s="222"/>
      <c r="AU764" s="222"/>
    </row>
    <row r="765" spans="46:47" s="221" customFormat="1" x14ac:dyDescent="0.2">
      <c r="AT765" s="222"/>
      <c r="AU765" s="222"/>
    </row>
    <row r="766" spans="46:47" s="221" customFormat="1" x14ac:dyDescent="0.2">
      <c r="AT766" s="222"/>
      <c r="AU766" s="222"/>
    </row>
    <row r="767" spans="46:47" s="221" customFormat="1" x14ac:dyDescent="0.2">
      <c r="AT767" s="222"/>
      <c r="AU767" s="222"/>
    </row>
    <row r="768" spans="46:47" s="221" customFormat="1" x14ac:dyDescent="0.2">
      <c r="AT768" s="222"/>
      <c r="AU768" s="222"/>
    </row>
    <row r="769" spans="46:47" s="221" customFormat="1" x14ac:dyDescent="0.2">
      <c r="AT769" s="222"/>
      <c r="AU769" s="222"/>
    </row>
    <row r="770" spans="46:47" s="221" customFormat="1" x14ac:dyDescent="0.2">
      <c r="AT770" s="222"/>
      <c r="AU770" s="222"/>
    </row>
    <row r="771" spans="46:47" s="221" customFormat="1" x14ac:dyDescent="0.2">
      <c r="AT771" s="222"/>
      <c r="AU771" s="222"/>
    </row>
    <row r="772" spans="46:47" s="221" customFormat="1" x14ac:dyDescent="0.2">
      <c r="AT772" s="222"/>
      <c r="AU772" s="222"/>
    </row>
    <row r="773" spans="46:47" s="221" customFormat="1" x14ac:dyDescent="0.2">
      <c r="AT773" s="222"/>
      <c r="AU773" s="222"/>
    </row>
    <row r="774" spans="46:47" s="221" customFormat="1" x14ac:dyDescent="0.2">
      <c r="AT774" s="222"/>
      <c r="AU774" s="222"/>
    </row>
    <row r="775" spans="46:47" s="221" customFormat="1" x14ac:dyDescent="0.2">
      <c r="AT775" s="222"/>
      <c r="AU775" s="222"/>
    </row>
    <row r="776" spans="46:47" s="221" customFormat="1" x14ac:dyDescent="0.2">
      <c r="AT776" s="222"/>
      <c r="AU776" s="222"/>
    </row>
    <row r="777" spans="46:47" s="221" customFormat="1" x14ac:dyDescent="0.2">
      <c r="AT777" s="222"/>
      <c r="AU777" s="222"/>
    </row>
    <row r="778" spans="46:47" s="221" customFormat="1" x14ac:dyDescent="0.2">
      <c r="AT778" s="222"/>
      <c r="AU778" s="222"/>
    </row>
    <row r="779" spans="46:47" s="221" customFormat="1" x14ac:dyDescent="0.2">
      <c r="AT779" s="222"/>
      <c r="AU779" s="222"/>
    </row>
    <row r="780" spans="46:47" s="221" customFormat="1" x14ac:dyDescent="0.2">
      <c r="AT780" s="222"/>
      <c r="AU780" s="222"/>
    </row>
    <row r="781" spans="46:47" s="221" customFormat="1" x14ac:dyDescent="0.2">
      <c r="AT781" s="222"/>
      <c r="AU781" s="222"/>
    </row>
    <row r="782" spans="46:47" s="221" customFormat="1" x14ac:dyDescent="0.2">
      <c r="AT782" s="222"/>
      <c r="AU782" s="222"/>
    </row>
    <row r="783" spans="46:47" s="221" customFormat="1" x14ac:dyDescent="0.2">
      <c r="AT783" s="222"/>
      <c r="AU783" s="222"/>
    </row>
    <row r="784" spans="46:47" s="221" customFormat="1" x14ac:dyDescent="0.2">
      <c r="AT784" s="222"/>
      <c r="AU784" s="222"/>
    </row>
    <row r="785" spans="46:47" s="221" customFormat="1" x14ac:dyDescent="0.2">
      <c r="AT785" s="222"/>
      <c r="AU785" s="222"/>
    </row>
    <row r="786" spans="46:47" s="221" customFormat="1" x14ac:dyDescent="0.2">
      <c r="AT786" s="222"/>
      <c r="AU786" s="222"/>
    </row>
    <row r="787" spans="46:47" s="221" customFormat="1" x14ac:dyDescent="0.2">
      <c r="AT787" s="222"/>
      <c r="AU787" s="222"/>
    </row>
    <row r="788" spans="46:47" s="221" customFormat="1" x14ac:dyDescent="0.2">
      <c r="AT788" s="222"/>
      <c r="AU788" s="222"/>
    </row>
    <row r="789" spans="46:47" s="221" customFormat="1" x14ac:dyDescent="0.2">
      <c r="AT789" s="222"/>
      <c r="AU789" s="222"/>
    </row>
    <row r="790" spans="46:47" s="221" customFormat="1" x14ac:dyDescent="0.2">
      <c r="AT790" s="222"/>
      <c r="AU790" s="222"/>
    </row>
    <row r="791" spans="46:47" s="221" customFormat="1" x14ac:dyDescent="0.2">
      <c r="AT791" s="222"/>
      <c r="AU791" s="222"/>
    </row>
    <row r="792" spans="46:47" s="221" customFormat="1" x14ac:dyDescent="0.2">
      <c r="AT792" s="222"/>
      <c r="AU792" s="222"/>
    </row>
    <row r="793" spans="46:47" s="221" customFormat="1" x14ac:dyDescent="0.2">
      <c r="AT793" s="222"/>
      <c r="AU793" s="222"/>
    </row>
    <row r="794" spans="46:47" s="221" customFormat="1" x14ac:dyDescent="0.2">
      <c r="AT794" s="222"/>
      <c r="AU794" s="222"/>
    </row>
    <row r="795" spans="46:47" s="221" customFormat="1" x14ac:dyDescent="0.2">
      <c r="AT795" s="222"/>
      <c r="AU795" s="222"/>
    </row>
    <row r="796" spans="46:47" s="221" customFormat="1" x14ac:dyDescent="0.2">
      <c r="AT796" s="222"/>
      <c r="AU796" s="222"/>
    </row>
    <row r="797" spans="46:47" s="221" customFormat="1" x14ac:dyDescent="0.2">
      <c r="AT797" s="222"/>
      <c r="AU797" s="222"/>
    </row>
    <row r="798" spans="46:47" s="221" customFormat="1" x14ac:dyDescent="0.2">
      <c r="AT798" s="222"/>
      <c r="AU798" s="222"/>
    </row>
    <row r="799" spans="46:47" s="221" customFormat="1" x14ac:dyDescent="0.2">
      <c r="AT799" s="222"/>
      <c r="AU799" s="222"/>
    </row>
    <row r="800" spans="46:47" s="221" customFormat="1" x14ac:dyDescent="0.2">
      <c r="AT800" s="222"/>
      <c r="AU800" s="222"/>
    </row>
    <row r="801" spans="46:47" s="221" customFormat="1" x14ac:dyDescent="0.2">
      <c r="AT801" s="222"/>
      <c r="AU801" s="222"/>
    </row>
    <row r="802" spans="46:47" s="221" customFormat="1" x14ac:dyDescent="0.2">
      <c r="AT802" s="222"/>
      <c r="AU802" s="222"/>
    </row>
    <row r="803" spans="46:47" s="221" customFormat="1" x14ac:dyDescent="0.2">
      <c r="AT803" s="222"/>
      <c r="AU803" s="222"/>
    </row>
    <row r="804" spans="46:47" s="221" customFormat="1" x14ac:dyDescent="0.2">
      <c r="AT804" s="222"/>
      <c r="AU804" s="222"/>
    </row>
    <row r="805" spans="46:47" s="221" customFormat="1" x14ac:dyDescent="0.2">
      <c r="AT805" s="222"/>
      <c r="AU805" s="222"/>
    </row>
    <row r="806" spans="46:47" s="221" customFormat="1" x14ac:dyDescent="0.2">
      <c r="AT806" s="222"/>
      <c r="AU806" s="222"/>
    </row>
    <row r="807" spans="46:47" s="221" customFormat="1" x14ac:dyDescent="0.2">
      <c r="AT807" s="222"/>
      <c r="AU807" s="222"/>
    </row>
    <row r="808" spans="46:47" s="221" customFormat="1" x14ac:dyDescent="0.2">
      <c r="AT808" s="222"/>
      <c r="AU808" s="222"/>
    </row>
    <row r="809" spans="46:47" s="221" customFormat="1" x14ac:dyDescent="0.2">
      <c r="AT809" s="222"/>
      <c r="AU809" s="222"/>
    </row>
    <row r="810" spans="46:47" s="221" customFormat="1" x14ac:dyDescent="0.2">
      <c r="AT810" s="222"/>
      <c r="AU810" s="222"/>
    </row>
    <row r="811" spans="46:47" s="221" customFormat="1" x14ac:dyDescent="0.2">
      <c r="AT811" s="222"/>
      <c r="AU811" s="222"/>
    </row>
    <row r="812" spans="46:47" s="221" customFormat="1" x14ac:dyDescent="0.2">
      <c r="AT812" s="222"/>
      <c r="AU812" s="222"/>
    </row>
    <row r="813" spans="46:47" s="221" customFormat="1" x14ac:dyDescent="0.2">
      <c r="AT813" s="222"/>
      <c r="AU813" s="222"/>
    </row>
    <row r="814" spans="46:47" s="221" customFormat="1" x14ac:dyDescent="0.2">
      <c r="AT814" s="222"/>
      <c r="AU814" s="222"/>
    </row>
    <row r="815" spans="46:47" s="221" customFormat="1" x14ac:dyDescent="0.2">
      <c r="AT815" s="222"/>
      <c r="AU815" s="222"/>
    </row>
    <row r="816" spans="46:47" s="221" customFormat="1" x14ac:dyDescent="0.2">
      <c r="AT816" s="222"/>
      <c r="AU816" s="222"/>
    </row>
    <row r="817" spans="46:47" s="221" customFormat="1" x14ac:dyDescent="0.2">
      <c r="AT817" s="222"/>
      <c r="AU817" s="222"/>
    </row>
    <row r="818" spans="46:47" s="221" customFormat="1" x14ac:dyDescent="0.2">
      <c r="AT818" s="222"/>
      <c r="AU818" s="222"/>
    </row>
    <row r="819" spans="46:47" s="221" customFormat="1" x14ac:dyDescent="0.2">
      <c r="AT819" s="222"/>
      <c r="AU819" s="222"/>
    </row>
    <row r="820" spans="46:47" s="221" customFormat="1" x14ac:dyDescent="0.2">
      <c r="AT820" s="222"/>
      <c r="AU820" s="222"/>
    </row>
    <row r="821" spans="46:47" s="221" customFormat="1" x14ac:dyDescent="0.2">
      <c r="AT821" s="222"/>
      <c r="AU821" s="222"/>
    </row>
    <row r="822" spans="46:47" s="221" customFormat="1" x14ac:dyDescent="0.2">
      <c r="AT822" s="222"/>
      <c r="AU822" s="222"/>
    </row>
    <row r="823" spans="46:47" s="221" customFormat="1" x14ac:dyDescent="0.2">
      <c r="AT823" s="222"/>
      <c r="AU823" s="222"/>
    </row>
    <row r="824" spans="46:47" s="221" customFormat="1" x14ac:dyDescent="0.2">
      <c r="AT824" s="222"/>
      <c r="AU824" s="222"/>
    </row>
    <row r="825" spans="46:47" s="221" customFormat="1" x14ac:dyDescent="0.2">
      <c r="AT825" s="222"/>
      <c r="AU825" s="222"/>
    </row>
    <row r="826" spans="46:47" s="221" customFormat="1" x14ac:dyDescent="0.2">
      <c r="AT826" s="222"/>
      <c r="AU826" s="222"/>
    </row>
    <row r="827" spans="46:47" s="221" customFormat="1" x14ac:dyDescent="0.2">
      <c r="AT827" s="222"/>
      <c r="AU827" s="222"/>
    </row>
    <row r="828" spans="46:47" s="221" customFormat="1" x14ac:dyDescent="0.2">
      <c r="AT828" s="222"/>
      <c r="AU828" s="222"/>
    </row>
    <row r="829" spans="46:47" s="221" customFormat="1" x14ac:dyDescent="0.2">
      <c r="AT829" s="222"/>
      <c r="AU829" s="222"/>
    </row>
    <row r="830" spans="46:47" s="221" customFormat="1" x14ac:dyDescent="0.2">
      <c r="AT830" s="222"/>
      <c r="AU830" s="222"/>
    </row>
    <row r="831" spans="46:47" s="221" customFormat="1" x14ac:dyDescent="0.2">
      <c r="AT831" s="222"/>
      <c r="AU831" s="222"/>
    </row>
    <row r="832" spans="46:47" s="221" customFormat="1" x14ac:dyDescent="0.2">
      <c r="AT832" s="222"/>
      <c r="AU832" s="222"/>
    </row>
    <row r="833" spans="46:47" s="221" customFormat="1" x14ac:dyDescent="0.2">
      <c r="AT833" s="222"/>
      <c r="AU833" s="222"/>
    </row>
    <row r="834" spans="46:47" s="221" customFormat="1" x14ac:dyDescent="0.2">
      <c r="AT834" s="222"/>
      <c r="AU834" s="222"/>
    </row>
    <row r="835" spans="46:47" s="221" customFormat="1" x14ac:dyDescent="0.2">
      <c r="AT835" s="222"/>
      <c r="AU835" s="222"/>
    </row>
    <row r="836" spans="46:47" s="221" customFormat="1" x14ac:dyDescent="0.2">
      <c r="AT836" s="222"/>
      <c r="AU836" s="222"/>
    </row>
    <row r="837" spans="46:47" s="221" customFormat="1" x14ac:dyDescent="0.2">
      <c r="AT837" s="222"/>
      <c r="AU837" s="222"/>
    </row>
    <row r="838" spans="46:47" s="221" customFormat="1" x14ac:dyDescent="0.2">
      <c r="AT838" s="222"/>
      <c r="AU838" s="222"/>
    </row>
    <row r="839" spans="46:47" s="221" customFormat="1" x14ac:dyDescent="0.2">
      <c r="AT839" s="222"/>
      <c r="AU839" s="222"/>
    </row>
    <row r="840" spans="46:47" s="221" customFormat="1" x14ac:dyDescent="0.2">
      <c r="AT840" s="222"/>
      <c r="AU840" s="222"/>
    </row>
    <row r="841" spans="46:47" s="221" customFormat="1" x14ac:dyDescent="0.2">
      <c r="AT841" s="222"/>
      <c r="AU841" s="222"/>
    </row>
    <row r="842" spans="46:47" s="221" customFormat="1" x14ac:dyDescent="0.2">
      <c r="AT842" s="222"/>
      <c r="AU842" s="222"/>
    </row>
    <row r="843" spans="46:47" s="221" customFormat="1" x14ac:dyDescent="0.2">
      <c r="AT843" s="222"/>
      <c r="AU843" s="222"/>
    </row>
    <row r="844" spans="46:47" s="221" customFormat="1" x14ac:dyDescent="0.2">
      <c r="AT844" s="222"/>
      <c r="AU844" s="222"/>
    </row>
    <row r="845" spans="46:47" s="221" customFormat="1" x14ac:dyDescent="0.2">
      <c r="AT845" s="222"/>
      <c r="AU845" s="222"/>
    </row>
    <row r="846" spans="46:47" s="221" customFormat="1" x14ac:dyDescent="0.2">
      <c r="AT846" s="222"/>
      <c r="AU846" s="222"/>
    </row>
    <row r="847" spans="46:47" s="221" customFormat="1" x14ac:dyDescent="0.2">
      <c r="AT847" s="222"/>
      <c r="AU847" s="222"/>
    </row>
    <row r="848" spans="46:47" s="221" customFormat="1" x14ac:dyDescent="0.2">
      <c r="AT848" s="222"/>
      <c r="AU848" s="222"/>
    </row>
    <row r="849" spans="46:47" s="221" customFormat="1" x14ac:dyDescent="0.2">
      <c r="AT849" s="222"/>
      <c r="AU849" s="222"/>
    </row>
    <row r="850" spans="46:47" s="221" customFormat="1" x14ac:dyDescent="0.2">
      <c r="AT850" s="222"/>
      <c r="AU850" s="222"/>
    </row>
    <row r="851" spans="46:47" s="221" customFormat="1" x14ac:dyDescent="0.2">
      <c r="AT851" s="222"/>
      <c r="AU851" s="222"/>
    </row>
    <row r="852" spans="46:47" s="221" customFormat="1" x14ac:dyDescent="0.2">
      <c r="AT852" s="222"/>
      <c r="AU852" s="222"/>
    </row>
    <row r="853" spans="46:47" s="221" customFormat="1" x14ac:dyDescent="0.2">
      <c r="AT853" s="222"/>
      <c r="AU853" s="222"/>
    </row>
    <row r="854" spans="46:47" s="221" customFormat="1" x14ac:dyDescent="0.2">
      <c r="AT854" s="222"/>
      <c r="AU854" s="222"/>
    </row>
    <row r="855" spans="46:47" s="221" customFormat="1" x14ac:dyDescent="0.2">
      <c r="AT855" s="222"/>
      <c r="AU855" s="222"/>
    </row>
    <row r="856" spans="46:47" s="221" customFormat="1" x14ac:dyDescent="0.2">
      <c r="AT856" s="222"/>
      <c r="AU856" s="222"/>
    </row>
    <row r="857" spans="46:47" s="221" customFormat="1" x14ac:dyDescent="0.2">
      <c r="AT857" s="222"/>
      <c r="AU857" s="222"/>
    </row>
    <row r="858" spans="46:47" s="221" customFormat="1" x14ac:dyDescent="0.2">
      <c r="AT858" s="222"/>
      <c r="AU858" s="222"/>
    </row>
    <row r="859" spans="46:47" s="221" customFormat="1" x14ac:dyDescent="0.2">
      <c r="AT859" s="222"/>
      <c r="AU859" s="222"/>
    </row>
    <row r="860" spans="46:47" s="221" customFormat="1" x14ac:dyDescent="0.2">
      <c r="AT860" s="222"/>
      <c r="AU860" s="222"/>
    </row>
    <row r="861" spans="46:47" s="221" customFormat="1" x14ac:dyDescent="0.2">
      <c r="AT861" s="222"/>
      <c r="AU861" s="222"/>
    </row>
    <row r="862" spans="46:47" s="221" customFormat="1" x14ac:dyDescent="0.2">
      <c r="AT862" s="222"/>
      <c r="AU862" s="222"/>
    </row>
    <row r="863" spans="46:47" s="221" customFormat="1" x14ac:dyDescent="0.2">
      <c r="AT863" s="222"/>
      <c r="AU863" s="222"/>
    </row>
    <row r="864" spans="46:47" s="221" customFormat="1" x14ac:dyDescent="0.2">
      <c r="AT864" s="222"/>
      <c r="AU864" s="222"/>
    </row>
    <row r="865" spans="46:47" s="221" customFormat="1" x14ac:dyDescent="0.2">
      <c r="AT865" s="222"/>
      <c r="AU865" s="222"/>
    </row>
    <row r="866" spans="46:47" s="221" customFormat="1" x14ac:dyDescent="0.2">
      <c r="AT866" s="222"/>
      <c r="AU866" s="222"/>
    </row>
    <row r="867" spans="46:47" s="221" customFormat="1" x14ac:dyDescent="0.2">
      <c r="AT867" s="222"/>
      <c r="AU867" s="222"/>
    </row>
    <row r="868" spans="46:47" s="221" customFormat="1" x14ac:dyDescent="0.2">
      <c r="AT868" s="222"/>
      <c r="AU868" s="222"/>
    </row>
    <row r="869" spans="46:47" s="221" customFormat="1" x14ac:dyDescent="0.2">
      <c r="AT869" s="222"/>
      <c r="AU869" s="222"/>
    </row>
    <row r="870" spans="46:47" s="221" customFormat="1" x14ac:dyDescent="0.2">
      <c r="AT870" s="222"/>
      <c r="AU870" s="222"/>
    </row>
    <row r="871" spans="46:47" s="221" customFormat="1" x14ac:dyDescent="0.2">
      <c r="AT871" s="222"/>
      <c r="AU871" s="222"/>
    </row>
    <row r="872" spans="46:47" s="221" customFormat="1" x14ac:dyDescent="0.2">
      <c r="AT872" s="222"/>
      <c r="AU872" s="222"/>
    </row>
    <row r="873" spans="46:47" s="221" customFormat="1" x14ac:dyDescent="0.2">
      <c r="AT873" s="222"/>
      <c r="AU873" s="222"/>
    </row>
    <row r="874" spans="46:47" s="221" customFormat="1" x14ac:dyDescent="0.2">
      <c r="AT874" s="222"/>
      <c r="AU874" s="222"/>
    </row>
    <row r="875" spans="46:47" s="221" customFormat="1" x14ac:dyDescent="0.2">
      <c r="AT875" s="222"/>
      <c r="AU875" s="222"/>
    </row>
    <row r="876" spans="46:47" s="221" customFormat="1" x14ac:dyDescent="0.2">
      <c r="AT876" s="222"/>
      <c r="AU876" s="222"/>
    </row>
    <row r="877" spans="46:47" s="221" customFormat="1" x14ac:dyDescent="0.2">
      <c r="AT877" s="222"/>
      <c r="AU877" s="222"/>
    </row>
    <row r="878" spans="46:47" s="221" customFormat="1" x14ac:dyDescent="0.2">
      <c r="AT878" s="222"/>
      <c r="AU878" s="222"/>
    </row>
    <row r="879" spans="46:47" s="221" customFormat="1" x14ac:dyDescent="0.2">
      <c r="AT879" s="222"/>
      <c r="AU879" s="222"/>
    </row>
    <row r="880" spans="46:47" s="221" customFormat="1" x14ac:dyDescent="0.2">
      <c r="AT880" s="222"/>
      <c r="AU880" s="222"/>
    </row>
    <row r="881" spans="46:47" s="221" customFormat="1" x14ac:dyDescent="0.2">
      <c r="AT881" s="222"/>
      <c r="AU881" s="222"/>
    </row>
    <row r="882" spans="46:47" s="221" customFormat="1" x14ac:dyDescent="0.2">
      <c r="AT882" s="222"/>
      <c r="AU882" s="222"/>
    </row>
    <row r="883" spans="46:47" s="221" customFormat="1" x14ac:dyDescent="0.2">
      <c r="AT883" s="222"/>
      <c r="AU883" s="222"/>
    </row>
    <row r="884" spans="46:47" s="221" customFormat="1" x14ac:dyDescent="0.2">
      <c r="AT884" s="222"/>
      <c r="AU884" s="222"/>
    </row>
    <row r="885" spans="46:47" s="221" customFormat="1" x14ac:dyDescent="0.2">
      <c r="AT885" s="222"/>
      <c r="AU885" s="222"/>
    </row>
    <row r="886" spans="46:47" s="221" customFormat="1" x14ac:dyDescent="0.2">
      <c r="AT886" s="222"/>
      <c r="AU886" s="222"/>
    </row>
    <row r="887" spans="46:47" s="221" customFormat="1" x14ac:dyDescent="0.2">
      <c r="AT887" s="222"/>
      <c r="AU887" s="222"/>
    </row>
    <row r="888" spans="46:47" s="221" customFormat="1" x14ac:dyDescent="0.2">
      <c r="AT888" s="222"/>
      <c r="AU888" s="222"/>
    </row>
    <row r="889" spans="46:47" s="221" customFormat="1" x14ac:dyDescent="0.2">
      <c r="AT889" s="222"/>
      <c r="AU889" s="222"/>
    </row>
    <row r="890" spans="46:47" s="221" customFormat="1" x14ac:dyDescent="0.2">
      <c r="AT890" s="222"/>
      <c r="AU890" s="222"/>
    </row>
    <row r="891" spans="46:47" s="221" customFormat="1" x14ac:dyDescent="0.2">
      <c r="AT891" s="222"/>
      <c r="AU891" s="222"/>
    </row>
    <row r="892" spans="46:47" s="221" customFormat="1" x14ac:dyDescent="0.2">
      <c r="AT892" s="222"/>
      <c r="AU892" s="222"/>
    </row>
    <row r="893" spans="46:47" s="221" customFormat="1" x14ac:dyDescent="0.2">
      <c r="AT893" s="222"/>
      <c r="AU893" s="222"/>
    </row>
    <row r="894" spans="46:47" s="221" customFormat="1" x14ac:dyDescent="0.2">
      <c r="AT894" s="222"/>
      <c r="AU894" s="222"/>
    </row>
    <row r="895" spans="46:47" s="221" customFormat="1" x14ac:dyDescent="0.2">
      <c r="AT895" s="222"/>
      <c r="AU895" s="222"/>
    </row>
    <row r="896" spans="46:47" s="221" customFormat="1" x14ac:dyDescent="0.2">
      <c r="AT896" s="222"/>
      <c r="AU896" s="222"/>
    </row>
    <row r="897" spans="46:47" s="221" customFormat="1" x14ac:dyDescent="0.2">
      <c r="AT897" s="222"/>
      <c r="AU897" s="222"/>
    </row>
    <row r="898" spans="46:47" s="221" customFormat="1" x14ac:dyDescent="0.2">
      <c r="AT898" s="222"/>
      <c r="AU898" s="222"/>
    </row>
    <row r="899" spans="46:47" s="221" customFormat="1" x14ac:dyDescent="0.2">
      <c r="AT899" s="222"/>
      <c r="AU899" s="222"/>
    </row>
    <row r="900" spans="46:47" s="221" customFormat="1" x14ac:dyDescent="0.2">
      <c r="AT900" s="222"/>
      <c r="AU900" s="222"/>
    </row>
    <row r="901" spans="46:47" s="221" customFormat="1" x14ac:dyDescent="0.2">
      <c r="AT901" s="222"/>
      <c r="AU901" s="222"/>
    </row>
    <row r="902" spans="46:47" s="221" customFormat="1" x14ac:dyDescent="0.2">
      <c r="AT902" s="222"/>
      <c r="AU902" s="222"/>
    </row>
    <row r="903" spans="46:47" s="221" customFormat="1" x14ac:dyDescent="0.2">
      <c r="AT903" s="222"/>
      <c r="AU903" s="222"/>
    </row>
    <row r="904" spans="46:47" s="221" customFormat="1" x14ac:dyDescent="0.2">
      <c r="AT904" s="222"/>
      <c r="AU904" s="222"/>
    </row>
    <row r="905" spans="46:47" s="221" customFormat="1" x14ac:dyDescent="0.2">
      <c r="AT905" s="222"/>
      <c r="AU905" s="222"/>
    </row>
    <row r="906" spans="46:47" s="221" customFormat="1" x14ac:dyDescent="0.2">
      <c r="AT906" s="222"/>
      <c r="AU906" s="222"/>
    </row>
    <row r="907" spans="46:47" s="221" customFormat="1" x14ac:dyDescent="0.2">
      <c r="AT907" s="222"/>
      <c r="AU907" s="222"/>
    </row>
    <row r="908" spans="46:47" s="221" customFormat="1" x14ac:dyDescent="0.2">
      <c r="AT908" s="222"/>
      <c r="AU908" s="222"/>
    </row>
    <row r="909" spans="46:47" s="221" customFormat="1" x14ac:dyDescent="0.2">
      <c r="AT909" s="222"/>
      <c r="AU909" s="222"/>
    </row>
    <row r="910" spans="46:47" s="221" customFormat="1" x14ac:dyDescent="0.2">
      <c r="AT910" s="222"/>
      <c r="AU910" s="222"/>
    </row>
    <row r="911" spans="46:47" s="221" customFormat="1" x14ac:dyDescent="0.2">
      <c r="AT911" s="222"/>
      <c r="AU911" s="222"/>
    </row>
    <row r="912" spans="46:47" s="221" customFormat="1" x14ac:dyDescent="0.2">
      <c r="AT912" s="222"/>
      <c r="AU912" s="222"/>
    </row>
    <row r="913" spans="46:47" s="221" customFormat="1" x14ac:dyDescent="0.2">
      <c r="AT913" s="222"/>
      <c r="AU913" s="222"/>
    </row>
    <row r="914" spans="46:47" s="221" customFormat="1" x14ac:dyDescent="0.2">
      <c r="AT914" s="222"/>
      <c r="AU914" s="222"/>
    </row>
    <row r="915" spans="46:47" s="221" customFormat="1" x14ac:dyDescent="0.2">
      <c r="AT915" s="222"/>
      <c r="AU915" s="222"/>
    </row>
    <row r="916" spans="46:47" s="221" customFormat="1" x14ac:dyDescent="0.2">
      <c r="AT916" s="222"/>
      <c r="AU916" s="222"/>
    </row>
    <row r="917" spans="46:47" s="221" customFormat="1" x14ac:dyDescent="0.2">
      <c r="AT917" s="222"/>
      <c r="AU917" s="222"/>
    </row>
    <row r="918" spans="46:47" s="221" customFormat="1" x14ac:dyDescent="0.2">
      <c r="AT918" s="222"/>
      <c r="AU918" s="222"/>
    </row>
    <row r="919" spans="46:47" s="221" customFormat="1" x14ac:dyDescent="0.2">
      <c r="AT919" s="222"/>
      <c r="AU919" s="222"/>
    </row>
    <row r="920" spans="46:47" s="221" customFormat="1" x14ac:dyDescent="0.2">
      <c r="AT920" s="222"/>
      <c r="AU920" s="222"/>
    </row>
    <row r="921" spans="46:47" s="221" customFormat="1" x14ac:dyDescent="0.2">
      <c r="AT921" s="222"/>
      <c r="AU921" s="222"/>
    </row>
    <row r="922" spans="46:47" s="221" customFormat="1" x14ac:dyDescent="0.2">
      <c r="AT922" s="222"/>
      <c r="AU922" s="222"/>
    </row>
    <row r="923" spans="46:47" s="221" customFormat="1" x14ac:dyDescent="0.2">
      <c r="AT923" s="222"/>
      <c r="AU923" s="222"/>
    </row>
    <row r="924" spans="46:47" s="221" customFormat="1" x14ac:dyDescent="0.2">
      <c r="AT924" s="222"/>
      <c r="AU924" s="222"/>
    </row>
    <row r="925" spans="46:47" s="221" customFormat="1" x14ac:dyDescent="0.2">
      <c r="AT925" s="222"/>
      <c r="AU925" s="222"/>
    </row>
    <row r="926" spans="46:47" s="221" customFormat="1" x14ac:dyDescent="0.2">
      <c r="AT926" s="222"/>
      <c r="AU926" s="222"/>
    </row>
    <row r="927" spans="46:47" s="221" customFormat="1" x14ac:dyDescent="0.2">
      <c r="AT927" s="222"/>
      <c r="AU927" s="222"/>
    </row>
    <row r="928" spans="46:47" s="221" customFormat="1" x14ac:dyDescent="0.2">
      <c r="AT928" s="222"/>
      <c r="AU928" s="222"/>
    </row>
    <row r="929" spans="46:47" s="221" customFormat="1" x14ac:dyDescent="0.2">
      <c r="AT929" s="222"/>
      <c r="AU929" s="222"/>
    </row>
    <row r="930" spans="46:47" s="221" customFormat="1" x14ac:dyDescent="0.2">
      <c r="AT930" s="222"/>
      <c r="AU930" s="222"/>
    </row>
    <row r="931" spans="46:47" s="221" customFormat="1" x14ac:dyDescent="0.2">
      <c r="AT931" s="222"/>
      <c r="AU931" s="222"/>
    </row>
    <row r="932" spans="46:47" s="221" customFormat="1" x14ac:dyDescent="0.2">
      <c r="AT932" s="222"/>
      <c r="AU932" s="222"/>
    </row>
    <row r="933" spans="46:47" s="221" customFormat="1" x14ac:dyDescent="0.2">
      <c r="AT933" s="222"/>
      <c r="AU933" s="222"/>
    </row>
    <row r="934" spans="46:47" s="221" customFormat="1" x14ac:dyDescent="0.2">
      <c r="AT934" s="222"/>
      <c r="AU934" s="222"/>
    </row>
    <row r="935" spans="46:47" s="221" customFormat="1" x14ac:dyDescent="0.2">
      <c r="AT935" s="222"/>
      <c r="AU935" s="222"/>
    </row>
    <row r="936" spans="46:47" s="221" customFormat="1" x14ac:dyDescent="0.2">
      <c r="AT936" s="222"/>
      <c r="AU936" s="222"/>
    </row>
    <row r="937" spans="46:47" s="221" customFormat="1" x14ac:dyDescent="0.2">
      <c r="AT937" s="222"/>
      <c r="AU937" s="222"/>
    </row>
    <row r="938" spans="46:47" s="221" customFormat="1" x14ac:dyDescent="0.2">
      <c r="AT938" s="222"/>
      <c r="AU938" s="222"/>
    </row>
    <row r="939" spans="46:47" s="221" customFormat="1" x14ac:dyDescent="0.2">
      <c r="AT939" s="222"/>
      <c r="AU939" s="222"/>
    </row>
    <row r="940" spans="46:47" s="221" customFormat="1" x14ac:dyDescent="0.2">
      <c r="AT940" s="222"/>
      <c r="AU940" s="222"/>
    </row>
    <row r="941" spans="46:47" s="221" customFormat="1" x14ac:dyDescent="0.2">
      <c r="AT941" s="222"/>
      <c r="AU941" s="222"/>
    </row>
    <row r="942" spans="46:47" s="221" customFormat="1" x14ac:dyDescent="0.2">
      <c r="AT942" s="222"/>
      <c r="AU942" s="222"/>
    </row>
    <row r="943" spans="46:47" s="221" customFormat="1" x14ac:dyDescent="0.2">
      <c r="AT943" s="222"/>
      <c r="AU943" s="222"/>
    </row>
    <row r="944" spans="46:47" s="221" customFormat="1" x14ac:dyDescent="0.2">
      <c r="AT944" s="222"/>
      <c r="AU944" s="222"/>
    </row>
    <row r="945" spans="46:47" s="221" customFormat="1" x14ac:dyDescent="0.2">
      <c r="AT945" s="222"/>
      <c r="AU945" s="222"/>
    </row>
    <row r="946" spans="46:47" s="221" customFormat="1" x14ac:dyDescent="0.2">
      <c r="AT946" s="222"/>
      <c r="AU946" s="222"/>
    </row>
    <row r="947" spans="46:47" s="221" customFormat="1" x14ac:dyDescent="0.2">
      <c r="AT947" s="222"/>
      <c r="AU947" s="222"/>
    </row>
    <row r="948" spans="46:47" s="221" customFormat="1" x14ac:dyDescent="0.2">
      <c r="AT948" s="222"/>
      <c r="AU948" s="222"/>
    </row>
    <row r="949" spans="46:47" s="221" customFormat="1" x14ac:dyDescent="0.2">
      <c r="AT949" s="222"/>
      <c r="AU949" s="222"/>
    </row>
    <row r="950" spans="46:47" s="221" customFormat="1" x14ac:dyDescent="0.2">
      <c r="AT950" s="222"/>
      <c r="AU950" s="222"/>
    </row>
    <row r="951" spans="46:47" s="221" customFormat="1" x14ac:dyDescent="0.2">
      <c r="AT951" s="222"/>
      <c r="AU951" s="222"/>
    </row>
    <row r="952" spans="46:47" s="221" customFormat="1" x14ac:dyDescent="0.2">
      <c r="AT952" s="222"/>
      <c r="AU952" s="222"/>
    </row>
    <row r="953" spans="46:47" s="221" customFormat="1" x14ac:dyDescent="0.2">
      <c r="AT953" s="222"/>
      <c r="AU953" s="222"/>
    </row>
    <row r="954" spans="46:47" s="221" customFormat="1" x14ac:dyDescent="0.2">
      <c r="AT954" s="222"/>
      <c r="AU954" s="222"/>
    </row>
    <row r="955" spans="46:47" s="221" customFormat="1" x14ac:dyDescent="0.2">
      <c r="AT955" s="222"/>
      <c r="AU955" s="222"/>
    </row>
    <row r="956" spans="46:47" s="221" customFormat="1" x14ac:dyDescent="0.2">
      <c r="AT956" s="222"/>
      <c r="AU956" s="222"/>
    </row>
    <row r="957" spans="46:47" s="221" customFormat="1" x14ac:dyDescent="0.2">
      <c r="AT957" s="222"/>
      <c r="AU957" s="222"/>
    </row>
    <row r="958" spans="46:47" s="221" customFormat="1" x14ac:dyDescent="0.2">
      <c r="AT958" s="222"/>
      <c r="AU958" s="222"/>
    </row>
    <row r="959" spans="46:47" s="221" customFormat="1" x14ac:dyDescent="0.2">
      <c r="AT959" s="222"/>
      <c r="AU959" s="222"/>
    </row>
    <row r="960" spans="46:47" s="221" customFormat="1" x14ac:dyDescent="0.2">
      <c r="AT960" s="222"/>
      <c r="AU960" s="222"/>
    </row>
    <row r="961" spans="46:47" s="221" customFormat="1" x14ac:dyDescent="0.2">
      <c r="AT961" s="222"/>
      <c r="AU961" s="222"/>
    </row>
    <row r="962" spans="46:47" s="221" customFormat="1" x14ac:dyDescent="0.2">
      <c r="AT962" s="222"/>
      <c r="AU962" s="222"/>
    </row>
    <row r="963" spans="46:47" s="221" customFormat="1" x14ac:dyDescent="0.2">
      <c r="AT963" s="222"/>
      <c r="AU963" s="222"/>
    </row>
    <row r="964" spans="46:47" s="221" customFormat="1" x14ac:dyDescent="0.2">
      <c r="AT964" s="222"/>
      <c r="AU964" s="222"/>
    </row>
    <row r="965" spans="46:47" s="221" customFormat="1" x14ac:dyDescent="0.2">
      <c r="AT965" s="222"/>
      <c r="AU965" s="222"/>
    </row>
    <row r="966" spans="46:47" s="221" customFormat="1" x14ac:dyDescent="0.2">
      <c r="AT966" s="222"/>
      <c r="AU966" s="222"/>
    </row>
    <row r="967" spans="46:47" s="221" customFormat="1" x14ac:dyDescent="0.2">
      <c r="AT967" s="222"/>
      <c r="AU967" s="222"/>
    </row>
    <row r="968" spans="46:47" s="221" customFormat="1" x14ac:dyDescent="0.2">
      <c r="AT968" s="222"/>
      <c r="AU968" s="222"/>
    </row>
    <row r="969" spans="46:47" s="221" customFormat="1" x14ac:dyDescent="0.2">
      <c r="AT969" s="222"/>
      <c r="AU969" s="222"/>
    </row>
    <row r="970" spans="46:47" s="221" customFormat="1" x14ac:dyDescent="0.2">
      <c r="AT970" s="222"/>
      <c r="AU970" s="222"/>
    </row>
    <row r="971" spans="46:47" s="221" customFormat="1" x14ac:dyDescent="0.2">
      <c r="AT971" s="222"/>
      <c r="AU971" s="222"/>
    </row>
    <row r="972" spans="46:47" s="221" customFormat="1" x14ac:dyDescent="0.2">
      <c r="AT972" s="222"/>
      <c r="AU972" s="222"/>
    </row>
    <row r="973" spans="46:47" s="221" customFormat="1" x14ac:dyDescent="0.2">
      <c r="AT973" s="222"/>
      <c r="AU973" s="222"/>
    </row>
    <row r="974" spans="46:47" s="221" customFormat="1" x14ac:dyDescent="0.2">
      <c r="AT974" s="222"/>
      <c r="AU974" s="222"/>
    </row>
    <row r="975" spans="46:47" s="221" customFormat="1" x14ac:dyDescent="0.2">
      <c r="AT975" s="222"/>
      <c r="AU975" s="222"/>
    </row>
    <row r="976" spans="46:47" s="221" customFormat="1" x14ac:dyDescent="0.2">
      <c r="AT976" s="222"/>
      <c r="AU976" s="222"/>
    </row>
    <row r="977" spans="46:47" s="221" customFormat="1" x14ac:dyDescent="0.2">
      <c r="AT977" s="222"/>
      <c r="AU977" s="222"/>
    </row>
    <row r="978" spans="46:47" s="221" customFormat="1" x14ac:dyDescent="0.2">
      <c r="AT978" s="222"/>
      <c r="AU978" s="222"/>
    </row>
    <row r="979" spans="46:47" s="221" customFormat="1" x14ac:dyDescent="0.2">
      <c r="AT979" s="222"/>
      <c r="AU979" s="222"/>
    </row>
    <row r="980" spans="46:47" s="221" customFormat="1" x14ac:dyDescent="0.2">
      <c r="AT980" s="222"/>
      <c r="AU980" s="222"/>
    </row>
    <row r="981" spans="46:47" s="221" customFormat="1" x14ac:dyDescent="0.2">
      <c r="AT981" s="222"/>
      <c r="AU981" s="222"/>
    </row>
    <row r="982" spans="46:47" s="221" customFormat="1" x14ac:dyDescent="0.2">
      <c r="AT982" s="222"/>
      <c r="AU982" s="222"/>
    </row>
    <row r="983" spans="46:47" s="221" customFormat="1" x14ac:dyDescent="0.2">
      <c r="AT983" s="222"/>
      <c r="AU983" s="222"/>
    </row>
    <row r="984" spans="46:47" s="221" customFormat="1" x14ac:dyDescent="0.2">
      <c r="AT984" s="222"/>
      <c r="AU984" s="222"/>
    </row>
    <row r="985" spans="46:47" s="221" customFormat="1" x14ac:dyDescent="0.2">
      <c r="AT985" s="222"/>
      <c r="AU985" s="222"/>
    </row>
    <row r="986" spans="46:47" s="221" customFormat="1" x14ac:dyDescent="0.2">
      <c r="AT986" s="222"/>
      <c r="AU986" s="222"/>
    </row>
    <row r="987" spans="46:47" s="221" customFormat="1" x14ac:dyDescent="0.2">
      <c r="AT987" s="222"/>
      <c r="AU987" s="222"/>
    </row>
    <row r="988" spans="46:47" s="221" customFormat="1" x14ac:dyDescent="0.2">
      <c r="AT988" s="222"/>
      <c r="AU988" s="222"/>
    </row>
    <row r="989" spans="46:47" s="221" customFormat="1" x14ac:dyDescent="0.2">
      <c r="AT989" s="222"/>
      <c r="AU989" s="222"/>
    </row>
    <row r="990" spans="46:47" s="221" customFormat="1" x14ac:dyDescent="0.2">
      <c r="AT990" s="222"/>
      <c r="AU990" s="222"/>
    </row>
    <row r="991" spans="46:47" s="221" customFormat="1" x14ac:dyDescent="0.2">
      <c r="AT991" s="222"/>
      <c r="AU991" s="222"/>
    </row>
    <row r="992" spans="46:47" s="221" customFormat="1" x14ac:dyDescent="0.2">
      <c r="AT992" s="222"/>
      <c r="AU992" s="222"/>
    </row>
    <row r="993" spans="46:47" s="221" customFormat="1" x14ac:dyDescent="0.2">
      <c r="AT993" s="222"/>
      <c r="AU993" s="222"/>
    </row>
    <row r="994" spans="46:47" s="221" customFormat="1" x14ac:dyDescent="0.2">
      <c r="AT994" s="222"/>
      <c r="AU994" s="222"/>
    </row>
    <row r="995" spans="46:47" s="221" customFormat="1" x14ac:dyDescent="0.2">
      <c r="AT995" s="222"/>
      <c r="AU995" s="222"/>
    </row>
    <row r="996" spans="46:47" s="221" customFormat="1" x14ac:dyDescent="0.2">
      <c r="AT996" s="222"/>
      <c r="AU996" s="222"/>
    </row>
    <row r="997" spans="46:47" s="221" customFormat="1" x14ac:dyDescent="0.2">
      <c r="AT997" s="222"/>
      <c r="AU997" s="222"/>
    </row>
    <row r="998" spans="46:47" s="221" customFormat="1" x14ac:dyDescent="0.2">
      <c r="AT998" s="222"/>
      <c r="AU998" s="222"/>
    </row>
    <row r="999" spans="46:47" s="221" customFormat="1" x14ac:dyDescent="0.2">
      <c r="AT999" s="222"/>
      <c r="AU999" s="222"/>
    </row>
    <row r="1000" spans="46:47" s="221" customFormat="1" x14ac:dyDescent="0.2">
      <c r="AT1000" s="222"/>
      <c r="AU1000" s="222"/>
    </row>
    <row r="1001" spans="46:47" s="221" customFormat="1" x14ac:dyDescent="0.2">
      <c r="AT1001" s="222"/>
      <c r="AU1001" s="222"/>
    </row>
    <row r="1002" spans="46:47" s="221" customFormat="1" x14ac:dyDescent="0.2">
      <c r="AT1002" s="222"/>
      <c r="AU1002" s="222"/>
    </row>
    <row r="1003" spans="46:47" s="221" customFormat="1" x14ac:dyDescent="0.2">
      <c r="AT1003" s="222"/>
      <c r="AU1003" s="222"/>
    </row>
    <row r="1004" spans="46:47" s="221" customFormat="1" x14ac:dyDescent="0.2">
      <c r="AT1004" s="222"/>
      <c r="AU1004" s="222"/>
    </row>
    <row r="1005" spans="46:47" s="221" customFormat="1" x14ac:dyDescent="0.2">
      <c r="AT1005" s="222"/>
      <c r="AU1005" s="222"/>
    </row>
    <row r="1006" spans="46:47" s="221" customFormat="1" x14ac:dyDescent="0.2">
      <c r="AT1006" s="222"/>
      <c r="AU1006" s="222"/>
    </row>
    <row r="1007" spans="46:47" s="221" customFormat="1" x14ac:dyDescent="0.2">
      <c r="AT1007" s="222"/>
      <c r="AU1007" s="222"/>
    </row>
    <row r="1008" spans="46:47" s="221" customFormat="1" x14ac:dyDescent="0.2">
      <c r="AT1008" s="222"/>
      <c r="AU1008" s="222"/>
    </row>
    <row r="1009" spans="46:47" s="221" customFormat="1" x14ac:dyDescent="0.2">
      <c r="AT1009" s="222"/>
      <c r="AU1009" s="222"/>
    </row>
    <row r="1010" spans="46:47" s="221" customFormat="1" x14ac:dyDescent="0.2">
      <c r="AT1010" s="222"/>
      <c r="AU1010" s="222"/>
    </row>
    <row r="1011" spans="46:47" s="221" customFormat="1" x14ac:dyDescent="0.2">
      <c r="AT1011" s="222"/>
      <c r="AU1011" s="222"/>
    </row>
    <row r="1012" spans="46:47" s="221" customFormat="1" x14ac:dyDescent="0.2">
      <c r="AT1012" s="222"/>
      <c r="AU1012" s="222"/>
    </row>
    <row r="1013" spans="46:47" s="221" customFormat="1" x14ac:dyDescent="0.2">
      <c r="AT1013" s="222"/>
      <c r="AU1013" s="222"/>
    </row>
    <row r="1014" spans="46:47" s="221" customFormat="1" x14ac:dyDescent="0.2">
      <c r="AT1014" s="222"/>
      <c r="AU1014" s="222"/>
    </row>
    <row r="1015" spans="46:47" s="221" customFormat="1" x14ac:dyDescent="0.2">
      <c r="AT1015" s="222"/>
      <c r="AU1015" s="222"/>
    </row>
    <row r="1016" spans="46:47" s="221" customFormat="1" x14ac:dyDescent="0.2">
      <c r="AT1016" s="222"/>
      <c r="AU1016" s="222"/>
    </row>
    <row r="1017" spans="46:47" s="221" customFormat="1" x14ac:dyDescent="0.2">
      <c r="AT1017" s="222"/>
      <c r="AU1017" s="222"/>
    </row>
    <row r="1018" spans="46:47" s="221" customFormat="1" x14ac:dyDescent="0.2">
      <c r="AT1018" s="222"/>
      <c r="AU1018" s="222"/>
    </row>
    <row r="1019" spans="46:47" s="221" customFormat="1" x14ac:dyDescent="0.2">
      <c r="AT1019" s="222"/>
      <c r="AU1019" s="222"/>
    </row>
    <row r="1020" spans="46:47" s="221" customFormat="1" x14ac:dyDescent="0.2">
      <c r="AT1020" s="222"/>
      <c r="AU1020" s="222"/>
    </row>
    <row r="1021" spans="46:47" s="221" customFormat="1" x14ac:dyDescent="0.2">
      <c r="AT1021" s="222"/>
      <c r="AU1021" s="222"/>
    </row>
    <row r="1022" spans="46:47" s="221" customFormat="1" x14ac:dyDescent="0.2">
      <c r="AT1022" s="222"/>
      <c r="AU1022" s="222"/>
    </row>
    <row r="1023" spans="46:47" s="221" customFormat="1" x14ac:dyDescent="0.2">
      <c r="AT1023" s="222"/>
      <c r="AU1023" s="222"/>
    </row>
    <row r="1024" spans="46:47" s="221" customFormat="1" x14ac:dyDescent="0.2">
      <c r="AT1024" s="222"/>
      <c r="AU1024" s="222"/>
    </row>
    <row r="1025" spans="46:47" s="221" customFormat="1" x14ac:dyDescent="0.2">
      <c r="AT1025" s="222"/>
      <c r="AU1025" s="222"/>
    </row>
    <row r="1026" spans="46:47" s="221" customFormat="1" x14ac:dyDescent="0.2">
      <c r="AT1026" s="222"/>
      <c r="AU1026" s="222"/>
    </row>
    <row r="1027" spans="46:47" s="221" customFormat="1" x14ac:dyDescent="0.2">
      <c r="AT1027" s="222"/>
      <c r="AU1027" s="222"/>
    </row>
    <row r="1028" spans="46:47" s="221" customFormat="1" x14ac:dyDescent="0.2">
      <c r="AT1028" s="222"/>
      <c r="AU1028" s="222"/>
    </row>
    <row r="1029" spans="46:47" s="221" customFormat="1" x14ac:dyDescent="0.2">
      <c r="AT1029" s="222"/>
      <c r="AU1029" s="222"/>
    </row>
    <row r="1030" spans="46:47" s="221" customFormat="1" x14ac:dyDescent="0.2">
      <c r="AT1030" s="222"/>
      <c r="AU1030" s="222"/>
    </row>
    <row r="1031" spans="46:47" s="221" customFormat="1" x14ac:dyDescent="0.2">
      <c r="AT1031" s="222"/>
      <c r="AU1031" s="222"/>
    </row>
    <row r="1032" spans="46:47" s="221" customFormat="1" x14ac:dyDescent="0.2">
      <c r="AT1032" s="222"/>
      <c r="AU1032" s="222"/>
    </row>
    <row r="1033" spans="46:47" s="221" customFormat="1" x14ac:dyDescent="0.2">
      <c r="AT1033" s="222"/>
      <c r="AU1033" s="222"/>
    </row>
    <row r="1034" spans="46:47" s="221" customFormat="1" x14ac:dyDescent="0.2">
      <c r="AT1034" s="222"/>
      <c r="AU1034" s="222"/>
    </row>
    <row r="1035" spans="46:47" s="221" customFormat="1" x14ac:dyDescent="0.2">
      <c r="AT1035" s="222"/>
      <c r="AU1035" s="222"/>
    </row>
    <row r="1036" spans="46:47" s="221" customFormat="1" x14ac:dyDescent="0.2">
      <c r="AT1036" s="222"/>
      <c r="AU1036" s="222"/>
    </row>
    <row r="1037" spans="46:47" s="221" customFormat="1" x14ac:dyDescent="0.2">
      <c r="AT1037" s="222"/>
      <c r="AU1037" s="222"/>
    </row>
    <row r="1038" spans="46:47" s="221" customFormat="1" x14ac:dyDescent="0.2">
      <c r="AT1038" s="222"/>
      <c r="AU1038" s="222"/>
    </row>
    <row r="1039" spans="46:47" s="221" customFormat="1" x14ac:dyDescent="0.2">
      <c r="AT1039" s="222"/>
      <c r="AU1039" s="222"/>
    </row>
    <row r="1040" spans="46:47" s="221" customFormat="1" x14ac:dyDescent="0.2">
      <c r="AT1040" s="222"/>
      <c r="AU1040" s="222"/>
    </row>
    <row r="1041" spans="46:47" s="221" customFormat="1" x14ac:dyDescent="0.2">
      <c r="AT1041" s="222"/>
      <c r="AU1041" s="222"/>
    </row>
    <row r="1042" spans="46:47" s="221" customFormat="1" x14ac:dyDescent="0.2">
      <c r="AT1042" s="222"/>
      <c r="AU1042" s="222"/>
    </row>
    <row r="1043" spans="46:47" s="221" customFormat="1" x14ac:dyDescent="0.2">
      <c r="AT1043" s="222"/>
      <c r="AU1043" s="222"/>
    </row>
    <row r="1044" spans="46:47" s="221" customFormat="1" x14ac:dyDescent="0.2">
      <c r="AT1044" s="222"/>
      <c r="AU1044" s="222"/>
    </row>
    <row r="1045" spans="46:47" s="221" customFormat="1" x14ac:dyDescent="0.2">
      <c r="AT1045" s="222"/>
      <c r="AU1045" s="222"/>
    </row>
    <row r="1046" spans="46:47" s="221" customFormat="1" x14ac:dyDescent="0.2">
      <c r="AT1046" s="222"/>
      <c r="AU1046" s="222"/>
    </row>
    <row r="1047" spans="46:47" s="221" customFormat="1" x14ac:dyDescent="0.2">
      <c r="AT1047" s="222"/>
      <c r="AU1047" s="222"/>
    </row>
    <row r="1048" spans="46:47" s="221" customFormat="1" x14ac:dyDescent="0.2">
      <c r="AT1048" s="222"/>
      <c r="AU1048" s="222"/>
    </row>
    <row r="1049" spans="46:47" s="221" customFormat="1" x14ac:dyDescent="0.2">
      <c r="AT1049" s="222"/>
      <c r="AU1049" s="222"/>
    </row>
    <row r="1050" spans="46:47" s="221" customFormat="1" x14ac:dyDescent="0.2">
      <c r="AT1050" s="222"/>
      <c r="AU1050" s="222"/>
    </row>
    <row r="1051" spans="46:47" s="221" customFormat="1" x14ac:dyDescent="0.2">
      <c r="AT1051" s="222"/>
      <c r="AU1051" s="222"/>
    </row>
    <row r="1052" spans="46:47" s="221" customFormat="1" x14ac:dyDescent="0.2">
      <c r="AT1052" s="222"/>
      <c r="AU1052" s="222"/>
    </row>
    <row r="1053" spans="46:47" s="221" customFormat="1" x14ac:dyDescent="0.2">
      <c r="AT1053" s="222"/>
      <c r="AU1053" s="222"/>
    </row>
    <row r="1054" spans="46:47" s="221" customFormat="1" x14ac:dyDescent="0.2">
      <c r="AT1054" s="222"/>
      <c r="AU1054" s="222"/>
    </row>
    <row r="1055" spans="46:47" s="221" customFormat="1" x14ac:dyDescent="0.2">
      <c r="AT1055" s="222"/>
      <c r="AU1055" s="222"/>
    </row>
    <row r="1056" spans="46:47" s="221" customFormat="1" x14ac:dyDescent="0.2">
      <c r="AT1056" s="222"/>
      <c r="AU1056" s="222"/>
    </row>
    <row r="1057" spans="46:47" s="221" customFormat="1" x14ac:dyDescent="0.2">
      <c r="AT1057" s="222"/>
      <c r="AU1057" s="222"/>
    </row>
    <row r="1058" spans="46:47" s="221" customFormat="1" x14ac:dyDescent="0.2">
      <c r="AT1058" s="222"/>
      <c r="AU1058" s="222"/>
    </row>
    <row r="1059" spans="46:47" s="221" customFormat="1" x14ac:dyDescent="0.2">
      <c r="AT1059" s="222"/>
      <c r="AU1059" s="222"/>
    </row>
    <row r="1060" spans="46:47" s="221" customFormat="1" x14ac:dyDescent="0.2">
      <c r="AT1060" s="222"/>
      <c r="AU1060" s="222"/>
    </row>
    <row r="1061" spans="46:47" s="221" customFormat="1" x14ac:dyDescent="0.2">
      <c r="AT1061" s="222"/>
      <c r="AU1061" s="222"/>
    </row>
    <row r="1062" spans="46:47" s="221" customFormat="1" x14ac:dyDescent="0.2">
      <c r="AT1062" s="222"/>
      <c r="AU1062" s="222"/>
    </row>
    <row r="1063" spans="46:47" s="221" customFormat="1" x14ac:dyDescent="0.2">
      <c r="AT1063" s="222"/>
      <c r="AU1063" s="222"/>
    </row>
    <row r="1064" spans="46:47" s="221" customFormat="1" x14ac:dyDescent="0.2">
      <c r="AT1064" s="222"/>
      <c r="AU1064" s="222"/>
    </row>
    <row r="1065" spans="46:47" s="221" customFormat="1" x14ac:dyDescent="0.2">
      <c r="AT1065" s="222"/>
      <c r="AU1065" s="222"/>
    </row>
    <row r="1066" spans="46:47" s="221" customFormat="1" x14ac:dyDescent="0.2">
      <c r="AT1066" s="222"/>
      <c r="AU1066" s="222"/>
    </row>
    <row r="1067" spans="46:47" s="221" customFormat="1" x14ac:dyDescent="0.2">
      <c r="AT1067" s="222"/>
      <c r="AU1067" s="222"/>
    </row>
    <row r="1068" spans="46:47" s="221" customFormat="1" x14ac:dyDescent="0.2">
      <c r="AT1068" s="222"/>
      <c r="AU1068" s="222"/>
    </row>
    <row r="1069" spans="46:47" s="221" customFormat="1" x14ac:dyDescent="0.2">
      <c r="AT1069" s="222"/>
      <c r="AU1069" s="222"/>
    </row>
    <row r="1070" spans="46:47" s="221" customFormat="1" x14ac:dyDescent="0.2">
      <c r="AT1070" s="222"/>
      <c r="AU1070" s="222"/>
    </row>
    <row r="1071" spans="46:47" s="221" customFormat="1" x14ac:dyDescent="0.2">
      <c r="AT1071" s="222"/>
      <c r="AU1071" s="222"/>
    </row>
    <row r="1072" spans="46:47" s="221" customFormat="1" x14ac:dyDescent="0.2">
      <c r="AT1072" s="222"/>
      <c r="AU1072" s="222"/>
    </row>
    <row r="1073" spans="46:47" s="221" customFormat="1" x14ac:dyDescent="0.2">
      <c r="AT1073" s="222"/>
      <c r="AU1073" s="222"/>
    </row>
    <row r="1074" spans="46:47" s="221" customFormat="1" x14ac:dyDescent="0.2">
      <c r="AT1074" s="222"/>
      <c r="AU1074" s="222"/>
    </row>
    <row r="1075" spans="46:47" s="221" customFormat="1" x14ac:dyDescent="0.2">
      <c r="AT1075" s="222"/>
      <c r="AU1075" s="222"/>
    </row>
    <row r="1076" spans="46:47" s="221" customFormat="1" x14ac:dyDescent="0.2">
      <c r="AT1076" s="222"/>
      <c r="AU1076" s="222"/>
    </row>
    <row r="1077" spans="46:47" s="221" customFormat="1" x14ac:dyDescent="0.2">
      <c r="AT1077" s="222"/>
      <c r="AU1077" s="222"/>
    </row>
    <row r="1078" spans="46:47" s="221" customFormat="1" x14ac:dyDescent="0.2">
      <c r="AT1078" s="222"/>
      <c r="AU1078" s="222"/>
    </row>
    <row r="1079" spans="46:47" s="221" customFormat="1" x14ac:dyDescent="0.2">
      <c r="AT1079" s="222"/>
      <c r="AU1079" s="222"/>
    </row>
    <row r="1080" spans="46:47" s="221" customFormat="1" x14ac:dyDescent="0.2">
      <c r="AT1080" s="222"/>
      <c r="AU1080" s="222"/>
    </row>
    <row r="1081" spans="46:47" s="221" customFormat="1" x14ac:dyDescent="0.2">
      <c r="AT1081" s="222"/>
      <c r="AU1081" s="222"/>
    </row>
    <row r="1082" spans="46:47" s="221" customFormat="1" x14ac:dyDescent="0.2">
      <c r="AT1082" s="222"/>
      <c r="AU1082" s="222"/>
    </row>
    <row r="1083" spans="46:47" s="221" customFormat="1" x14ac:dyDescent="0.2">
      <c r="AT1083" s="222"/>
      <c r="AU1083" s="222"/>
    </row>
    <row r="1084" spans="46:47" s="221" customFormat="1" x14ac:dyDescent="0.2">
      <c r="AT1084" s="222"/>
      <c r="AU1084" s="222"/>
    </row>
    <row r="1085" spans="46:47" s="221" customFormat="1" x14ac:dyDescent="0.2">
      <c r="AT1085" s="222"/>
      <c r="AU1085" s="222"/>
    </row>
    <row r="1086" spans="46:47" s="221" customFormat="1" x14ac:dyDescent="0.2">
      <c r="AT1086" s="222"/>
      <c r="AU1086" s="222"/>
    </row>
    <row r="1087" spans="46:47" s="221" customFormat="1" x14ac:dyDescent="0.2">
      <c r="AT1087" s="222"/>
      <c r="AU1087" s="222"/>
    </row>
    <row r="1088" spans="46:47" s="221" customFormat="1" x14ac:dyDescent="0.2">
      <c r="AT1088" s="222"/>
      <c r="AU1088" s="222"/>
    </row>
    <row r="1089" spans="46:47" s="221" customFormat="1" x14ac:dyDescent="0.2">
      <c r="AT1089" s="222"/>
      <c r="AU1089" s="222"/>
    </row>
    <row r="1090" spans="46:47" s="221" customFormat="1" x14ac:dyDescent="0.2">
      <c r="AT1090" s="222"/>
      <c r="AU1090" s="222"/>
    </row>
    <row r="1091" spans="46:47" s="221" customFormat="1" x14ac:dyDescent="0.2">
      <c r="AT1091" s="222"/>
      <c r="AU1091" s="222"/>
    </row>
    <row r="1092" spans="46:47" s="221" customFormat="1" x14ac:dyDescent="0.2">
      <c r="AT1092" s="222"/>
      <c r="AU1092" s="222"/>
    </row>
    <row r="1093" spans="46:47" s="221" customFormat="1" x14ac:dyDescent="0.2">
      <c r="AT1093" s="222"/>
      <c r="AU1093" s="222"/>
    </row>
    <row r="1094" spans="46:47" s="221" customFormat="1" x14ac:dyDescent="0.2">
      <c r="AT1094" s="222"/>
      <c r="AU1094" s="222"/>
    </row>
    <row r="1095" spans="46:47" s="221" customFormat="1" x14ac:dyDescent="0.2">
      <c r="AT1095" s="222"/>
      <c r="AU1095" s="222"/>
    </row>
    <row r="1096" spans="46:47" s="221" customFormat="1" x14ac:dyDescent="0.2">
      <c r="AT1096" s="222"/>
      <c r="AU1096" s="222"/>
    </row>
    <row r="1097" spans="46:47" s="221" customFormat="1" x14ac:dyDescent="0.2">
      <c r="AT1097" s="222"/>
      <c r="AU1097" s="222"/>
    </row>
    <row r="1098" spans="46:47" s="221" customFormat="1" x14ac:dyDescent="0.2">
      <c r="AT1098" s="222"/>
      <c r="AU1098" s="222"/>
    </row>
    <row r="1099" spans="46:47" s="221" customFormat="1" x14ac:dyDescent="0.2">
      <c r="AT1099" s="222"/>
      <c r="AU1099" s="222"/>
    </row>
    <row r="1100" spans="46:47" s="221" customFormat="1" x14ac:dyDescent="0.2">
      <c r="AT1100" s="222"/>
      <c r="AU1100" s="222"/>
    </row>
    <row r="1101" spans="46:47" s="221" customFormat="1" x14ac:dyDescent="0.2">
      <c r="AT1101" s="222"/>
      <c r="AU1101" s="222"/>
    </row>
    <row r="1102" spans="46:47" s="221" customFormat="1" x14ac:dyDescent="0.2">
      <c r="AT1102" s="222"/>
      <c r="AU1102" s="222"/>
    </row>
    <row r="1103" spans="46:47" s="221" customFormat="1" x14ac:dyDescent="0.2">
      <c r="AT1103" s="222"/>
      <c r="AU1103" s="222"/>
    </row>
    <row r="1104" spans="46:47" s="221" customFormat="1" x14ac:dyDescent="0.2">
      <c r="AT1104" s="222"/>
      <c r="AU1104" s="222"/>
    </row>
    <row r="1105" spans="46:47" s="221" customFormat="1" x14ac:dyDescent="0.2">
      <c r="AT1105" s="222"/>
      <c r="AU1105" s="222"/>
    </row>
    <row r="1106" spans="46:47" s="221" customFormat="1" x14ac:dyDescent="0.2">
      <c r="AT1106" s="222"/>
      <c r="AU1106" s="222"/>
    </row>
    <row r="1107" spans="46:47" s="221" customFormat="1" x14ac:dyDescent="0.2">
      <c r="AT1107" s="222"/>
      <c r="AU1107" s="222"/>
    </row>
    <row r="1108" spans="46:47" s="221" customFormat="1" x14ac:dyDescent="0.2">
      <c r="AT1108" s="222"/>
      <c r="AU1108" s="222"/>
    </row>
    <row r="1109" spans="46:47" s="221" customFormat="1" x14ac:dyDescent="0.2">
      <c r="AT1109" s="222"/>
      <c r="AU1109" s="222"/>
    </row>
    <row r="1110" spans="46:47" s="221" customFormat="1" x14ac:dyDescent="0.2">
      <c r="AT1110" s="222"/>
      <c r="AU1110" s="222"/>
    </row>
    <row r="1111" spans="46:47" s="221" customFormat="1" x14ac:dyDescent="0.2">
      <c r="AT1111" s="222"/>
      <c r="AU1111" s="222"/>
    </row>
    <row r="1112" spans="46:47" s="221" customFormat="1" x14ac:dyDescent="0.2">
      <c r="AT1112" s="222"/>
      <c r="AU1112" s="222"/>
    </row>
    <row r="1113" spans="46:47" s="221" customFormat="1" x14ac:dyDescent="0.2">
      <c r="AT1113" s="222"/>
      <c r="AU1113" s="222"/>
    </row>
    <row r="1114" spans="46:47" s="221" customFormat="1" x14ac:dyDescent="0.2">
      <c r="AT1114" s="222"/>
      <c r="AU1114" s="222"/>
    </row>
    <row r="1115" spans="46:47" s="221" customFormat="1" x14ac:dyDescent="0.2">
      <c r="AT1115" s="222"/>
      <c r="AU1115" s="222"/>
    </row>
    <row r="1116" spans="46:47" s="221" customFormat="1" x14ac:dyDescent="0.2">
      <c r="AT1116" s="222"/>
      <c r="AU1116" s="222"/>
    </row>
    <row r="1117" spans="46:47" s="221" customFormat="1" x14ac:dyDescent="0.2">
      <c r="AT1117" s="222"/>
      <c r="AU1117" s="222"/>
    </row>
    <row r="1118" spans="46:47" s="221" customFormat="1" x14ac:dyDescent="0.2">
      <c r="AT1118" s="222"/>
      <c r="AU1118" s="222"/>
    </row>
    <row r="1119" spans="46:47" s="221" customFormat="1" x14ac:dyDescent="0.2">
      <c r="AT1119" s="222"/>
      <c r="AU1119" s="222"/>
    </row>
    <row r="1120" spans="46:47" s="221" customFormat="1" x14ac:dyDescent="0.2">
      <c r="AT1120" s="222"/>
      <c r="AU1120" s="222"/>
    </row>
    <row r="1121" spans="46:47" s="221" customFormat="1" x14ac:dyDescent="0.2">
      <c r="AT1121" s="222"/>
      <c r="AU1121" s="222"/>
    </row>
    <row r="1122" spans="46:47" s="221" customFormat="1" x14ac:dyDescent="0.2">
      <c r="AT1122" s="222"/>
      <c r="AU1122" s="222"/>
    </row>
    <row r="1123" spans="46:47" s="221" customFormat="1" x14ac:dyDescent="0.2">
      <c r="AT1123" s="222"/>
      <c r="AU1123" s="222"/>
    </row>
    <row r="1124" spans="46:47" s="221" customFormat="1" x14ac:dyDescent="0.2">
      <c r="AT1124" s="222"/>
      <c r="AU1124" s="222"/>
    </row>
    <row r="1125" spans="46:47" s="221" customFormat="1" x14ac:dyDescent="0.2">
      <c r="AT1125" s="222"/>
      <c r="AU1125" s="222"/>
    </row>
    <row r="1126" spans="46:47" s="221" customFormat="1" x14ac:dyDescent="0.2">
      <c r="AT1126" s="222"/>
      <c r="AU1126" s="222"/>
    </row>
    <row r="1127" spans="46:47" s="221" customFormat="1" x14ac:dyDescent="0.2">
      <c r="AT1127" s="222"/>
      <c r="AU1127" s="222"/>
    </row>
    <row r="1128" spans="46:47" s="221" customFormat="1" x14ac:dyDescent="0.2">
      <c r="AT1128" s="222"/>
      <c r="AU1128" s="222"/>
    </row>
    <row r="1129" spans="46:47" s="221" customFormat="1" x14ac:dyDescent="0.2">
      <c r="AT1129" s="222"/>
      <c r="AU1129" s="222"/>
    </row>
    <row r="1130" spans="46:47" s="221" customFormat="1" x14ac:dyDescent="0.2">
      <c r="AT1130" s="222"/>
      <c r="AU1130" s="222"/>
    </row>
    <row r="1131" spans="46:47" s="221" customFormat="1" x14ac:dyDescent="0.2">
      <c r="AT1131" s="222"/>
      <c r="AU1131" s="222"/>
    </row>
    <row r="1132" spans="46:47" s="221" customFormat="1" x14ac:dyDescent="0.2">
      <c r="AT1132" s="222"/>
      <c r="AU1132" s="222"/>
    </row>
    <row r="1133" spans="46:47" s="221" customFormat="1" x14ac:dyDescent="0.2">
      <c r="AT1133" s="222"/>
      <c r="AU1133" s="222"/>
    </row>
    <row r="1134" spans="46:47" s="221" customFormat="1" x14ac:dyDescent="0.2">
      <c r="AT1134" s="222"/>
      <c r="AU1134" s="222"/>
    </row>
    <row r="1135" spans="46:47" s="221" customFormat="1" x14ac:dyDescent="0.2">
      <c r="AT1135" s="222"/>
      <c r="AU1135" s="222"/>
    </row>
    <row r="1136" spans="46:47" s="221" customFormat="1" x14ac:dyDescent="0.2">
      <c r="AT1136" s="222"/>
      <c r="AU1136" s="222"/>
    </row>
    <row r="1137" spans="46:47" s="221" customFormat="1" x14ac:dyDescent="0.2">
      <c r="AT1137" s="222"/>
      <c r="AU1137" s="222"/>
    </row>
    <row r="1138" spans="46:47" s="221" customFormat="1" x14ac:dyDescent="0.2">
      <c r="AT1138" s="222"/>
      <c r="AU1138" s="222"/>
    </row>
    <row r="1139" spans="46:47" s="221" customFormat="1" x14ac:dyDescent="0.2">
      <c r="AT1139" s="222"/>
      <c r="AU1139" s="222"/>
    </row>
    <row r="1140" spans="46:47" s="221" customFormat="1" x14ac:dyDescent="0.2">
      <c r="AT1140" s="222"/>
      <c r="AU1140" s="222"/>
    </row>
    <row r="1141" spans="46:47" s="221" customFormat="1" x14ac:dyDescent="0.2">
      <c r="AT1141" s="222"/>
      <c r="AU1141" s="222"/>
    </row>
    <row r="1142" spans="46:47" s="221" customFormat="1" x14ac:dyDescent="0.2">
      <c r="AT1142" s="222"/>
      <c r="AU1142" s="222"/>
    </row>
    <row r="1143" spans="46:47" s="221" customFormat="1" x14ac:dyDescent="0.2">
      <c r="AT1143" s="222"/>
      <c r="AU1143" s="222"/>
    </row>
    <row r="1144" spans="46:47" s="221" customFormat="1" x14ac:dyDescent="0.2">
      <c r="AT1144" s="222"/>
      <c r="AU1144" s="222"/>
    </row>
    <row r="1145" spans="46:47" s="221" customFormat="1" x14ac:dyDescent="0.2">
      <c r="AT1145" s="222"/>
      <c r="AU1145" s="222"/>
    </row>
    <row r="1146" spans="46:47" s="221" customFormat="1" x14ac:dyDescent="0.2">
      <c r="AT1146" s="222"/>
      <c r="AU1146" s="222"/>
    </row>
    <row r="1147" spans="46:47" s="221" customFormat="1" x14ac:dyDescent="0.2">
      <c r="AT1147" s="222"/>
      <c r="AU1147" s="222"/>
    </row>
    <row r="1148" spans="46:47" s="221" customFormat="1" x14ac:dyDescent="0.2">
      <c r="AT1148" s="222"/>
      <c r="AU1148" s="222"/>
    </row>
    <row r="1149" spans="46:47" s="221" customFormat="1" x14ac:dyDescent="0.2">
      <c r="AT1149" s="222"/>
      <c r="AU1149" s="222"/>
    </row>
    <row r="1150" spans="46:47" s="221" customFormat="1" x14ac:dyDescent="0.2">
      <c r="AT1150" s="222"/>
      <c r="AU1150" s="222"/>
    </row>
    <row r="1151" spans="46:47" s="221" customFormat="1" x14ac:dyDescent="0.2">
      <c r="AT1151" s="222"/>
      <c r="AU1151" s="222"/>
    </row>
    <row r="1152" spans="46:47" s="221" customFormat="1" x14ac:dyDescent="0.2">
      <c r="AT1152" s="222"/>
      <c r="AU1152" s="222"/>
    </row>
    <row r="1153" spans="46:47" s="221" customFormat="1" x14ac:dyDescent="0.2">
      <c r="AT1153" s="222"/>
      <c r="AU1153" s="222"/>
    </row>
    <row r="1154" spans="46:47" s="221" customFormat="1" x14ac:dyDescent="0.2">
      <c r="AT1154" s="222"/>
      <c r="AU1154" s="222"/>
    </row>
    <row r="1155" spans="46:47" s="221" customFormat="1" x14ac:dyDescent="0.2">
      <c r="AT1155" s="222"/>
      <c r="AU1155" s="222"/>
    </row>
    <row r="1156" spans="46:47" s="221" customFormat="1" x14ac:dyDescent="0.2">
      <c r="AT1156" s="222"/>
      <c r="AU1156" s="222"/>
    </row>
    <row r="1157" spans="46:47" s="221" customFormat="1" x14ac:dyDescent="0.2">
      <c r="AT1157" s="222"/>
      <c r="AU1157" s="222"/>
    </row>
    <row r="1158" spans="46:47" s="221" customFormat="1" x14ac:dyDescent="0.2">
      <c r="AT1158" s="222"/>
      <c r="AU1158" s="222"/>
    </row>
    <row r="1159" spans="46:47" s="221" customFormat="1" x14ac:dyDescent="0.2">
      <c r="AT1159" s="222"/>
      <c r="AU1159" s="222"/>
    </row>
    <row r="1160" spans="46:47" s="221" customFormat="1" x14ac:dyDescent="0.2">
      <c r="AT1160" s="222"/>
      <c r="AU1160" s="222"/>
    </row>
    <row r="1161" spans="46:47" s="221" customFormat="1" x14ac:dyDescent="0.2">
      <c r="AT1161" s="222"/>
      <c r="AU1161" s="222"/>
    </row>
    <row r="1162" spans="46:47" s="221" customFormat="1" x14ac:dyDescent="0.2">
      <c r="AT1162" s="222"/>
      <c r="AU1162" s="222"/>
    </row>
    <row r="1163" spans="46:47" s="221" customFormat="1" x14ac:dyDescent="0.2">
      <c r="AT1163" s="222"/>
      <c r="AU1163" s="222"/>
    </row>
    <row r="1164" spans="46:47" s="221" customFormat="1" x14ac:dyDescent="0.2">
      <c r="AT1164" s="222"/>
      <c r="AU1164" s="222"/>
    </row>
    <row r="1165" spans="46:47" s="221" customFormat="1" x14ac:dyDescent="0.2">
      <c r="AT1165" s="222"/>
      <c r="AU1165" s="222"/>
    </row>
    <row r="1166" spans="46:47" s="221" customFormat="1" x14ac:dyDescent="0.2">
      <c r="AT1166" s="222"/>
      <c r="AU1166" s="222"/>
    </row>
    <row r="1167" spans="46:47" s="221" customFormat="1" x14ac:dyDescent="0.2">
      <c r="AT1167" s="222"/>
      <c r="AU1167" s="222"/>
    </row>
    <row r="1168" spans="46:47" s="221" customFormat="1" x14ac:dyDescent="0.2">
      <c r="AT1168" s="222"/>
      <c r="AU1168" s="222"/>
    </row>
    <row r="1169" spans="46:47" s="221" customFormat="1" x14ac:dyDescent="0.2">
      <c r="AT1169" s="222"/>
      <c r="AU1169" s="222"/>
    </row>
    <row r="1170" spans="46:47" s="221" customFormat="1" x14ac:dyDescent="0.2">
      <c r="AT1170" s="222"/>
      <c r="AU1170" s="222"/>
    </row>
    <row r="1171" spans="46:47" s="221" customFormat="1" x14ac:dyDescent="0.2">
      <c r="AT1171" s="222"/>
      <c r="AU1171" s="222"/>
    </row>
    <row r="1172" spans="46:47" s="221" customFormat="1" x14ac:dyDescent="0.2">
      <c r="AT1172" s="222"/>
      <c r="AU1172" s="222"/>
    </row>
    <row r="1173" spans="46:47" s="221" customFormat="1" x14ac:dyDescent="0.2">
      <c r="AT1173" s="222"/>
      <c r="AU1173" s="222"/>
    </row>
    <row r="1174" spans="46:47" s="221" customFormat="1" x14ac:dyDescent="0.2">
      <c r="AT1174" s="222"/>
      <c r="AU1174" s="222"/>
    </row>
    <row r="1175" spans="46:47" s="221" customFormat="1" x14ac:dyDescent="0.2">
      <c r="AT1175" s="222"/>
      <c r="AU1175" s="222"/>
    </row>
    <row r="1176" spans="46:47" s="221" customFormat="1" x14ac:dyDescent="0.2">
      <c r="AT1176" s="222"/>
      <c r="AU1176" s="222"/>
    </row>
    <row r="1177" spans="46:47" s="221" customFormat="1" x14ac:dyDescent="0.2">
      <c r="AT1177" s="222"/>
      <c r="AU1177" s="222"/>
    </row>
    <row r="1178" spans="46:47" s="221" customFormat="1" x14ac:dyDescent="0.2">
      <c r="AT1178" s="222"/>
      <c r="AU1178" s="222"/>
    </row>
    <row r="1179" spans="46:47" s="221" customFormat="1" x14ac:dyDescent="0.2">
      <c r="AT1179" s="222"/>
      <c r="AU1179" s="222"/>
    </row>
    <row r="1180" spans="46:47" s="221" customFormat="1" x14ac:dyDescent="0.2">
      <c r="AT1180" s="222"/>
      <c r="AU1180" s="222"/>
    </row>
    <row r="1181" spans="46:47" s="221" customFormat="1" x14ac:dyDescent="0.2">
      <c r="AT1181" s="222"/>
      <c r="AU1181" s="222"/>
    </row>
    <row r="1182" spans="46:47" s="221" customFormat="1" x14ac:dyDescent="0.2">
      <c r="AT1182" s="222"/>
      <c r="AU1182" s="222"/>
    </row>
    <row r="1183" spans="46:47" s="221" customFormat="1" x14ac:dyDescent="0.2">
      <c r="AT1183" s="222"/>
      <c r="AU1183" s="222"/>
    </row>
    <row r="1184" spans="46:47" s="221" customFormat="1" x14ac:dyDescent="0.2">
      <c r="AT1184" s="222"/>
      <c r="AU1184" s="222"/>
    </row>
    <row r="1185" spans="46:47" s="221" customFormat="1" x14ac:dyDescent="0.2">
      <c r="AT1185" s="222"/>
      <c r="AU1185" s="222"/>
    </row>
    <row r="1186" spans="46:47" s="221" customFormat="1" x14ac:dyDescent="0.2">
      <c r="AT1186" s="222"/>
      <c r="AU1186" s="222"/>
    </row>
    <row r="1187" spans="46:47" s="221" customFormat="1" x14ac:dyDescent="0.2">
      <c r="AT1187" s="222"/>
      <c r="AU1187" s="222"/>
    </row>
    <row r="1188" spans="46:47" s="221" customFormat="1" x14ac:dyDescent="0.2">
      <c r="AT1188" s="222"/>
      <c r="AU1188" s="222"/>
    </row>
    <row r="1189" spans="46:47" s="221" customFormat="1" x14ac:dyDescent="0.2">
      <c r="AT1189" s="222"/>
      <c r="AU1189" s="222"/>
    </row>
    <row r="1190" spans="46:47" s="221" customFormat="1" x14ac:dyDescent="0.2">
      <c r="AT1190" s="222"/>
      <c r="AU1190" s="222"/>
    </row>
    <row r="1191" spans="46:47" s="221" customFormat="1" x14ac:dyDescent="0.2">
      <c r="AT1191" s="222"/>
      <c r="AU1191" s="222"/>
    </row>
    <row r="1192" spans="46:47" s="221" customFormat="1" x14ac:dyDescent="0.2">
      <c r="AT1192" s="222"/>
      <c r="AU1192" s="222"/>
    </row>
    <row r="1193" spans="46:47" s="221" customFormat="1" x14ac:dyDescent="0.2">
      <c r="AT1193" s="222"/>
      <c r="AU1193" s="222"/>
    </row>
    <row r="1194" spans="46:47" s="221" customFormat="1" x14ac:dyDescent="0.2">
      <c r="AT1194" s="222"/>
      <c r="AU1194" s="222"/>
    </row>
    <row r="1195" spans="46:47" s="221" customFormat="1" x14ac:dyDescent="0.2">
      <c r="AT1195" s="222"/>
      <c r="AU1195" s="222"/>
    </row>
    <row r="1196" spans="46:47" s="221" customFormat="1" x14ac:dyDescent="0.2">
      <c r="AT1196" s="222"/>
      <c r="AU1196" s="222"/>
    </row>
    <row r="1197" spans="46:47" s="221" customFormat="1" x14ac:dyDescent="0.2">
      <c r="AT1197" s="222"/>
      <c r="AU1197" s="222"/>
    </row>
    <row r="1198" spans="46:47" s="221" customFormat="1" x14ac:dyDescent="0.2">
      <c r="AT1198" s="222"/>
      <c r="AU1198" s="222"/>
    </row>
    <row r="1199" spans="46:47" s="221" customFormat="1" x14ac:dyDescent="0.2">
      <c r="AT1199" s="222"/>
      <c r="AU1199" s="222"/>
    </row>
    <row r="1200" spans="46:47" s="221" customFormat="1" x14ac:dyDescent="0.2">
      <c r="AT1200" s="222"/>
      <c r="AU1200" s="222"/>
    </row>
    <row r="1201" spans="46:47" s="221" customFormat="1" x14ac:dyDescent="0.2">
      <c r="AT1201" s="222"/>
      <c r="AU1201" s="222"/>
    </row>
    <row r="1202" spans="46:47" s="221" customFormat="1" x14ac:dyDescent="0.2">
      <c r="AT1202" s="222"/>
      <c r="AU1202" s="222"/>
    </row>
    <row r="1203" spans="46:47" s="221" customFormat="1" x14ac:dyDescent="0.2">
      <c r="AT1203" s="222"/>
      <c r="AU1203" s="222"/>
    </row>
    <row r="1204" spans="46:47" s="221" customFormat="1" x14ac:dyDescent="0.2">
      <c r="AT1204" s="222"/>
      <c r="AU1204" s="222"/>
    </row>
    <row r="1205" spans="46:47" s="221" customFormat="1" x14ac:dyDescent="0.2">
      <c r="AT1205" s="222"/>
      <c r="AU1205" s="222"/>
    </row>
    <row r="1206" spans="46:47" s="221" customFormat="1" x14ac:dyDescent="0.2">
      <c r="AT1206" s="222"/>
      <c r="AU1206" s="222"/>
    </row>
    <row r="1207" spans="46:47" s="221" customFormat="1" x14ac:dyDescent="0.2">
      <c r="AT1207" s="222"/>
      <c r="AU1207" s="222"/>
    </row>
    <row r="1208" spans="46:47" s="221" customFormat="1" x14ac:dyDescent="0.2">
      <c r="AT1208" s="222"/>
      <c r="AU1208" s="222"/>
    </row>
    <row r="1209" spans="46:47" s="221" customFormat="1" x14ac:dyDescent="0.2">
      <c r="AT1209" s="222"/>
      <c r="AU1209" s="222"/>
    </row>
    <row r="1210" spans="46:47" s="221" customFormat="1" x14ac:dyDescent="0.2">
      <c r="AT1210" s="222"/>
      <c r="AU1210" s="222"/>
    </row>
    <row r="1211" spans="46:47" s="221" customFormat="1" x14ac:dyDescent="0.2">
      <c r="AT1211" s="222"/>
      <c r="AU1211" s="222"/>
    </row>
    <row r="1212" spans="46:47" s="221" customFormat="1" x14ac:dyDescent="0.2">
      <c r="AT1212" s="222"/>
      <c r="AU1212" s="222"/>
    </row>
    <row r="1213" spans="46:47" s="221" customFormat="1" x14ac:dyDescent="0.2">
      <c r="AT1213" s="222"/>
      <c r="AU1213" s="222"/>
    </row>
    <row r="1214" spans="46:47" s="221" customFormat="1" x14ac:dyDescent="0.2">
      <c r="AT1214" s="222"/>
      <c r="AU1214" s="222"/>
    </row>
    <row r="1215" spans="46:47" s="221" customFormat="1" x14ac:dyDescent="0.2">
      <c r="AT1215" s="222"/>
      <c r="AU1215" s="222"/>
    </row>
    <row r="1216" spans="46:47" s="221" customFormat="1" x14ac:dyDescent="0.2">
      <c r="AT1216" s="222"/>
      <c r="AU1216" s="222"/>
    </row>
    <row r="1217" spans="46:47" s="221" customFormat="1" x14ac:dyDescent="0.2">
      <c r="AT1217" s="222"/>
      <c r="AU1217" s="222"/>
    </row>
    <row r="1218" spans="46:47" s="221" customFormat="1" x14ac:dyDescent="0.2">
      <c r="AT1218" s="222"/>
      <c r="AU1218" s="222"/>
    </row>
    <row r="1219" spans="46:47" s="221" customFormat="1" x14ac:dyDescent="0.2">
      <c r="AT1219" s="222"/>
      <c r="AU1219" s="222"/>
    </row>
    <row r="1220" spans="46:47" s="221" customFormat="1" x14ac:dyDescent="0.2">
      <c r="AT1220" s="222"/>
      <c r="AU1220" s="222"/>
    </row>
    <row r="1221" spans="46:47" s="221" customFormat="1" x14ac:dyDescent="0.2">
      <c r="AT1221" s="222"/>
      <c r="AU1221" s="222"/>
    </row>
    <row r="1222" spans="46:47" s="221" customFormat="1" x14ac:dyDescent="0.2">
      <c r="AT1222" s="222"/>
      <c r="AU1222" s="222"/>
    </row>
    <row r="1223" spans="46:47" s="221" customFormat="1" x14ac:dyDescent="0.2">
      <c r="AT1223" s="222"/>
      <c r="AU1223" s="222"/>
    </row>
    <row r="1224" spans="46:47" s="221" customFormat="1" x14ac:dyDescent="0.2">
      <c r="AT1224" s="222"/>
      <c r="AU1224" s="222"/>
    </row>
    <row r="1225" spans="46:47" s="221" customFormat="1" x14ac:dyDescent="0.2">
      <c r="AT1225" s="222"/>
      <c r="AU1225" s="222"/>
    </row>
    <row r="1226" spans="46:47" s="221" customFormat="1" x14ac:dyDescent="0.2">
      <c r="AT1226" s="222"/>
      <c r="AU1226" s="222"/>
    </row>
    <row r="1227" spans="46:47" s="221" customFormat="1" x14ac:dyDescent="0.2">
      <c r="AT1227" s="222"/>
      <c r="AU1227" s="222"/>
    </row>
    <row r="1228" spans="46:47" s="221" customFormat="1" x14ac:dyDescent="0.2">
      <c r="AT1228" s="222"/>
      <c r="AU1228" s="222"/>
    </row>
    <row r="1229" spans="46:47" s="221" customFormat="1" x14ac:dyDescent="0.2">
      <c r="AT1229" s="222"/>
      <c r="AU1229" s="222"/>
    </row>
    <row r="1230" spans="46:47" s="221" customFormat="1" x14ac:dyDescent="0.2">
      <c r="AT1230" s="222"/>
      <c r="AU1230" s="222"/>
    </row>
    <row r="1231" spans="46:47" s="221" customFormat="1" x14ac:dyDescent="0.2">
      <c r="AT1231" s="222"/>
      <c r="AU1231" s="222"/>
    </row>
    <row r="1232" spans="46:47" s="221" customFormat="1" x14ac:dyDescent="0.2">
      <c r="AT1232" s="222"/>
      <c r="AU1232" s="222"/>
    </row>
    <row r="1233" spans="46:47" s="221" customFormat="1" x14ac:dyDescent="0.2">
      <c r="AT1233" s="222"/>
      <c r="AU1233" s="222"/>
    </row>
    <row r="1234" spans="46:47" s="221" customFormat="1" x14ac:dyDescent="0.2">
      <c r="AT1234" s="222"/>
      <c r="AU1234" s="222"/>
    </row>
    <row r="1235" spans="46:47" s="221" customFormat="1" x14ac:dyDescent="0.2">
      <c r="AT1235" s="222"/>
      <c r="AU1235" s="222"/>
    </row>
    <row r="1236" spans="46:47" s="221" customFormat="1" x14ac:dyDescent="0.2">
      <c r="AT1236" s="222"/>
      <c r="AU1236" s="222"/>
    </row>
    <row r="1237" spans="46:47" s="221" customFormat="1" x14ac:dyDescent="0.2">
      <c r="AT1237" s="222"/>
      <c r="AU1237" s="222"/>
    </row>
    <row r="1238" spans="46:47" s="221" customFormat="1" x14ac:dyDescent="0.2">
      <c r="AT1238" s="222"/>
      <c r="AU1238" s="222"/>
    </row>
    <row r="1239" spans="46:47" s="221" customFormat="1" x14ac:dyDescent="0.2">
      <c r="AT1239" s="222"/>
      <c r="AU1239" s="222"/>
    </row>
    <row r="1240" spans="46:47" s="221" customFormat="1" x14ac:dyDescent="0.2">
      <c r="AT1240" s="222"/>
      <c r="AU1240" s="222"/>
    </row>
    <row r="1241" spans="46:47" s="221" customFormat="1" x14ac:dyDescent="0.2">
      <c r="AT1241" s="222"/>
      <c r="AU1241" s="222"/>
    </row>
    <row r="1242" spans="46:47" s="221" customFormat="1" x14ac:dyDescent="0.2">
      <c r="AT1242" s="222"/>
      <c r="AU1242" s="222"/>
    </row>
    <row r="1243" spans="46:47" s="221" customFormat="1" x14ac:dyDescent="0.2">
      <c r="AT1243" s="222"/>
      <c r="AU1243" s="222"/>
    </row>
    <row r="1244" spans="46:47" s="221" customFormat="1" x14ac:dyDescent="0.2">
      <c r="AT1244" s="222"/>
      <c r="AU1244" s="222"/>
    </row>
    <row r="1245" spans="46:47" s="221" customFormat="1" x14ac:dyDescent="0.2">
      <c r="AT1245" s="222"/>
      <c r="AU1245" s="222"/>
    </row>
    <row r="1246" spans="46:47" s="221" customFormat="1" x14ac:dyDescent="0.2">
      <c r="AT1246" s="222"/>
      <c r="AU1246" s="222"/>
    </row>
    <row r="1247" spans="46:47" s="221" customFormat="1" x14ac:dyDescent="0.2">
      <c r="AT1247" s="222"/>
      <c r="AU1247" s="222"/>
    </row>
    <row r="1248" spans="46:47" s="221" customFormat="1" x14ac:dyDescent="0.2">
      <c r="AT1248" s="222"/>
      <c r="AU1248" s="222"/>
    </row>
    <row r="1249" spans="46:47" s="221" customFormat="1" x14ac:dyDescent="0.2">
      <c r="AT1249" s="222"/>
      <c r="AU1249" s="222"/>
    </row>
    <row r="1250" spans="46:47" s="221" customFormat="1" x14ac:dyDescent="0.2">
      <c r="AT1250" s="222"/>
      <c r="AU1250" s="222"/>
    </row>
    <row r="1251" spans="46:47" s="221" customFormat="1" x14ac:dyDescent="0.2">
      <c r="AT1251" s="222"/>
      <c r="AU1251" s="222"/>
    </row>
    <row r="1252" spans="46:47" s="221" customFormat="1" x14ac:dyDescent="0.2">
      <c r="AT1252" s="222"/>
      <c r="AU1252" s="222"/>
    </row>
    <row r="1253" spans="46:47" s="221" customFormat="1" x14ac:dyDescent="0.2">
      <c r="AT1253" s="222"/>
      <c r="AU1253" s="222"/>
    </row>
    <row r="1254" spans="46:47" s="221" customFormat="1" x14ac:dyDescent="0.2">
      <c r="AT1254" s="222"/>
      <c r="AU1254" s="222"/>
    </row>
    <row r="1255" spans="46:47" s="221" customFormat="1" x14ac:dyDescent="0.2">
      <c r="AT1255" s="222"/>
      <c r="AU1255" s="222"/>
    </row>
    <row r="1256" spans="46:47" s="221" customFormat="1" x14ac:dyDescent="0.2">
      <c r="AT1256" s="222"/>
      <c r="AU1256" s="222"/>
    </row>
    <row r="1257" spans="46:47" s="221" customFormat="1" x14ac:dyDescent="0.2">
      <c r="AT1257" s="222"/>
      <c r="AU1257" s="222"/>
    </row>
    <row r="1258" spans="46:47" s="221" customFormat="1" x14ac:dyDescent="0.2">
      <c r="AT1258" s="222"/>
      <c r="AU1258" s="222"/>
    </row>
    <row r="1259" spans="46:47" s="221" customFormat="1" x14ac:dyDescent="0.2">
      <c r="AT1259" s="222"/>
      <c r="AU1259" s="222"/>
    </row>
    <row r="1260" spans="46:47" s="221" customFormat="1" x14ac:dyDescent="0.2">
      <c r="AT1260" s="222"/>
      <c r="AU1260" s="222"/>
    </row>
    <row r="1261" spans="46:47" s="221" customFormat="1" x14ac:dyDescent="0.2">
      <c r="AT1261" s="222"/>
      <c r="AU1261" s="222"/>
    </row>
    <row r="1262" spans="46:47" s="221" customFormat="1" x14ac:dyDescent="0.2">
      <c r="AT1262" s="222"/>
      <c r="AU1262" s="222"/>
    </row>
    <row r="1263" spans="46:47" s="221" customFormat="1" x14ac:dyDescent="0.2">
      <c r="AT1263" s="222"/>
      <c r="AU1263" s="222"/>
    </row>
    <row r="1264" spans="46:47" s="221" customFormat="1" x14ac:dyDescent="0.2">
      <c r="AT1264" s="222"/>
      <c r="AU1264" s="222"/>
    </row>
    <row r="1265" spans="46:47" s="221" customFormat="1" x14ac:dyDescent="0.2">
      <c r="AT1265" s="222"/>
      <c r="AU1265" s="222"/>
    </row>
    <row r="1266" spans="46:47" s="221" customFormat="1" x14ac:dyDescent="0.2">
      <c r="AT1266" s="222"/>
      <c r="AU1266" s="222"/>
    </row>
    <row r="1267" spans="46:47" s="221" customFormat="1" x14ac:dyDescent="0.2">
      <c r="AT1267" s="222"/>
      <c r="AU1267" s="222"/>
    </row>
    <row r="1268" spans="46:47" s="221" customFormat="1" x14ac:dyDescent="0.2">
      <c r="AT1268" s="222"/>
      <c r="AU1268" s="222"/>
    </row>
    <row r="1269" spans="46:47" s="221" customFormat="1" x14ac:dyDescent="0.2">
      <c r="AT1269" s="222"/>
      <c r="AU1269" s="222"/>
    </row>
    <row r="1270" spans="46:47" s="221" customFormat="1" x14ac:dyDescent="0.2">
      <c r="AT1270" s="222"/>
      <c r="AU1270" s="222"/>
    </row>
    <row r="1271" spans="46:47" s="221" customFormat="1" x14ac:dyDescent="0.2">
      <c r="AT1271" s="222"/>
      <c r="AU1271" s="222"/>
    </row>
    <row r="1272" spans="46:47" s="221" customFormat="1" x14ac:dyDescent="0.2">
      <c r="AT1272" s="222"/>
      <c r="AU1272" s="222"/>
    </row>
    <row r="1273" spans="46:47" s="221" customFormat="1" x14ac:dyDescent="0.2">
      <c r="AT1273" s="222"/>
      <c r="AU1273" s="222"/>
    </row>
    <row r="1274" spans="46:47" s="221" customFormat="1" x14ac:dyDescent="0.2">
      <c r="AT1274" s="222"/>
      <c r="AU1274" s="222"/>
    </row>
    <row r="1275" spans="46:47" s="221" customFormat="1" x14ac:dyDescent="0.2">
      <c r="AT1275" s="222"/>
      <c r="AU1275" s="222"/>
    </row>
    <row r="1276" spans="46:47" s="221" customFormat="1" x14ac:dyDescent="0.2">
      <c r="AT1276" s="222"/>
      <c r="AU1276" s="222"/>
    </row>
    <row r="1277" spans="46:47" s="221" customFormat="1" x14ac:dyDescent="0.2">
      <c r="AT1277" s="222"/>
      <c r="AU1277" s="222"/>
    </row>
    <row r="1278" spans="46:47" s="221" customFormat="1" x14ac:dyDescent="0.2">
      <c r="AT1278" s="222"/>
      <c r="AU1278" s="222"/>
    </row>
    <row r="1279" spans="46:47" s="221" customFormat="1" x14ac:dyDescent="0.2">
      <c r="AT1279" s="222"/>
      <c r="AU1279" s="222"/>
    </row>
    <row r="1280" spans="46:47" s="221" customFormat="1" x14ac:dyDescent="0.2">
      <c r="AT1280" s="222"/>
      <c r="AU1280" s="222"/>
    </row>
    <row r="1281" spans="46:47" s="221" customFormat="1" x14ac:dyDescent="0.2">
      <c r="AT1281" s="222"/>
      <c r="AU1281" s="222"/>
    </row>
    <row r="1282" spans="46:47" s="221" customFormat="1" x14ac:dyDescent="0.2">
      <c r="AT1282" s="222"/>
      <c r="AU1282" s="222"/>
    </row>
    <row r="1283" spans="46:47" s="221" customFormat="1" x14ac:dyDescent="0.2">
      <c r="AT1283" s="222"/>
      <c r="AU1283" s="222"/>
    </row>
    <row r="1284" spans="46:47" s="221" customFormat="1" x14ac:dyDescent="0.2">
      <c r="AT1284" s="222"/>
      <c r="AU1284" s="222"/>
    </row>
    <row r="1285" spans="46:47" s="221" customFormat="1" x14ac:dyDescent="0.2">
      <c r="AT1285" s="222"/>
      <c r="AU1285" s="222"/>
    </row>
    <row r="1286" spans="46:47" s="221" customFormat="1" x14ac:dyDescent="0.2">
      <c r="AT1286" s="222"/>
      <c r="AU1286" s="222"/>
    </row>
    <row r="1287" spans="46:47" s="221" customFormat="1" x14ac:dyDescent="0.2">
      <c r="AT1287" s="222"/>
      <c r="AU1287" s="222"/>
    </row>
    <row r="1288" spans="46:47" s="221" customFormat="1" x14ac:dyDescent="0.2">
      <c r="AT1288" s="222"/>
      <c r="AU1288" s="222"/>
    </row>
    <row r="1289" spans="46:47" s="221" customFormat="1" x14ac:dyDescent="0.2">
      <c r="AT1289" s="222"/>
      <c r="AU1289" s="222"/>
    </row>
    <row r="1290" spans="46:47" s="221" customFormat="1" x14ac:dyDescent="0.2">
      <c r="AT1290" s="222"/>
      <c r="AU1290" s="222"/>
    </row>
    <row r="1291" spans="46:47" s="221" customFormat="1" x14ac:dyDescent="0.2">
      <c r="AT1291" s="222"/>
      <c r="AU1291" s="222"/>
    </row>
    <row r="1292" spans="46:47" s="221" customFormat="1" x14ac:dyDescent="0.2">
      <c r="AT1292" s="222"/>
      <c r="AU1292" s="222"/>
    </row>
    <row r="1293" spans="46:47" s="221" customFormat="1" x14ac:dyDescent="0.2">
      <c r="AT1293" s="222"/>
      <c r="AU1293" s="222"/>
    </row>
    <row r="1294" spans="46:47" s="221" customFormat="1" x14ac:dyDescent="0.2">
      <c r="AT1294" s="222"/>
      <c r="AU1294" s="222"/>
    </row>
    <row r="1295" spans="46:47" s="221" customFormat="1" x14ac:dyDescent="0.2">
      <c r="AT1295" s="222"/>
      <c r="AU1295" s="222"/>
    </row>
    <row r="1296" spans="46:47" s="221" customFormat="1" x14ac:dyDescent="0.2">
      <c r="AT1296" s="222"/>
      <c r="AU1296" s="222"/>
    </row>
    <row r="1297" spans="46:47" s="221" customFormat="1" x14ac:dyDescent="0.2">
      <c r="AT1297" s="222"/>
      <c r="AU1297" s="222"/>
    </row>
    <row r="1298" spans="46:47" s="221" customFormat="1" x14ac:dyDescent="0.2">
      <c r="AT1298" s="222"/>
      <c r="AU1298" s="222"/>
    </row>
    <row r="1299" spans="46:47" s="221" customFormat="1" x14ac:dyDescent="0.2">
      <c r="AT1299" s="222"/>
      <c r="AU1299" s="222"/>
    </row>
    <row r="1300" spans="46:47" s="221" customFormat="1" x14ac:dyDescent="0.2">
      <c r="AT1300" s="222"/>
      <c r="AU1300" s="222"/>
    </row>
    <row r="1301" spans="46:47" s="221" customFormat="1" x14ac:dyDescent="0.2">
      <c r="AT1301" s="222"/>
      <c r="AU1301" s="222"/>
    </row>
    <row r="1302" spans="46:47" s="221" customFormat="1" x14ac:dyDescent="0.2">
      <c r="AT1302" s="222"/>
      <c r="AU1302" s="222"/>
    </row>
    <row r="1303" spans="46:47" s="221" customFormat="1" x14ac:dyDescent="0.2">
      <c r="AT1303" s="222"/>
      <c r="AU1303" s="222"/>
    </row>
    <row r="1304" spans="46:47" s="221" customFormat="1" x14ac:dyDescent="0.2">
      <c r="AT1304" s="222"/>
      <c r="AU1304" s="222"/>
    </row>
    <row r="1305" spans="46:47" s="221" customFormat="1" x14ac:dyDescent="0.2">
      <c r="AT1305" s="222"/>
      <c r="AU1305" s="222"/>
    </row>
    <row r="1306" spans="46:47" s="221" customFormat="1" x14ac:dyDescent="0.2">
      <c r="AT1306" s="222"/>
      <c r="AU1306" s="222"/>
    </row>
    <row r="1307" spans="46:47" s="221" customFormat="1" x14ac:dyDescent="0.2">
      <c r="AT1307" s="222"/>
      <c r="AU1307" s="222"/>
    </row>
    <row r="1308" spans="46:47" s="221" customFormat="1" x14ac:dyDescent="0.2">
      <c r="AT1308" s="222"/>
      <c r="AU1308" s="222"/>
    </row>
    <row r="1309" spans="46:47" s="221" customFormat="1" x14ac:dyDescent="0.2">
      <c r="AT1309" s="222"/>
      <c r="AU1309" s="222"/>
    </row>
    <row r="1310" spans="46:47" s="221" customFormat="1" x14ac:dyDescent="0.2">
      <c r="AT1310" s="222"/>
      <c r="AU1310" s="222"/>
    </row>
    <row r="1311" spans="46:47" s="221" customFormat="1" x14ac:dyDescent="0.2">
      <c r="AT1311" s="222"/>
      <c r="AU1311" s="222"/>
    </row>
    <row r="1312" spans="46:47" s="221" customFormat="1" x14ac:dyDescent="0.2">
      <c r="AT1312" s="222"/>
      <c r="AU1312" s="222"/>
    </row>
    <row r="1313" spans="46:47" s="221" customFormat="1" x14ac:dyDescent="0.2">
      <c r="AT1313" s="222"/>
      <c r="AU1313" s="222"/>
    </row>
    <row r="1314" spans="46:47" s="221" customFormat="1" x14ac:dyDescent="0.2">
      <c r="AT1314" s="222"/>
      <c r="AU1314" s="222"/>
    </row>
    <row r="1315" spans="46:47" s="221" customFormat="1" x14ac:dyDescent="0.2">
      <c r="AT1315" s="222"/>
      <c r="AU1315" s="222"/>
    </row>
    <row r="1316" spans="46:47" s="221" customFormat="1" x14ac:dyDescent="0.2">
      <c r="AT1316" s="222"/>
      <c r="AU1316" s="222"/>
    </row>
    <row r="1317" spans="46:47" s="221" customFormat="1" x14ac:dyDescent="0.2">
      <c r="AT1317" s="222"/>
      <c r="AU1317" s="222"/>
    </row>
    <row r="1318" spans="46:47" s="221" customFormat="1" x14ac:dyDescent="0.2">
      <c r="AT1318" s="222"/>
      <c r="AU1318" s="222"/>
    </row>
    <row r="1319" spans="46:47" s="221" customFormat="1" x14ac:dyDescent="0.2">
      <c r="AT1319" s="222"/>
      <c r="AU1319" s="222"/>
    </row>
    <row r="1320" spans="46:47" s="221" customFormat="1" x14ac:dyDescent="0.2">
      <c r="AT1320" s="222"/>
      <c r="AU1320" s="222"/>
    </row>
    <row r="1321" spans="46:47" s="221" customFormat="1" x14ac:dyDescent="0.2">
      <c r="AT1321" s="222"/>
      <c r="AU1321" s="222"/>
    </row>
    <row r="1322" spans="46:47" s="221" customFormat="1" x14ac:dyDescent="0.2">
      <c r="AT1322" s="222"/>
      <c r="AU1322" s="222"/>
    </row>
    <row r="1323" spans="46:47" s="221" customFormat="1" x14ac:dyDescent="0.2">
      <c r="AT1323" s="222"/>
      <c r="AU1323" s="222"/>
    </row>
    <row r="1324" spans="46:47" s="221" customFormat="1" x14ac:dyDescent="0.2">
      <c r="AT1324" s="222"/>
      <c r="AU1324" s="222"/>
    </row>
    <row r="1325" spans="46:47" s="221" customFormat="1" x14ac:dyDescent="0.2">
      <c r="AT1325" s="222"/>
      <c r="AU1325" s="222"/>
    </row>
    <row r="1326" spans="46:47" s="221" customFormat="1" x14ac:dyDescent="0.2">
      <c r="AT1326" s="222"/>
      <c r="AU1326" s="222"/>
    </row>
    <row r="1327" spans="46:47" s="221" customFormat="1" x14ac:dyDescent="0.2">
      <c r="AT1327" s="222"/>
      <c r="AU1327" s="222"/>
    </row>
    <row r="1328" spans="46:47" s="221" customFormat="1" x14ac:dyDescent="0.2">
      <c r="AT1328" s="222"/>
      <c r="AU1328" s="222"/>
    </row>
    <row r="1329" spans="46:47" s="221" customFormat="1" x14ac:dyDescent="0.2">
      <c r="AT1329" s="222"/>
      <c r="AU1329" s="222"/>
    </row>
    <row r="1330" spans="46:47" s="221" customFormat="1" x14ac:dyDescent="0.2">
      <c r="AT1330" s="222"/>
      <c r="AU1330" s="222"/>
    </row>
    <row r="1331" spans="46:47" s="221" customFormat="1" x14ac:dyDescent="0.2">
      <c r="AT1331" s="222"/>
      <c r="AU1331" s="222"/>
    </row>
    <row r="1332" spans="46:47" s="221" customFormat="1" x14ac:dyDescent="0.2">
      <c r="AT1332" s="222"/>
      <c r="AU1332" s="222"/>
    </row>
    <row r="1333" spans="46:47" s="221" customFormat="1" x14ac:dyDescent="0.2">
      <c r="AT1333" s="222"/>
      <c r="AU1333" s="222"/>
    </row>
    <row r="1334" spans="46:47" s="221" customFormat="1" x14ac:dyDescent="0.2">
      <c r="AT1334" s="222"/>
      <c r="AU1334" s="222"/>
    </row>
    <row r="1335" spans="46:47" s="221" customFormat="1" x14ac:dyDescent="0.2">
      <c r="AT1335" s="222"/>
      <c r="AU1335" s="222"/>
    </row>
    <row r="1336" spans="46:47" s="221" customFormat="1" x14ac:dyDescent="0.2">
      <c r="AT1336" s="222"/>
      <c r="AU1336" s="222"/>
    </row>
    <row r="1337" spans="46:47" s="221" customFormat="1" x14ac:dyDescent="0.2">
      <c r="AT1337" s="222"/>
      <c r="AU1337" s="222"/>
    </row>
    <row r="1338" spans="46:47" s="221" customFormat="1" x14ac:dyDescent="0.2">
      <c r="AT1338" s="222"/>
      <c r="AU1338" s="222"/>
    </row>
    <row r="1339" spans="46:47" s="221" customFormat="1" x14ac:dyDescent="0.2">
      <c r="AT1339" s="222"/>
      <c r="AU1339" s="222"/>
    </row>
    <row r="1340" spans="46:47" s="221" customFormat="1" x14ac:dyDescent="0.2">
      <c r="AT1340" s="222"/>
      <c r="AU1340" s="222"/>
    </row>
    <row r="1341" spans="46:47" s="221" customFormat="1" x14ac:dyDescent="0.2">
      <c r="AT1341" s="222"/>
      <c r="AU1341" s="222"/>
    </row>
    <row r="1342" spans="46:47" s="221" customFormat="1" x14ac:dyDescent="0.2">
      <c r="AT1342" s="222"/>
      <c r="AU1342" s="222"/>
    </row>
    <row r="1343" spans="46:47" s="221" customFormat="1" x14ac:dyDescent="0.2">
      <c r="AT1343" s="222"/>
      <c r="AU1343" s="222"/>
    </row>
    <row r="1344" spans="46:47" s="221" customFormat="1" x14ac:dyDescent="0.2">
      <c r="AT1344" s="222"/>
      <c r="AU1344" s="222"/>
    </row>
    <row r="1345" spans="46:47" s="221" customFormat="1" x14ac:dyDescent="0.2">
      <c r="AT1345" s="222"/>
      <c r="AU1345" s="222"/>
    </row>
    <row r="1346" spans="46:47" s="221" customFormat="1" x14ac:dyDescent="0.2">
      <c r="AT1346" s="222"/>
      <c r="AU1346" s="222"/>
    </row>
    <row r="1347" spans="46:47" s="221" customFormat="1" x14ac:dyDescent="0.2">
      <c r="AT1347" s="222"/>
      <c r="AU1347" s="222"/>
    </row>
    <row r="1348" spans="46:47" s="221" customFormat="1" x14ac:dyDescent="0.2">
      <c r="AT1348" s="222"/>
      <c r="AU1348" s="222"/>
    </row>
    <row r="1349" spans="46:47" s="221" customFormat="1" x14ac:dyDescent="0.2">
      <c r="AT1349" s="222"/>
      <c r="AU1349" s="222"/>
    </row>
    <row r="1350" spans="46:47" s="221" customFormat="1" x14ac:dyDescent="0.2">
      <c r="AT1350" s="222"/>
      <c r="AU1350" s="222"/>
    </row>
    <row r="1351" spans="46:47" s="221" customFormat="1" x14ac:dyDescent="0.2">
      <c r="AT1351" s="222"/>
      <c r="AU1351" s="222"/>
    </row>
    <row r="1352" spans="46:47" s="221" customFormat="1" x14ac:dyDescent="0.2">
      <c r="AT1352" s="222"/>
      <c r="AU1352" s="222"/>
    </row>
    <row r="1353" spans="46:47" s="221" customFormat="1" x14ac:dyDescent="0.2">
      <c r="AT1353" s="222"/>
      <c r="AU1353" s="222"/>
    </row>
    <row r="1354" spans="46:47" s="221" customFormat="1" x14ac:dyDescent="0.2">
      <c r="AT1354" s="222"/>
      <c r="AU1354" s="222"/>
    </row>
    <row r="1355" spans="46:47" s="221" customFormat="1" x14ac:dyDescent="0.2">
      <c r="AT1355" s="222"/>
      <c r="AU1355" s="222"/>
    </row>
    <row r="1356" spans="46:47" s="221" customFormat="1" x14ac:dyDescent="0.2">
      <c r="AT1356" s="222"/>
      <c r="AU1356" s="222"/>
    </row>
    <row r="1357" spans="46:47" s="221" customFormat="1" x14ac:dyDescent="0.2">
      <c r="AT1357" s="222"/>
      <c r="AU1357" s="222"/>
    </row>
    <row r="1358" spans="46:47" s="221" customFormat="1" x14ac:dyDescent="0.2">
      <c r="AT1358" s="222"/>
      <c r="AU1358" s="222"/>
    </row>
    <row r="1359" spans="46:47" s="221" customFormat="1" x14ac:dyDescent="0.2">
      <c r="AT1359" s="222"/>
      <c r="AU1359" s="222"/>
    </row>
    <row r="1360" spans="46:47" s="221" customFormat="1" x14ac:dyDescent="0.2">
      <c r="AT1360" s="222"/>
      <c r="AU1360" s="222"/>
    </row>
    <row r="1361" spans="46:47" s="221" customFormat="1" x14ac:dyDescent="0.2">
      <c r="AT1361" s="222"/>
      <c r="AU1361" s="222"/>
    </row>
    <row r="1362" spans="46:47" s="221" customFormat="1" x14ac:dyDescent="0.2">
      <c r="AT1362" s="222"/>
      <c r="AU1362" s="222"/>
    </row>
    <row r="1363" spans="46:47" s="221" customFormat="1" x14ac:dyDescent="0.2">
      <c r="AT1363" s="222"/>
      <c r="AU1363" s="222"/>
    </row>
    <row r="1364" spans="46:47" s="221" customFormat="1" x14ac:dyDescent="0.2">
      <c r="AT1364" s="222"/>
      <c r="AU1364" s="222"/>
    </row>
    <row r="1365" spans="46:47" s="221" customFormat="1" x14ac:dyDescent="0.2">
      <c r="AT1365" s="222"/>
      <c r="AU1365" s="222"/>
    </row>
    <row r="1366" spans="46:47" s="221" customFormat="1" x14ac:dyDescent="0.2">
      <c r="AT1366" s="222"/>
      <c r="AU1366" s="222"/>
    </row>
    <row r="1367" spans="46:47" s="221" customFormat="1" x14ac:dyDescent="0.2">
      <c r="AT1367" s="222"/>
      <c r="AU1367" s="222"/>
    </row>
    <row r="1368" spans="46:47" s="221" customFormat="1" x14ac:dyDescent="0.2">
      <c r="AT1368" s="222"/>
      <c r="AU1368" s="222"/>
    </row>
    <row r="1369" spans="46:47" s="221" customFormat="1" x14ac:dyDescent="0.2">
      <c r="AT1369" s="222"/>
      <c r="AU1369" s="222"/>
    </row>
    <row r="1370" spans="46:47" s="221" customFormat="1" x14ac:dyDescent="0.2">
      <c r="AT1370" s="222"/>
      <c r="AU1370" s="222"/>
    </row>
    <row r="1371" spans="46:47" s="221" customFormat="1" x14ac:dyDescent="0.2">
      <c r="AT1371" s="222"/>
      <c r="AU1371" s="222"/>
    </row>
    <row r="1372" spans="46:47" s="221" customFormat="1" x14ac:dyDescent="0.2">
      <c r="AT1372" s="222"/>
      <c r="AU1372" s="222"/>
    </row>
    <row r="1373" spans="46:47" s="221" customFormat="1" x14ac:dyDescent="0.2">
      <c r="AT1373" s="222"/>
      <c r="AU1373" s="222"/>
    </row>
    <row r="1374" spans="46:47" s="221" customFormat="1" x14ac:dyDescent="0.2">
      <c r="AT1374" s="222"/>
      <c r="AU1374" s="222"/>
    </row>
    <row r="1375" spans="46:47" s="221" customFormat="1" x14ac:dyDescent="0.2">
      <c r="AT1375" s="222"/>
      <c r="AU1375" s="222"/>
    </row>
    <row r="1376" spans="46:47" s="221" customFormat="1" x14ac:dyDescent="0.2">
      <c r="AT1376" s="222"/>
      <c r="AU1376" s="222"/>
    </row>
    <row r="1377" spans="46:47" s="221" customFormat="1" x14ac:dyDescent="0.2">
      <c r="AT1377" s="222"/>
      <c r="AU1377" s="222"/>
    </row>
    <row r="1378" spans="46:47" s="221" customFormat="1" x14ac:dyDescent="0.2">
      <c r="AT1378" s="222"/>
      <c r="AU1378" s="222"/>
    </row>
    <row r="1379" spans="46:47" s="221" customFormat="1" x14ac:dyDescent="0.2">
      <c r="AT1379" s="222"/>
      <c r="AU1379" s="222"/>
    </row>
    <row r="1380" spans="46:47" s="221" customFormat="1" x14ac:dyDescent="0.2">
      <c r="AT1380" s="222"/>
      <c r="AU1380" s="222"/>
    </row>
    <row r="1381" spans="46:47" s="221" customFormat="1" x14ac:dyDescent="0.2">
      <c r="AT1381" s="222"/>
      <c r="AU1381" s="222"/>
    </row>
    <row r="1382" spans="46:47" s="221" customFormat="1" x14ac:dyDescent="0.2">
      <c r="AT1382" s="222"/>
      <c r="AU1382" s="222"/>
    </row>
    <row r="1383" spans="46:47" s="221" customFormat="1" x14ac:dyDescent="0.2">
      <c r="AT1383" s="222"/>
      <c r="AU1383" s="222"/>
    </row>
    <row r="1384" spans="46:47" s="221" customFormat="1" x14ac:dyDescent="0.2">
      <c r="AT1384" s="222"/>
      <c r="AU1384" s="222"/>
    </row>
    <row r="1385" spans="46:47" s="221" customFormat="1" x14ac:dyDescent="0.2">
      <c r="AT1385" s="222"/>
      <c r="AU1385" s="222"/>
    </row>
    <row r="1386" spans="46:47" s="221" customFormat="1" x14ac:dyDescent="0.2">
      <c r="AT1386" s="222"/>
      <c r="AU1386" s="222"/>
    </row>
    <row r="1387" spans="46:47" s="221" customFormat="1" x14ac:dyDescent="0.2">
      <c r="AT1387" s="222"/>
      <c r="AU1387" s="222"/>
    </row>
    <row r="1388" spans="46:47" s="221" customFormat="1" x14ac:dyDescent="0.2">
      <c r="AT1388" s="222"/>
      <c r="AU1388" s="222"/>
    </row>
    <row r="1389" spans="46:47" s="221" customFormat="1" x14ac:dyDescent="0.2">
      <c r="AT1389" s="222"/>
      <c r="AU1389" s="222"/>
    </row>
    <row r="1390" spans="46:47" s="221" customFormat="1" x14ac:dyDescent="0.2">
      <c r="AT1390" s="222"/>
      <c r="AU1390" s="222"/>
    </row>
    <row r="1391" spans="46:47" s="221" customFormat="1" x14ac:dyDescent="0.2">
      <c r="AT1391" s="222"/>
      <c r="AU1391" s="222"/>
    </row>
    <row r="1392" spans="46:47" s="221" customFormat="1" x14ac:dyDescent="0.2">
      <c r="AT1392" s="222"/>
      <c r="AU1392" s="222"/>
    </row>
    <row r="1393" spans="46:47" s="221" customFormat="1" x14ac:dyDescent="0.2">
      <c r="AT1393" s="222"/>
      <c r="AU1393" s="222"/>
    </row>
    <row r="1394" spans="46:47" s="221" customFormat="1" x14ac:dyDescent="0.2">
      <c r="AT1394" s="222"/>
      <c r="AU1394" s="222"/>
    </row>
    <row r="1395" spans="46:47" s="221" customFormat="1" x14ac:dyDescent="0.2">
      <c r="AT1395" s="222"/>
      <c r="AU1395" s="222"/>
    </row>
    <row r="1396" spans="46:47" s="221" customFormat="1" x14ac:dyDescent="0.2">
      <c r="AT1396" s="222"/>
      <c r="AU1396" s="222"/>
    </row>
    <row r="1397" spans="46:47" s="221" customFormat="1" x14ac:dyDescent="0.2">
      <c r="AT1397" s="222"/>
      <c r="AU1397" s="222"/>
    </row>
    <row r="1398" spans="46:47" s="221" customFormat="1" x14ac:dyDescent="0.2">
      <c r="AT1398" s="222"/>
      <c r="AU1398" s="222"/>
    </row>
    <row r="1399" spans="46:47" s="221" customFormat="1" x14ac:dyDescent="0.2">
      <c r="AT1399" s="222"/>
      <c r="AU1399" s="222"/>
    </row>
    <row r="1400" spans="46:47" s="221" customFormat="1" x14ac:dyDescent="0.2">
      <c r="AT1400" s="222"/>
      <c r="AU1400" s="222"/>
    </row>
    <row r="1401" spans="46:47" s="221" customFormat="1" x14ac:dyDescent="0.2">
      <c r="AT1401" s="222"/>
      <c r="AU1401" s="222"/>
    </row>
    <row r="1402" spans="46:47" s="221" customFormat="1" x14ac:dyDescent="0.2">
      <c r="AT1402" s="222"/>
      <c r="AU1402" s="222"/>
    </row>
    <row r="1403" spans="46:47" s="221" customFormat="1" x14ac:dyDescent="0.2">
      <c r="AT1403" s="222"/>
      <c r="AU1403" s="222"/>
    </row>
    <row r="1404" spans="46:47" s="221" customFormat="1" x14ac:dyDescent="0.2">
      <c r="AT1404" s="222"/>
      <c r="AU1404" s="222"/>
    </row>
    <row r="1405" spans="46:47" s="221" customFormat="1" x14ac:dyDescent="0.2">
      <c r="AT1405" s="222"/>
      <c r="AU1405" s="222"/>
    </row>
    <row r="1406" spans="46:47" s="221" customFormat="1" x14ac:dyDescent="0.2">
      <c r="AT1406" s="222"/>
      <c r="AU1406" s="222"/>
    </row>
    <row r="1407" spans="46:47" s="221" customFormat="1" x14ac:dyDescent="0.2">
      <c r="AT1407" s="222"/>
      <c r="AU1407" s="222"/>
    </row>
    <row r="1408" spans="46:47" s="221" customFormat="1" x14ac:dyDescent="0.2">
      <c r="AT1408" s="222"/>
      <c r="AU1408" s="222"/>
    </row>
    <row r="1409" spans="46:47" s="221" customFormat="1" x14ac:dyDescent="0.2">
      <c r="AT1409" s="222"/>
      <c r="AU1409" s="222"/>
    </row>
    <row r="1410" spans="46:47" s="221" customFormat="1" x14ac:dyDescent="0.2">
      <c r="AT1410" s="222"/>
      <c r="AU1410" s="222"/>
    </row>
    <row r="1411" spans="46:47" s="221" customFormat="1" x14ac:dyDescent="0.2">
      <c r="AT1411" s="222"/>
      <c r="AU1411" s="222"/>
    </row>
    <row r="1412" spans="46:47" s="221" customFormat="1" x14ac:dyDescent="0.2">
      <c r="AT1412" s="222"/>
      <c r="AU1412" s="222"/>
    </row>
    <row r="1413" spans="46:47" s="221" customFormat="1" x14ac:dyDescent="0.2">
      <c r="AT1413" s="222"/>
      <c r="AU1413" s="222"/>
    </row>
    <row r="1414" spans="46:47" s="221" customFormat="1" x14ac:dyDescent="0.2">
      <c r="AT1414" s="222"/>
      <c r="AU1414" s="222"/>
    </row>
    <row r="1415" spans="46:47" s="221" customFormat="1" x14ac:dyDescent="0.2">
      <c r="AT1415" s="222"/>
      <c r="AU1415" s="222"/>
    </row>
    <row r="1416" spans="46:47" s="221" customFormat="1" x14ac:dyDescent="0.2">
      <c r="AT1416" s="222"/>
      <c r="AU1416" s="222"/>
    </row>
    <row r="1417" spans="46:47" s="221" customFormat="1" x14ac:dyDescent="0.2">
      <c r="AT1417" s="222"/>
      <c r="AU1417" s="222"/>
    </row>
    <row r="1418" spans="46:47" s="221" customFormat="1" x14ac:dyDescent="0.2">
      <c r="AT1418" s="222"/>
      <c r="AU1418" s="222"/>
    </row>
    <row r="1419" spans="46:47" s="221" customFormat="1" x14ac:dyDescent="0.2">
      <c r="AT1419" s="222"/>
      <c r="AU1419" s="222"/>
    </row>
    <row r="1420" spans="46:47" s="221" customFormat="1" x14ac:dyDescent="0.2">
      <c r="AT1420" s="222"/>
      <c r="AU1420" s="222"/>
    </row>
    <row r="1421" spans="46:47" s="221" customFormat="1" x14ac:dyDescent="0.2">
      <c r="AT1421" s="222"/>
      <c r="AU1421" s="222"/>
    </row>
    <row r="1422" spans="46:47" s="221" customFormat="1" x14ac:dyDescent="0.2">
      <c r="AT1422" s="222"/>
      <c r="AU1422" s="222"/>
    </row>
    <row r="1423" spans="46:47" s="221" customFormat="1" x14ac:dyDescent="0.2">
      <c r="AT1423" s="222"/>
      <c r="AU1423" s="222"/>
    </row>
    <row r="1424" spans="46:47" s="221" customFormat="1" x14ac:dyDescent="0.2">
      <c r="AT1424" s="222"/>
      <c r="AU1424" s="222"/>
    </row>
    <row r="1425" spans="46:47" s="221" customFormat="1" x14ac:dyDescent="0.2">
      <c r="AT1425" s="222"/>
      <c r="AU1425" s="222"/>
    </row>
    <row r="1426" spans="46:47" s="221" customFormat="1" x14ac:dyDescent="0.2">
      <c r="AT1426" s="222"/>
      <c r="AU1426" s="222"/>
    </row>
    <row r="1427" spans="46:47" s="221" customFormat="1" x14ac:dyDescent="0.2">
      <c r="AT1427" s="222"/>
      <c r="AU1427" s="222"/>
    </row>
    <row r="1428" spans="46:47" s="221" customFormat="1" x14ac:dyDescent="0.2">
      <c r="AT1428" s="222"/>
      <c r="AU1428" s="222"/>
    </row>
    <row r="1429" spans="46:47" s="221" customFormat="1" x14ac:dyDescent="0.2">
      <c r="AT1429" s="222"/>
      <c r="AU1429" s="222"/>
    </row>
    <row r="1430" spans="46:47" s="221" customFormat="1" x14ac:dyDescent="0.2">
      <c r="AT1430" s="222"/>
      <c r="AU1430" s="222"/>
    </row>
    <row r="1431" spans="46:47" s="221" customFormat="1" x14ac:dyDescent="0.2">
      <c r="AT1431" s="222"/>
      <c r="AU1431" s="222"/>
    </row>
    <row r="1432" spans="46:47" s="221" customFormat="1" x14ac:dyDescent="0.2">
      <c r="AT1432" s="222"/>
      <c r="AU1432" s="222"/>
    </row>
    <row r="1433" spans="46:47" s="221" customFormat="1" x14ac:dyDescent="0.2">
      <c r="AT1433" s="222"/>
      <c r="AU1433" s="222"/>
    </row>
    <row r="1434" spans="46:47" s="221" customFormat="1" x14ac:dyDescent="0.2">
      <c r="AT1434" s="222"/>
      <c r="AU1434" s="222"/>
    </row>
    <row r="1435" spans="46:47" s="221" customFormat="1" x14ac:dyDescent="0.2">
      <c r="AT1435" s="222"/>
      <c r="AU1435" s="222"/>
    </row>
    <row r="1436" spans="46:47" s="221" customFormat="1" x14ac:dyDescent="0.2">
      <c r="AT1436" s="222"/>
      <c r="AU1436" s="222"/>
    </row>
    <row r="1437" spans="46:47" s="221" customFormat="1" x14ac:dyDescent="0.2">
      <c r="AT1437" s="222"/>
      <c r="AU1437" s="222"/>
    </row>
    <row r="1438" spans="46:47" s="221" customFormat="1" x14ac:dyDescent="0.2">
      <c r="AT1438" s="222"/>
      <c r="AU1438" s="222"/>
    </row>
    <row r="1439" spans="46:47" s="221" customFormat="1" x14ac:dyDescent="0.2">
      <c r="AT1439" s="222"/>
      <c r="AU1439" s="222"/>
    </row>
    <row r="1440" spans="46:47" s="221" customFormat="1" x14ac:dyDescent="0.2">
      <c r="AT1440" s="222"/>
      <c r="AU1440" s="222"/>
    </row>
    <row r="1441" spans="46:47" s="221" customFormat="1" x14ac:dyDescent="0.2">
      <c r="AT1441" s="222"/>
      <c r="AU1441" s="222"/>
    </row>
    <row r="1442" spans="46:47" s="221" customFormat="1" x14ac:dyDescent="0.2">
      <c r="AT1442" s="222"/>
      <c r="AU1442" s="222"/>
    </row>
    <row r="1443" spans="46:47" s="221" customFormat="1" x14ac:dyDescent="0.2">
      <c r="AT1443" s="222"/>
      <c r="AU1443" s="222"/>
    </row>
    <row r="1444" spans="46:47" s="221" customFormat="1" x14ac:dyDescent="0.2">
      <c r="AT1444" s="222"/>
      <c r="AU1444" s="222"/>
    </row>
    <row r="1445" spans="46:47" s="221" customFormat="1" x14ac:dyDescent="0.2">
      <c r="AT1445" s="222"/>
      <c r="AU1445" s="222"/>
    </row>
    <row r="1446" spans="46:47" s="221" customFormat="1" x14ac:dyDescent="0.2">
      <c r="AT1446" s="222"/>
      <c r="AU1446" s="222"/>
    </row>
    <row r="1447" spans="46:47" s="221" customFormat="1" x14ac:dyDescent="0.2">
      <c r="AT1447" s="222"/>
      <c r="AU1447" s="222"/>
    </row>
    <row r="1448" spans="46:47" s="221" customFormat="1" x14ac:dyDescent="0.2">
      <c r="AT1448" s="222"/>
      <c r="AU1448" s="222"/>
    </row>
    <row r="1449" spans="46:47" s="221" customFormat="1" x14ac:dyDescent="0.2">
      <c r="AT1449" s="222"/>
      <c r="AU1449" s="222"/>
    </row>
    <row r="1450" spans="46:47" s="221" customFormat="1" x14ac:dyDescent="0.2">
      <c r="AT1450" s="222"/>
      <c r="AU1450" s="222"/>
    </row>
    <row r="1451" spans="46:47" s="221" customFormat="1" x14ac:dyDescent="0.2">
      <c r="AT1451" s="222"/>
      <c r="AU1451" s="222"/>
    </row>
    <row r="1452" spans="46:47" s="221" customFormat="1" x14ac:dyDescent="0.2">
      <c r="AT1452" s="222"/>
      <c r="AU1452" s="222"/>
    </row>
    <row r="1453" spans="46:47" s="221" customFormat="1" x14ac:dyDescent="0.2">
      <c r="AT1453" s="222"/>
      <c r="AU1453" s="222"/>
    </row>
    <row r="1454" spans="46:47" s="221" customFormat="1" x14ac:dyDescent="0.2">
      <c r="AT1454" s="222"/>
      <c r="AU1454" s="222"/>
    </row>
    <row r="1455" spans="46:47" s="221" customFormat="1" x14ac:dyDescent="0.2">
      <c r="AT1455" s="222"/>
      <c r="AU1455" s="222"/>
    </row>
    <row r="1456" spans="46:47" s="221" customFormat="1" x14ac:dyDescent="0.2">
      <c r="AT1456" s="222"/>
      <c r="AU1456" s="222"/>
    </row>
    <row r="1457" spans="46:47" s="221" customFormat="1" x14ac:dyDescent="0.2">
      <c r="AT1457" s="222"/>
      <c r="AU1457" s="222"/>
    </row>
    <row r="1458" spans="46:47" s="221" customFormat="1" x14ac:dyDescent="0.2">
      <c r="AT1458" s="222"/>
      <c r="AU1458" s="222"/>
    </row>
    <row r="1459" spans="46:47" s="221" customFormat="1" x14ac:dyDescent="0.2">
      <c r="AT1459" s="222"/>
      <c r="AU1459" s="222"/>
    </row>
    <row r="1460" spans="46:47" s="221" customFormat="1" x14ac:dyDescent="0.2">
      <c r="AT1460" s="222"/>
      <c r="AU1460" s="222"/>
    </row>
    <row r="1461" spans="46:47" s="221" customFormat="1" x14ac:dyDescent="0.2">
      <c r="AT1461" s="222"/>
      <c r="AU1461" s="222"/>
    </row>
    <row r="1462" spans="46:47" s="221" customFormat="1" x14ac:dyDescent="0.2">
      <c r="AT1462" s="222"/>
      <c r="AU1462" s="222"/>
    </row>
    <row r="1463" spans="46:47" s="221" customFormat="1" x14ac:dyDescent="0.2">
      <c r="AT1463" s="222"/>
      <c r="AU1463" s="222"/>
    </row>
    <row r="1464" spans="46:47" s="221" customFormat="1" x14ac:dyDescent="0.2">
      <c r="AT1464" s="222"/>
      <c r="AU1464" s="222"/>
    </row>
    <row r="1465" spans="46:47" s="221" customFormat="1" x14ac:dyDescent="0.2">
      <c r="AT1465" s="222"/>
      <c r="AU1465" s="222"/>
    </row>
    <row r="1466" spans="46:47" s="221" customFormat="1" x14ac:dyDescent="0.2">
      <c r="AT1466" s="222"/>
      <c r="AU1466" s="222"/>
    </row>
    <row r="1467" spans="46:47" s="221" customFormat="1" x14ac:dyDescent="0.2">
      <c r="AT1467" s="222"/>
      <c r="AU1467" s="222"/>
    </row>
    <row r="1468" spans="46:47" s="221" customFormat="1" x14ac:dyDescent="0.2">
      <c r="AT1468" s="222"/>
      <c r="AU1468" s="222"/>
    </row>
    <row r="1469" spans="46:47" s="221" customFormat="1" x14ac:dyDescent="0.2">
      <c r="AT1469" s="222"/>
      <c r="AU1469" s="222"/>
    </row>
    <row r="1470" spans="46:47" s="221" customFormat="1" x14ac:dyDescent="0.2">
      <c r="AT1470" s="222"/>
      <c r="AU1470" s="222"/>
    </row>
    <row r="1471" spans="46:47" s="221" customFormat="1" x14ac:dyDescent="0.2">
      <c r="AT1471" s="222"/>
      <c r="AU1471" s="222"/>
    </row>
    <row r="1472" spans="46:47" s="221" customFormat="1" x14ac:dyDescent="0.2">
      <c r="AT1472" s="222"/>
      <c r="AU1472" s="222"/>
    </row>
    <row r="1473" spans="46:47" s="221" customFormat="1" x14ac:dyDescent="0.2">
      <c r="AT1473" s="222"/>
      <c r="AU1473" s="222"/>
    </row>
    <row r="1474" spans="46:47" s="221" customFormat="1" x14ac:dyDescent="0.2">
      <c r="AT1474" s="222"/>
      <c r="AU1474" s="222"/>
    </row>
    <row r="1475" spans="46:47" s="221" customFormat="1" x14ac:dyDescent="0.2">
      <c r="AT1475" s="222"/>
      <c r="AU1475" s="222"/>
    </row>
    <row r="1476" spans="46:47" s="221" customFormat="1" x14ac:dyDescent="0.2">
      <c r="AT1476" s="222"/>
      <c r="AU1476" s="222"/>
    </row>
    <row r="1477" spans="46:47" s="221" customFormat="1" x14ac:dyDescent="0.2">
      <c r="AT1477" s="222"/>
      <c r="AU1477" s="222"/>
    </row>
    <row r="1478" spans="46:47" s="221" customFormat="1" x14ac:dyDescent="0.2">
      <c r="AT1478" s="222"/>
      <c r="AU1478" s="222"/>
    </row>
    <row r="1479" spans="46:47" s="221" customFormat="1" x14ac:dyDescent="0.2">
      <c r="AT1479" s="222"/>
      <c r="AU1479" s="222"/>
    </row>
    <row r="1480" spans="46:47" s="221" customFormat="1" x14ac:dyDescent="0.2">
      <c r="AT1480" s="222"/>
      <c r="AU1480" s="222"/>
    </row>
    <row r="1481" spans="46:47" s="221" customFormat="1" x14ac:dyDescent="0.2">
      <c r="AT1481" s="222"/>
      <c r="AU1481" s="222"/>
    </row>
    <row r="1482" spans="46:47" s="221" customFormat="1" x14ac:dyDescent="0.2">
      <c r="AT1482" s="222"/>
      <c r="AU1482" s="222"/>
    </row>
    <row r="1483" spans="46:47" s="221" customFormat="1" x14ac:dyDescent="0.2">
      <c r="AT1483" s="222"/>
      <c r="AU1483" s="222"/>
    </row>
    <row r="1484" spans="46:47" s="221" customFormat="1" x14ac:dyDescent="0.2">
      <c r="AT1484" s="222"/>
      <c r="AU1484" s="222"/>
    </row>
    <row r="1485" spans="46:47" s="221" customFormat="1" x14ac:dyDescent="0.2">
      <c r="AT1485" s="222"/>
      <c r="AU1485" s="222"/>
    </row>
    <row r="1486" spans="46:47" s="221" customFormat="1" x14ac:dyDescent="0.2">
      <c r="AT1486" s="222"/>
      <c r="AU1486" s="222"/>
    </row>
    <row r="1487" spans="46:47" s="221" customFormat="1" x14ac:dyDescent="0.2">
      <c r="AT1487" s="222"/>
      <c r="AU1487" s="222"/>
    </row>
    <row r="1488" spans="46:47" s="221" customFormat="1" x14ac:dyDescent="0.2">
      <c r="AT1488" s="222"/>
      <c r="AU1488" s="222"/>
    </row>
    <row r="1489" spans="46:47" s="221" customFormat="1" x14ac:dyDescent="0.2">
      <c r="AT1489" s="222"/>
      <c r="AU1489" s="222"/>
    </row>
    <row r="1490" spans="46:47" s="221" customFormat="1" x14ac:dyDescent="0.2">
      <c r="AT1490" s="222"/>
      <c r="AU1490" s="222"/>
    </row>
    <row r="1491" spans="46:47" s="221" customFormat="1" x14ac:dyDescent="0.2">
      <c r="AT1491" s="222"/>
      <c r="AU1491" s="222"/>
    </row>
    <row r="1492" spans="46:47" s="221" customFormat="1" x14ac:dyDescent="0.2">
      <c r="AT1492" s="222"/>
      <c r="AU1492" s="222"/>
    </row>
    <row r="1493" spans="46:47" s="221" customFormat="1" x14ac:dyDescent="0.2">
      <c r="AT1493" s="222"/>
      <c r="AU1493" s="222"/>
    </row>
    <row r="1494" spans="46:47" s="221" customFormat="1" x14ac:dyDescent="0.2">
      <c r="AT1494" s="222"/>
      <c r="AU1494" s="222"/>
    </row>
    <row r="1495" spans="46:47" s="221" customFormat="1" x14ac:dyDescent="0.2">
      <c r="AT1495" s="222"/>
      <c r="AU1495" s="222"/>
    </row>
    <row r="1496" spans="46:47" s="221" customFormat="1" x14ac:dyDescent="0.2">
      <c r="AT1496" s="222"/>
      <c r="AU1496" s="222"/>
    </row>
    <row r="1497" spans="46:47" s="221" customFormat="1" x14ac:dyDescent="0.2">
      <c r="AT1497" s="222"/>
      <c r="AU1497" s="222"/>
    </row>
    <row r="1498" spans="46:47" s="221" customFormat="1" x14ac:dyDescent="0.2">
      <c r="AT1498" s="222"/>
      <c r="AU1498" s="222"/>
    </row>
    <row r="1499" spans="46:47" s="221" customFormat="1" x14ac:dyDescent="0.2">
      <c r="AT1499" s="222"/>
      <c r="AU1499" s="222"/>
    </row>
    <row r="1500" spans="46:47" s="221" customFormat="1" x14ac:dyDescent="0.2">
      <c r="AT1500" s="222"/>
      <c r="AU1500" s="222"/>
    </row>
    <row r="1501" spans="46:47" s="221" customFormat="1" x14ac:dyDescent="0.2">
      <c r="AT1501" s="222"/>
      <c r="AU1501" s="222"/>
    </row>
    <row r="1502" spans="46:47" s="221" customFormat="1" x14ac:dyDescent="0.2">
      <c r="AT1502" s="222"/>
      <c r="AU1502" s="222"/>
    </row>
    <row r="1503" spans="46:47" s="221" customFormat="1" x14ac:dyDescent="0.2">
      <c r="AT1503" s="222"/>
      <c r="AU1503" s="222"/>
    </row>
    <row r="1504" spans="46:47" s="221" customFormat="1" x14ac:dyDescent="0.2">
      <c r="AT1504" s="222"/>
      <c r="AU1504" s="222"/>
    </row>
    <row r="1505" spans="46:47" s="221" customFormat="1" x14ac:dyDescent="0.2">
      <c r="AT1505" s="222"/>
      <c r="AU1505" s="222"/>
    </row>
    <row r="1506" spans="46:47" s="221" customFormat="1" x14ac:dyDescent="0.2">
      <c r="AT1506" s="222"/>
      <c r="AU1506" s="222"/>
    </row>
    <row r="1507" spans="46:47" s="221" customFormat="1" x14ac:dyDescent="0.2">
      <c r="AT1507" s="222"/>
      <c r="AU1507" s="222"/>
    </row>
    <row r="1508" spans="46:47" s="221" customFormat="1" x14ac:dyDescent="0.2">
      <c r="AT1508" s="222"/>
      <c r="AU1508" s="222"/>
    </row>
    <row r="1509" spans="46:47" s="221" customFormat="1" x14ac:dyDescent="0.2">
      <c r="AT1509" s="222"/>
      <c r="AU1509" s="222"/>
    </row>
    <row r="1510" spans="46:47" s="221" customFormat="1" x14ac:dyDescent="0.2">
      <c r="AT1510" s="222"/>
      <c r="AU1510" s="222"/>
    </row>
    <row r="1511" spans="46:47" s="221" customFormat="1" x14ac:dyDescent="0.2">
      <c r="AT1511" s="222"/>
      <c r="AU1511" s="222"/>
    </row>
    <row r="1512" spans="46:47" s="221" customFormat="1" x14ac:dyDescent="0.2">
      <c r="AT1512" s="222"/>
      <c r="AU1512" s="222"/>
    </row>
    <row r="1513" spans="46:47" s="221" customFormat="1" x14ac:dyDescent="0.2">
      <c r="AT1513" s="222"/>
      <c r="AU1513" s="222"/>
    </row>
    <row r="1514" spans="46:47" s="221" customFormat="1" x14ac:dyDescent="0.2">
      <c r="AT1514" s="222"/>
      <c r="AU1514" s="222"/>
    </row>
    <row r="1515" spans="46:47" s="221" customFormat="1" x14ac:dyDescent="0.2">
      <c r="AT1515" s="222"/>
      <c r="AU1515" s="222"/>
    </row>
    <row r="1516" spans="46:47" s="221" customFormat="1" x14ac:dyDescent="0.2">
      <c r="AT1516" s="222"/>
      <c r="AU1516" s="222"/>
    </row>
    <row r="1517" spans="46:47" s="221" customFormat="1" x14ac:dyDescent="0.2">
      <c r="AT1517" s="222"/>
      <c r="AU1517" s="222"/>
    </row>
    <row r="1518" spans="46:47" s="221" customFormat="1" x14ac:dyDescent="0.2">
      <c r="AT1518" s="222"/>
      <c r="AU1518" s="222"/>
    </row>
    <row r="1519" spans="46:47" s="221" customFormat="1" x14ac:dyDescent="0.2">
      <c r="AT1519" s="222"/>
      <c r="AU1519" s="222"/>
    </row>
    <row r="1520" spans="46:47" s="221" customFormat="1" x14ac:dyDescent="0.2">
      <c r="AT1520" s="222"/>
      <c r="AU1520" s="222"/>
    </row>
    <row r="1521" spans="46:47" s="221" customFormat="1" x14ac:dyDescent="0.2">
      <c r="AT1521" s="222"/>
      <c r="AU1521" s="222"/>
    </row>
    <row r="1522" spans="46:47" s="221" customFormat="1" x14ac:dyDescent="0.2">
      <c r="AT1522" s="222"/>
      <c r="AU1522" s="222"/>
    </row>
    <row r="1523" spans="46:47" s="221" customFormat="1" x14ac:dyDescent="0.2">
      <c r="AT1523" s="222"/>
      <c r="AU1523" s="222"/>
    </row>
    <row r="1524" spans="46:47" s="221" customFormat="1" x14ac:dyDescent="0.2">
      <c r="AT1524" s="222"/>
      <c r="AU1524" s="222"/>
    </row>
    <row r="1525" spans="46:47" s="221" customFormat="1" x14ac:dyDescent="0.2">
      <c r="AT1525" s="222"/>
      <c r="AU1525" s="222"/>
    </row>
    <row r="1526" spans="46:47" s="221" customFormat="1" x14ac:dyDescent="0.2">
      <c r="AT1526" s="222"/>
      <c r="AU1526" s="222"/>
    </row>
    <row r="1527" spans="46:47" s="221" customFormat="1" x14ac:dyDescent="0.2">
      <c r="AT1527" s="222"/>
      <c r="AU1527" s="222"/>
    </row>
    <row r="1528" spans="46:47" s="221" customFormat="1" x14ac:dyDescent="0.2">
      <c r="AT1528" s="222"/>
      <c r="AU1528" s="222"/>
    </row>
    <row r="1529" spans="46:47" s="221" customFormat="1" x14ac:dyDescent="0.2">
      <c r="AT1529" s="222"/>
      <c r="AU1529" s="222"/>
    </row>
    <row r="1530" spans="46:47" s="221" customFormat="1" x14ac:dyDescent="0.2">
      <c r="AT1530" s="222"/>
      <c r="AU1530" s="222"/>
    </row>
    <row r="1531" spans="46:47" s="221" customFormat="1" x14ac:dyDescent="0.2">
      <c r="AT1531" s="222"/>
      <c r="AU1531" s="222"/>
    </row>
    <row r="1532" spans="46:47" s="221" customFormat="1" x14ac:dyDescent="0.2">
      <c r="AT1532" s="222"/>
      <c r="AU1532" s="222"/>
    </row>
    <row r="1533" spans="46:47" s="221" customFormat="1" x14ac:dyDescent="0.2">
      <c r="AT1533" s="222"/>
      <c r="AU1533" s="222"/>
    </row>
    <row r="1534" spans="46:47" s="221" customFormat="1" x14ac:dyDescent="0.2">
      <c r="AT1534" s="222"/>
      <c r="AU1534" s="222"/>
    </row>
    <row r="1535" spans="46:47" s="221" customFormat="1" x14ac:dyDescent="0.2">
      <c r="AT1535" s="222"/>
      <c r="AU1535" s="222"/>
    </row>
    <row r="1536" spans="46:47" s="221" customFormat="1" x14ac:dyDescent="0.2">
      <c r="AT1536" s="222"/>
      <c r="AU1536" s="222"/>
    </row>
    <row r="1537" spans="46:47" s="221" customFormat="1" x14ac:dyDescent="0.2">
      <c r="AT1537" s="222"/>
      <c r="AU1537" s="222"/>
    </row>
    <row r="1538" spans="46:47" s="221" customFormat="1" x14ac:dyDescent="0.2">
      <c r="AT1538" s="222"/>
      <c r="AU1538" s="222"/>
    </row>
    <row r="1539" spans="46:47" s="221" customFormat="1" x14ac:dyDescent="0.2">
      <c r="AT1539" s="222"/>
      <c r="AU1539" s="222"/>
    </row>
    <row r="1540" spans="46:47" s="221" customFormat="1" x14ac:dyDescent="0.2">
      <c r="AT1540" s="222"/>
      <c r="AU1540" s="222"/>
    </row>
    <row r="1541" spans="46:47" s="221" customFormat="1" x14ac:dyDescent="0.2">
      <c r="AT1541" s="222"/>
      <c r="AU1541" s="222"/>
    </row>
    <row r="1542" spans="46:47" s="221" customFormat="1" x14ac:dyDescent="0.2">
      <c r="AT1542" s="222"/>
      <c r="AU1542" s="222"/>
    </row>
    <row r="1543" spans="46:47" s="221" customFormat="1" x14ac:dyDescent="0.2">
      <c r="AT1543" s="222"/>
      <c r="AU1543" s="222"/>
    </row>
    <row r="1544" spans="46:47" s="221" customFormat="1" x14ac:dyDescent="0.2">
      <c r="AT1544" s="222"/>
      <c r="AU1544" s="222"/>
    </row>
    <row r="1545" spans="46:47" s="221" customFormat="1" x14ac:dyDescent="0.2">
      <c r="AT1545" s="222"/>
      <c r="AU1545" s="222"/>
    </row>
    <row r="1546" spans="46:47" s="221" customFormat="1" x14ac:dyDescent="0.2">
      <c r="AT1546" s="222"/>
      <c r="AU1546" s="222"/>
    </row>
    <row r="1547" spans="46:47" s="221" customFormat="1" x14ac:dyDescent="0.2">
      <c r="AT1547" s="222"/>
      <c r="AU1547" s="222"/>
    </row>
    <row r="1548" spans="46:47" s="221" customFormat="1" x14ac:dyDescent="0.2">
      <c r="AT1548" s="222"/>
      <c r="AU1548" s="222"/>
    </row>
    <row r="1549" spans="46:47" s="221" customFormat="1" x14ac:dyDescent="0.2">
      <c r="AT1549" s="222"/>
      <c r="AU1549" s="222"/>
    </row>
    <row r="1550" spans="46:47" s="221" customFormat="1" x14ac:dyDescent="0.2">
      <c r="AT1550" s="222"/>
      <c r="AU1550" s="222"/>
    </row>
    <row r="1551" spans="46:47" s="221" customFormat="1" x14ac:dyDescent="0.2">
      <c r="AT1551" s="222"/>
      <c r="AU1551" s="222"/>
    </row>
    <row r="1552" spans="46:47" s="221" customFormat="1" x14ac:dyDescent="0.2">
      <c r="AT1552" s="222"/>
      <c r="AU1552" s="222"/>
    </row>
    <row r="1553" spans="46:47" s="221" customFormat="1" x14ac:dyDescent="0.2">
      <c r="AT1553" s="222"/>
      <c r="AU1553" s="222"/>
    </row>
    <row r="1554" spans="46:47" s="221" customFormat="1" x14ac:dyDescent="0.2">
      <c r="AT1554" s="222"/>
      <c r="AU1554" s="222"/>
    </row>
    <row r="1555" spans="46:47" s="221" customFormat="1" x14ac:dyDescent="0.2">
      <c r="AT1555" s="222"/>
      <c r="AU1555" s="222"/>
    </row>
    <row r="1556" spans="46:47" s="221" customFormat="1" x14ac:dyDescent="0.2">
      <c r="AT1556" s="222"/>
      <c r="AU1556" s="222"/>
    </row>
    <row r="1557" spans="46:47" s="221" customFormat="1" x14ac:dyDescent="0.2">
      <c r="AT1557" s="222"/>
      <c r="AU1557" s="222"/>
    </row>
    <row r="1558" spans="46:47" s="221" customFormat="1" x14ac:dyDescent="0.2">
      <c r="AT1558" s="222"/>
      <c r="AU1558" s="222"/>
    </row>
    <row r="1559" spans="46:47" s="221" customFormat="1" x14ac:dyDescent="0.2">
      <c r="AT1559" s="222"/>
      <c r="AU1559" s="222"/>
    </row>
    <row r="1560" spans="46:47" s="221" customFormat="1" x14ac:dyDescent="0.2">
      <c r="AT1560" s="222"/>
      <c r="AU1560" s="222"/>
    </row>
    <row r="1561" spans="46:47" s="221" customFormat="1" x14ac:dyDescent="0.2">
      <c r="AT1561" s="222"/>
      <c r="AU1561" s="222"/>
    </row>
    <row r="1562" spans="46:47" s="221" customFormat="1" x14ac:dyDescent="0.2">
      <c r="AT1562" s="222"/>
      <c r="AU1562" s="222"/>
    </row>
    <row r="1563" spans="46:47" s="221" customFormat="1" x14ac:dyDescent="0.2">
      <c r="AT1563" s="222"/>
      <c r="AU1563" s="222"/>
    </row>
    <row r="1564" spans="46:47" s="221" customFormat="1" x14ac:dyDescent="0.2">
      <c r="AT1564" s="222"/>
      <c r="AU1564" s="222"/>
    </row>
    <row r="1565" spans="46:47" s="221" customFormat="1" x14ac:dyDescent="0.2">
      <c r="AT1565" s="222"/>
      <c r="AU1565" s="222"/>
    </row>
    <row r="1566" spans="46:47" s="221" customFormat="1" x14ac:dyDescent="0.2">
      <c r="AT1566" s="222"/>
      <c r="AU1566" s="222"/>
    </row>
    <row r="1567" spans="46:47" s="221" customFormat="1" x14ac:dyDescent="0.2">
      <c r="AT1567" s="222"/>
      <c r="AU1567" s="222"/>
    </row>
    <row r="1568" spans="46:47" s="221" customFormat="1" x14ac:dyDescent="0.2">
      <c r="AT1568" s="222"/>
      <c r="AU1568" s="222"/>
    </row>
    <row r="1569" spans="46:47" s="221" customFormat="1" x14ac:dyDescent="0.2">
      <c r="AT1569" s="222"/>
      <c r="AU1569" s="222"/>
    </row>
    <row r="1570" spans="46:47" s="221" customFormat="1" x14ac:dyDescent="0.2">
      <c r="AT1570" s="222"/>
      <c r="AU1570" s="222"/>
    </row>
    <row r="1571" spans="46:47" s="221" customFormat="1" x14ac:dyDescent="0.2">
      <c r="AT1571" s="222"/>
      <c r="AU1571" s="222"/>
    </row>
    <row r="1572" spans="46:47" s="221" customFormat="1" x14ac:dyDescent="0.2">
      <c r="AT1572" s="222"/>
      <c r="AU1572" s="222"/>
    </row>
    <row r="1573" spans="46:47" s="221" customFormat="1" x14ac:dyDescent="0.2">
      <c r="AT1573" s="222"/>
      <c r="AU1573" s="222"/>
    </row>
    <row r="1574" spans="46:47" s="221" customFormat="1" x14ac:dyDescent="0.2">
      <c r="AT1574" s="222"/>
      <c r="AU1574" s="222"/>
    </row>
    <row r="1575" spans="46:47" s="221" customFormat="1" x14ac:dyDescent="0.2">
      <c r="AT1575" s="222"/>
      <c r="AU1575" s="222"/>
    </row>
    <row r="1576" spans="46:47" s="221" customFormat="1" x14ac:dyDescent="0.2">
      <c r="AT1576" s="222"/>
      <c r="AU1576" s="222"/>
    </row>
    <row r="1577" spans="46:47" s="221" customFormat="1" x14ac:dyDescent="0.2">
      <c r="AT1577" s="222"/>
      <c r="AU1577" s="222"/>
    </row>
    <row r="1578" spans="46:47" s="221" customFormat="1" x14ac:dyDescent="0.2">
      <c r="AT1578" s="222"/>
      <c r="AU1578" s="222"/>
    </row>
    <row r="1579" spans="46:47" s="221" customFormat="1" x14ac:dyDescent="0.2">
      <c r="AT1579" s="222"/>
      <c r="AU1579" s="222"/>
    </row>
    <row r="1580" spans="46:47" s="221" customFormat="1" x14ac:dyDescent="0.2">
      <c r="AT1580" s="222"/>
      <c r="AU1580" s="222"/>
    </row>
    <row r="1581" spans="46:47" s="221" customFormat="1" x14ac:dyDescent="0.2">
      <c r="AT1581" s="222"/>
      <c r="AU1581" s="222"/>
    </row>
    <row r="1582" spans="46:47" s="221" customFormat="1" x14ac:dyDescent="0.2">
      <c r="AT1582" s="222"/>
      <c r="AU1582" s="222"/>
    </row>
    <row r="1583" spans="46:47" s="221" customFormat="1" x14ac:dyDescent="0.2">
      <c r="AT1583" s="222"/>
      <c r="AU1583" s="222"/>
    </row>
    <row r="1584" spans="46:47" s="221" customFormat="1" x14ac:dyDescent="0.2">
      <c r="AT1584" s="222"/>
      <c r="AU1584" s="222"/>
    </row>
    <row r="1585" spans="46:47" s="221" customFormat="1" x14ac:dyDescent="0.2">
      <c r="AT1585" s="222"/>
      <c r="AU1585" s="222"/>
    </row>
    <row r="1586" spans="46:47" s="221" customFormat="1" x14ac:dyDescent="0.2">
      <c r="AT1586" s="222"/>
      <c r="AU1586" s="222"/>
    </row>
    <row r="1587" spans="46:47" s="221" customFormat="1" x14ac:dyDescent="0.2">
      <c r="AT1587" s="222"/>
      <c r="AU1587" s="222"/>
    </row>
    <row r="1588" spans="46:47" s="221" customFormat="1" x14ac:dyDescent="0.2">
      <c r="AT1588" s="222"/>
      <c r="AU1588" s="222"/>
    </row>
    <row r="1589" spans="46:47" s="221" customFormat="1" x14ac:dyDescent="0.2">
      <c r="AT1589" s="222"/>
      <c r="AU1589" s="222"/>
    </row>
    <row r="1590" spans="46:47" s="221" customFormat="1" x14ac:dyDescent="0.2">
      <c r="AT1590" s="222"/>
      <c r="AU1590" s="222"/>
    </row>
    <row r="1591" spans="46:47" s="221" customFormat="1" x14ac:dyDescent="0.2">
      <c r="AT1591" s="222"/>
      <c r="AU1591" s="222"/>
    </row>
    <row r="1592" spans="46:47" s="221" customFormat="1" x14ac:dyDescent="0.2">
      <c r="AT1592" s="222"/>
      <c r="AU1592" s="222"/>
    </row>
    <row r="1593" spans="46:47" s="221" customFormat="1" x14ac:dyDescent="0.2">
      <c r="AT1593" s="222"/>
      <c r="AU1593" s="222"/>
    </row>
    <row r="1594" spans="46:47" s="221" customFormat="1" x14ac:dyDescent="0.2">
      <c r="AT1594" s="222"/>
      <c r="AU1594" s="222"/>
    </row>
    <row r="1595" spans="46:47" s="221" customFormat="1" x14ac:dyDescent="0.2">
      <c r="AT1595" s="222"/>
      <c r="AU1595" s="222"/>
    </row>
    <row r="1596" spans="46:47" s="221" customFormat="1" x14ac:dyDescent="0.2">
      <c r="AT1596" s="222"/>
      <c r="AU1596" s="222"/>
    </row>
    <row r="1597" spans="46:47" s="221" customFormat="1" x14ac:dyDescent="0.2">
      <c r="AT1597" s="222"/>
      <c r="AU1597" s="222"/>
    </row>
    <row r="1598" spans="46:47" s="221" customFormat="1" x14ac:dyDescent="0.2">
      <c r="AT1598" s="222"/>
      <c r="AU1598" s="222"/>
    </row>
    <row r="1599" spans="46:47" s="221" customFormat="1" x14ac:dyDescent="0.2">
      <c r="AT1599" s="222"/>
      <c r="AU1599" s="222"/>
    </row>
    <row r="1600" spans="46:47" s="221" customFormat="1" x14ac:dyDescent="0.2">
      <c r="AT1600" s="222"/>
      <c r="AU1600" s="222"/>
    </row>
    <row r="1601" spans="46:47" s="221" customFormat="1" x14ac:dyDescent="0.2">
      <c r="AT1601" s="222"/>
      <c r="AU1601" s="222"/>
    </row>
    <row r="1602" spans="46:47" s="221" customFormat="1" x14ac:dyDescent="0.2">
      <c r="AT1602" s="222"/>
      <c r="AU1602" s="222"/>
    </row>
    <row r="1603" spans="46:47" s="221" customFormat="1" x14ac:dyDescent="0.2">
      <c r="AT1603" s="222"/>
      <c r="AU1603" s="222"/>
    </row>
    <row r="1604" spans="46:47" s="221" customFormat="1" x14ac:dyDescent="0.2">
      <c r="AT1604" s="222"/>
      <c r="AU1604" s="222"/>
    </row>
    <row r="1605" spans="46:47" s="221" customFormat="1" x14ac:dyDescent="0.2">
      <c r="AT1605" s="222"/>
      <c r="AU1605" s="222"/>
    </row>
    <row r="1606" spans="46:47" s="221" customFormat="1" x14ac:dyDescent="0.2">
      <c r="AT1606" s="222"/>
      <c r="AU1606" s="222"/>
    </row>
    <row r="1607" spans="46:47" s="221" customFormat="1" x14ac:dyDescent="0.2">
      <c r="AT1607" s="222"/>
      <c r="AU1607" s="222"/>
    </row>
    <row r="1608" spans="46:47" s="221" customFormat="1" x14ac:dyDescent="0.2">
      <c r="AT1608" s="222"/>
      <c r="AU1608" s="222"/>
    </row>
    <row r="1609" spans="46:47" s="221" customFormat="1" x14ac:dyDescent="0.2">
      <c r="AT1609" s="222"/>
      <c r="AU1609" s="222"/>
    </row>
    <row r="1610" spans="46:47" s="221" customFormat="1" x14ac:dyDescent="0.2">
      <c r="AT1610" s="222"/>
      <c r="AU1610" s="222"/>
    </row>
    <row r="1611" spans="46:47" s="221" customFormat="1" x14ac:dyDescent="0.2">
      <c r="AT1611" s="222"/>
      <c r="AU1611" s="222"/>
    </row>
    <row r="1612" spans="46:47" s="221" customFormat="1" x14ac:dyDescent="0.2">
      <c r="AT1612" s="222"/>
      <c r="AU1612" s="222"/>
    </row>
    <row r="1613" spans="46:47" s="221" customFormat="1" x14ac:dyDescent="0.2">
      <c r="AT1613" s="222"/>
      <c r="AU1613" s="222"/>
    </row>
    <row r="1614" spans="46:47" s="221" customFormat="1" x14ac:dyDescent="0.2">
      <c r="AT1614" s="222"/>
      <c r="AU1614" s="222"/>
    </row>
    <row r="1615" spans="46:47" s="221" customFormat="1" x14ac:dyDescent="0.2">
      <c r="AT1615" s="222"/>
      <c r="AU1615" s="222"/>
    </row>
    <row r="1616" spans="46:47" s="221" customFormat="1" x14ac:dyDescent="0.2">
      <c r="AT1616" s="222"/>
      <c r="AU1616" s="222"/>
    </row>
    <row r="1617" spans="46:47" s="221" customFormat="1" x14ac:dyDescent="0.2">
      <c r="AT1617" s="222"/>
      <c r="AU1617" s="222"/>
    </row>
    <row r="1618" spans="46:47" s="221" customFormat="1" x14ac:dyDescent="0.2">
      <c r="AT1618" s="222"/>
      <c r="AU1618" s="222"/>
    </row>
    <row r="1619" spans="46:47" s="221" customFormat="1" x14ac:dyDescent="0.2">
      <c r="AT1619" s="222"/>
      <c r="AU1619" s="222"/>
    </row>
    <row r="1620" spans="46:47" s="221" customFormat="1" x14ac:dyDescent="0.2">
      <c r="AT1620" s="222"/>
      <c r="AU1620" s="222"/>
    </row>
    <row r="1621" spans="46:47" s="221" customFormat="1" x14ac:dyDescent="0.2">
      <c r="AT1621" s="222"/>
      <c r="AU1621" s="222"/>
    </row>
    <row r="1622" spans="46:47" s="221" customFormat="1" x14ac:dyDescent="0.2">
      <c r="AT1622" s="222"/>
      <c r="AU1622" s="222"/>
    </row>
    <row r="1623" spans="46:47" s="221" customFormat="1" x14ac:dyDescent="0.2">
      <c r="AT1623" s="222"/>
      <c r="AU1623" s="222"/>
    </row>
    <row r="1624" spans="46:47" s="221" customFormat="1" x14ac:dyDescent="0.2">
      <c r="AT1624" s="222"/>
      <c r="AU1624" s="222"/>
    </row>
    <row r="1625" spans="46:47" s="221" customFormat="1" x14ac:dyDescent="0.2">
      <c r="AT1625" s="222"/>
      <c r="AU1625" s="222"/>
    </row>
    <row r="1626" spans="46:47" s="221" customFormat="1" x14ac:dyDescent="0.2">
      <c r="AT1626" s="222"/>
      <c r="AU1626" s="222"/>
    </row>
    <row r="1627" spans="46:47" s="221" customFormat="1" x14ac:dyDescent="0.2">
      <c r="AT1627" s="222"/>
      <c r="AU1627" s="222"/>
    </row>
    <row r="1628" spans="46:47" s="221" customFormat="1" x14ac:dyDescent="0.2">
      <c r="AT1628" s="222"/>
      <c r="AU1628" s="222"/>
    </row>
    <row r="1629" spans="46:47" s="221" customFormat="1" x14ac:dyDescent="0.2">
      <c r="AT1629" s="222"/>
      <c r="AU1629" s="222"/>
    </row>
    <row r="1630" spans="46:47" s="221" customFormat="1" x14ac:dyDescent="0.2">
      <c r="AT1630" s="222"/>
      <c r="AU1630" s="222"/>
    </row>
    <row r="1631" spans="46:47" s="221" customFormat="1" x14ac:dyDescent="0.2">
      <c r="AT1631" s="222"/>
      <c r="AU1631" s="222"/>
    </row>
    <row r="1632" spans="46:47" s="221" customFormat="1" x14ac:dyDescent="0.2">
      <c r="AT1632" s="222"/>
      <c r="AU1632" s="222"/>
    </row>
    <row r="1633" spans="46:47" s="221" customFormat="1" x14ac:dyDescent="0.2">
      <c r="AT1633" s="222"/>
      <c r="AU1633" s="222"/>
    </row>
    <row r="1634" spans="46:47" s="221" customFormat="1" x14ac:dyDescent="0.2">
      <c r="AT1634" s="222"/>
      <c r="AU1634" s="222"/>
    </row>
    <row r="1635" spans="46:47" s="221" customFormat="1" x14ac:dyDescent="0.2">
      <c r="AT1635" s="222"/>
      <c r="AU1635" s="222"/>
    </row>
    <row r="1636" spans="46:47" s="221" customFormat="1" x14ac:dyDescent="0.2">
      <c r="AT1636" s="222"/>
      <c r="AU1636" s="222"/>
    </row>
    <row r="1637" spans="46:47" s="221" customFormat="1" x14ac:dyDescent="0.2">
      <c r="AT1637" s="222"/>
      <c r="AU1637" s="222"/>
    </row>
    <row r="1638" spans="46:47" s="221" customFormat="1" x14ac:dyDescent="0.2">
      <c r="AT1638" s="222"/>
      <c r="AU1638" s="222"/>
    </row>
    <row r="1639" spans="46:47" s="221" customFormat="1" x14ac:dyDescent="0.2">
      <c r="AT1639" s="222"/>
      <c r="AU1639" s="222"/>
    </row>
    <row r="1640" spans="46:47" s="221" customFormat="1" x14ac:dyDescent="0.2">
      <c r="AT1640" s="222"/>
      <c r="AU1640" s="222"/>
    </row>
    <row r="1641" spans="46:47" s="221" customFormat="1" x14ac:dyDescent="0.2">
      <c r="AT1641" s="222"/>
      <c r="AU1641" s="222"/>
    </row>
    <row r="1642" spans="46:47" s="221" customFormat="1" x14ac:dyDescent="0.2">
      <c r="AT1642" s="222"/>
      <c r="AU1642" s="222"/>
    </row>
    <row r="1643" spans="46:47" s="221" customFormat="1" x14ac:dyDescent="0.2">
      <c r="AT1643" s="222"/>
      <c r="AU1643" s="222"/>
    </row>
    <row r="1644" spans="46:47" s="221" customFormat="1" x14ac:dyDescent="0.2">
      <c r="AT1644" s="222"/>
      <c r="AU1644" s="222"/>
    </row>
    <row r="1645" spans="46:47" s="221" customFormat="1" x14ac:dyDescent="0.2">
      <c r="AT1645" s="222"/>
      <c r="AU1645" s="222"/>
    </row>
    <row r="1646" spans="46:47" s="221" customFormat="1" x14ac:dyDescent="0.2">
      <c r="AT1646" s="222"/>
      <c r="AU1646" s="222"/>
    </row>
    <row r="1647" spans="46:47" s="221" customFormat="1" x14ac:dyDescent="0.2">
      <c r="AT1647" s="222"/>
      <c r="AU1647" s="222"/>
    </row>
    <row r="1648" spans="46:47" s="221" customFormat="1" x14ac:dyDescent="0.2">
      <c r="AT1648" s="222"/>
      <c r="AU1648" s="222"/>
    </row>
    <row r="1649" spans="46:47" s="221" customFormat="1" x14ac:dyDescent="0.2">
      <c r="AT1649" s="222"/>
      <c r="AU1649" s="222"/>
    </row>
    <row r="1650" spans="46:47" s="221" customFormat="1" x14ac:dyDescent="0.2">
      <c r="AT1650" s="222"/>
      <c r="AU1650" s="222"/>
    </row>
    <row r="1651" spans="46:47" s="221" customFormat="1" x14ac:dyDescent="0.2">
      <c r="AT1651" s="222"/>
      <c r="AU1651" s="222"/>
    </row>
    <row r="1652" spans="46:47" s="221" customFormat="1" x14ac:dyDescent="0.2">
      <c r="AT1652" s="222"/>
      <c r="AU1652" s="222"/>
    </row>
    <row r="1653" spans="46:47" s="221" customFormat="1" x14ac:dyDescent="0.2">
      <c r="AT1653" s="222"/>
      <c r="AU1653" s="222"/>
    </row>
    <row r="1654" spans="46:47" s="221" customFormat="1" x14ac:dyDescent="0.2">
      <c r="AT1654" s="222"/>
      <c r="AU1654" s="222"/>
    </row>
    <row r="1655" spans="46:47" s="221" customFormat="1" x14ac:dyDescent="0.2">
      <c r="AT1655" s="222"/>
      <c r="AU1655" s="222"/>
    </row>
    <row r="1656" spans="46:47" s="221" customFormat="1" x14ac:dyDescent="0.2">
      <c r="AT1656" s="222"/>
      <c r="AU1656" s="222"/>
    </row>
    <row r="1657" spans="46:47" s="221" customFormat="1" x14ac:dyDescent="0.2">
      <c r="AT1657" s="222"/>
      <c r="AU1657" s="222"/>
    </row>
    <row r="1658" spans="46:47" s="221" customFormat="1" x14ac:dyDescent="0.2">
      <c r="AT1658" s="222"/>
      <c r="AU1658" s="222"/>
    </row>
    <row r="1659" spans="46:47" s="221" customFormat="1" x14ac:dyDescent="0.2">
      <c r="AT1659" s="222"/>
      <c r="AU1659" s="222"/>
    </row>
    <row r="1660" spans="46:47" s="221" customFormat="1" x14ac:dyDescent="0.2">
      <c r="AT1660" s="222"/>
      <c r="AU1660" s="222"/>
    </row>
    <row r="1661" spans="46:47" s="221" customFormat="1" x14ac:dyDescent="0.2">
      <c r="AT1661" s="222"/>
      <c r="AU1661" s="222"/>
    </row>
    <row r="1662" spans="46:47" s="221" customFormat="1" x14ac:dyDescent="0.2">
      <c r="AT1662" s="222"/>
      <c r="AU1662" s="222"/>
    </row>
    <row r="1663" spans="46:47" s="221" customFormat="1" x14ac:dyDescent="0.2">
      <c r="AT1663" s="222"/>
      <c r="AU1663" s="222"/>
    </row>
    <row r="1664" spans="46:47" s="221" customFormat="1" x14ac:dyDescent="0.2">
      <c r="AT1664" s="222"/>
      <c r="AU1664" s="222"/>
    </row>
    <row r="1665" spans="46:47" s="221" customFormat="1" x14ac:dyDescent="0.2">
      <c r="AT1665" s="222"/>
      <c r="AU1665" s="222"/>
    </row>
    <row r="1666" spans="46:47" s="221" customFormat="1" x14ac:dyDescent="0.2">
      <c r="AT1666" s="222"/>
      <c r="AU1666" s="222"/>
    </row>
    <row r="1667" spans="46:47" s="221" customFormat="1" x14ac:dyDescent="0.2">
      <c r="AT1667" s="222"/>
      <c r="AU1667" s="222"/>
    </row>
    <row r="1668" spans="46:47" s="221" customFormat="1" x14ac:dyDescent="0.2">
      <c r="AT1668" s="222"/>
      <c r="AU1668" s="222"/>
    </row>
    <row r="1669" spans="46:47" s="221" customFormat="1" x14ac:dyDescent="0.2">
      <c r="AT1669" s="222"/>
      <c r="AU1669" s="222"/>
    </row>
    <row r="1670" spans="46:47" s="221" customFormat="1" x14ac:dyDescent="0.2">
      <c r="AT1670" s="222"/>
      <c r="AU1670" s="222"/>
    </row>
    <row r="1671" spans="46:47" s="221" customFormat="1" x14ac:dyDescent="0.2">
      <c r="AT1671" s="222"/>
      <c r="AU1671" s="222"/>
    </row>
    <row r="1672" spans="46:47" s="221" customFormat="1" x14ac:dyDescent="0.2">
      <c r="AT1672" s="222"/>
      <c r="AU1672" s="222"/>
    </row>
    <row r="1673" spans="46:47" s="221" customFormat="1" x14ac:dyDescent="0.2">
      <c r="AT1673" s="222"/>
      <c r="AU1673" s="222"/>
    </row>
    <row r="1674" spans="46:47" s="221" customFormat="1" x14ac:dyDescent="0.2">
      <c r="AT1674" s="222"/>
      <c r="AU1674" s="222"/>
    </row>
    <row r="1675" spans="46:47" s="221" customFormat="1" x14ac:dyDescent="0.2">
      <c r="AT1675" s="222"/>
      <c r="AU1675" s="222"/>
    </row>
    <row r="1676" spans="46:47" s="221" customFormat="1" x14ac:dyDescent="0.2">
      <c r="AT1676" s="222"/>
      <c r="AU1676" s="222"/>
    </row>
    <row r="1677" spans="46:47" s="221" customFormat="1" x14ac:dyDescent="0.2">
      <c r="AT1677" s="222"/>
      <c r="AU1677" s="222"/>
    </row>
    <row r="1678" spans="46:47" s="221" customFormat="1" x14ac:dyDescent="0.2">
      <c r="AT1678" s="222"/>
      <c r="AU1678" s="222"/>
    </row>
    <row r="1679" spans="46:47" s="221" customFormat="1" x14ac:dyDescent="0.2">
      <c r="AT1679" s="222"/>
      <c r="AU1679" s="222"/>
    </row>
    <row r="1680" spans="46:47" s="221" customFormat="1" x14ac:dyDescent="0.2">
      <c r="AT1680" s="222"/>
      <c r="AU1680" s="222"/>
    </row>
    <row r="1681" spans="46:47" s="221" customFormat="1" x14ac:dyDescent="0.2">
      <c r="AT1681" s="222"/>
      <c r="AU1681" s="222"/>
    </row>
    <row r="1682" spans="46:47" s="221" customFormat="1" x14ac:dyDescent="0.2">
      <c r="AT1682" s="222"/>
      <c r="AU1682" s="222"/>
    </row>
    <row r="1683" spans="46:47" s="221" customFormat="1" x14ac:dyDescent="0.2">
      <c r="AT1683" s="222"/>
      <c r="AU1683" s="222"/>
    </row>
    <row r="1684" spans="46:47" s="221" customFormat="1" x14ac:dyDescent="0.2">
      <c r="AT1684" s="222"/>
      <c r="AU1684" s="222"/>
    </row>
    <row r="1685" spans="46:47" s="221" customFormat="1" x14ac:dyDescent="0.2">
      <c r="AT1685" s="222"/>
      <c r="AU1685" s="222"/>
    </row>
    <row r="1686" spans="46:47" s="221" customFormat="1" x14ac:dyDescent="0.2">
      <c r="AT1686" s="222"/>
      <c r="AU1686" s="222"/>
    </row>
    <row r="1687" spans="46:47" s="221" customFormat="1" x14ac:dyDescent="0.2">
      <c r="AT1687" s="222"/>
      <c r="AU1687" s="222"/>
    </row>
    <row r="1688" spans="46:47" s="221" customFormat="1" x14ac:dyDescent="0.2">
      <c r="AT1688" s="222"/>
      <c r="AU1688" s="222"/>
    </row>
    <row r="1689" spans="46:47" s="221" customFormat="1" x14ac:dyDescent="0.2">
      <c r="AT1689" s="222"/>
      <c r="AU1689" s="222"/>
    </row>
    <row r="1690" spans="46:47" s="221" customFormat="1" x14ac:dyDescent="0.2">
      <c r="AT1690" s="222"/>
      <c r="AU1690" s="222"/>
    </row>
    <row r="1691" spans="46:47" s="221" customFormat="1" x14ac:dyDescent="0.2">
      <c r="AT1691" s="222"/>
      <c r="AU1691" s="222"/>
    </row>
    <row r="1692" spans="46:47" s="221" customFormat="1" x14ac:dyDescent="0.2">
      <c r="AT1692" s="222"/>
      <c r="AU1692" s="222"/>
    </row>
    <row r="1693" spans="46:47" s="221" customFormat="1" x14ac:dyDescent="0.2">
      <c r="AT1693" s="222"/>
      <c r="AU1693" s="222"/>
    </row>
    <row r="1694" spans="46:47" s="221" customFormat="1" x14ac:dyDescent="0.2">
      <c r="AT1694" s="222"/>
      <c r="AU1694" s="222"/>
    </row>
    <row r="1695" spans="46:47" s="221" customFormat="1" x14ac:dyDescent="0.2">
      <c r="AT1695" s="222"/>
      <c r="AU1695" s="222"/>
    </row>
    <row r="1696" spans="46:47" s="221" customFormat="1" x14ac:dyDescent="0.2">
      <c r="AT1696" s="222"/>
      <c r="AU1696" s="222"/>
    </row>
    <row r="1697" spans="46:47" s="221" customFormat="1" x14ac:dyDescent="0.2">
      <c r="AT1697" s="222"/>
      <c r="AU1697" s="222"/>
    </row>
    <row r="1698" spans="46:47" s="221" customFormat="1" x14ac:dyDescent="0.2">
      <c r="AT1698" s="222"/>
      <c r="AU1698" s="222"/>
    </row>
    <row r="1699" spans="46:47" s="221" customFormat="1" x14ac:dyDescent="0.2">
      <c r="AT1699" s="222"/>
      <c r="AU1699" s="222"/>
    </row>
    <row r="1700" spans="46:47" s="221" customFormat="1" x14ac:dyDescent="0.2">
      <c r="AT1700" s="222"/>
      <c r="AU1700" s="222"/>
    </row>
    <row r="1701" spans="46:47" s="221" customFormat="1" x14ac:dyDescent="0.2">
      <c r="AT1701" s="222"/>
      <c r="AU1701" s="222"/>
    </row>
    <row r="1702" spans="46:47" s="221" customFormat="1" x14ac:dyDescent="0.2">
      <c r="AT1702" s="222"/>
      <c r="AU1702" s="222"/>
    </row>
    <row r="1703" spans="46:47" s="221" customFormat="1" x14ac:dyDescent="0.2">
      <c r="AT1703" s="222"/>
      <c r="AU1703" s="222"/>
    </row>
    <row r="1704" spans="46:47" s="221" customFormat="1" x14ac:dyDescent="0.2">
      <c r="AT1704" s="222"/>
      <c r="AU1704" s="222"/>
    </row>
    <row r="1705" spans="46:47" s="221" customFormat="1" x14ac:dyDescent="0.2">
      <c r="AT1705" s="222"/>
      <c r="AU1705" s="222"/>
    </row>
    <row r="1706" spans="46:47" s="221" customFormat="1" x14ac:dyDescent="0.2">
      <c r="AT1706" s="222"/>
      <c r="AU1706" s="222"/>
    </row>
    <row r="1707" spans="46:47" s="221" customFormat="1" x14ac:dyDescent="0.2">
      <c r="AT1707" s="222"/>
      <c r="AU1707" s="222"/>
    </row>
    <row r="1708" spans="46:47" s="221" customFormat="1" x14ac:dyDescent="0.2">
      <c r="AT1708" s="222"/>
      <c r="AU1708" s="222"/>
    </row>
    <row r="1709" spans="46:47" s="221" customFormat="1" x14ac:dyDescent="0.2">
      <c r="AT1709" s="222"/>
      <c r="AU1709" s="222"/>
    </row>
    <row r="1710" spans="46:47" s="221" customFormat="1" x14ac:dyDescent="0.2">
      <c r="AT1710" s="222"/>
      <c r="AU1710" s="222"/>
    </row>
    <row r="1711" spans="46:47" s="221" customFormat="1" x14ac:dyDescent="0.2">
      <c r="AT1711" s="222"/>
      <c r="AU1711" s="222"/>
    </row>
    <row r="1712" spans="46:47" s="221" customFormat="1" x14ac:dyDescent="0.2">
      <c r="AT1712" s="222"/>
      <c r="AU1712" s="222"/>
    </row>
    <row r="1713" spans="46:47" s="221" customFormat="1" x14ac:dyDescent="0.2">
      <c r="AT1713" s="222"/>
      <c r="AU1713" s="222"/>
    </row>
    <row r="1714" spans="46:47" s="221" customFormat="1" x14ac:dyDescent="0.2">
      <c r="AT1714" s="222"/>
      <c r="AU1714" s="222"/>
    </row>
    <row r="1715" spans="46:47" s="221" customFormat="1" x14ac:dyDescent="0.2">
      <c r="AT1715" s="222"/>
      <c r="AU1715" s="222"/>
    </row>
    <row r="1716" spans="46:47" s="221" customFormat="1" x14ac:dyDescent="0.2">
      <c r="AT1716" s="222"/>
      <c r="AU1716" s="222"/>
    </row>
    <row r="1717" spans="46:47" s="221" customFormat="1" x14ac:dyDescent="0.2">
      <c r="AT1717" s="222"/>
      <c r="AU1717" s="222"/>
    </row>
    <row r="1718" spans="46:47" s="221" customFormat="1" x14ac:dyDescent="0.2">
      <c r="AT1718" s="222"/>
      <c r="AU1718" s="222"/>
    </row>
    <row r="1719" spans="46:47" s="221" customFormat="1" x14ac:dyDescent="0.2">
      <c r="AT1719" s="222"/>
      <c r="AU1719" s="222"/>
    </row>
    <row r="1720" spans="46:47" s="221" customFormat="1" x14ac:dyDescent="0.2">
      <c r="AT1720" s="222"/>
      <c r="AU1720" s="222"/>
    </row>
    <row r="1721" spans="46:47" s="221" customFormat="1" x14ac:dyDescent="0.2">
      <c r="AT1721" s="222"/>
      <c r="AU1721" s="222"/>
    </row>
    <row r="1722" spans="46:47" s="221" customFormat="1" x14ac:dyDescent="0.2">
      <c r="AT1722" s="222"/>
      <c r="AU1722" s="222"/>
    </row>
    <row r="1723" spans="46:47" s="221" customFormat="1" x14ac:dyDescent="0.2">
      <c r="AT1723" s="222"/>
      <c r="AU1723" s="222"/>
    </row>
    <row r="1724" spans="46:47" s="221" customFormat="1" x14ac:dyDescent="0.2">
      <c r="AT1724" s="222"/>
      <c r="AU1724" s="222"/>
    </row>
    <row r="1725" spans="46:47" s="221" customFormat="1" x14ac:dyDescent="0.2">
      <c r="AT1725" s="222"/>
      <c r="AU1725" s="222"/>
    </row>
    <row r="1726" spans="46:47" s="221" customFormat="1" x14ac:dyDescent="0.2">
      <c r="AT1726" s="222"/>
      <c r="AU1726" s="222"/>
    </row>
    <row r="1727" spans="46:47" s="221" customFormat="1" x14ac:dyDescent="0.2">
      <c r="AT1727" s="222"/>
      <c r="AU1727" s="222"/>
    </row>
    <row r="1728" spans="46:47" s="221" customFormat="1" x14ac:dyDescent="0.2">
      <c r="AT1728" s="222"/>
      <c r="AU1728" s="222"/>
    </row>
    <row r="1729" spans="46:47" s="221" customFormat="1" x14ac:dyDescent="0.2">
      <c r="AT1729" s="222"/>
      <c r="AU1729" s="222"/>
    </row>
    <row r="1730" spans="46:47" s="221" customFormat="1" x14ac:dyDescent="0.2">
      <c r="AT1730" s="222"/>
      <c r="AU1730" s="222"/>
    </row>
    <row r="1731" spans="46:47" s="221" customFormat="1" x14ac:dyDescent="0.2">
      <c r="AT1731" s="222"/>
      <c r="AU1731" s="222"/>
    </row>
    <row r="1732" spans="46:47" s="221" customFormat="1" x14ac:dyDescent="0.2">
      <c r="AT1732" s="222"/>
      <c r="AU1732" s="222"/>
    </row>
    <row r="1733" spans="46:47" s="221" customFormat="1" x14ac:dyDescent="0.2">
      <c r="AT1733" s="222"/>
      <c r="AU1733" s="222"/>
    </row>
    <row r="1734" spans="46:47" s="221" customFormat="1" x14ac:dyDescent="0.2">
      <c r="AT1734" s="222"/>
      <c r="AU1734" s="222"/>
    </row>
    <row r="1735" spans="46:47" s="221" customFormat="1" x14ac:dyDescent="0.2">
      <c r="AT1735" s="222"/>
      <c r="AU1735" s="222"/>
    </row>
    <row r="1736" spans="46:47" s="221" customFormat="1" x14ac:dyDescent="0.2">
      <c r="AT1736" s="222"/>
      <c r="AU1736" s="222"/>
    </row>
    <row r="1737" spans="46:47" s="221" customFormat="1" x14ac:dyDescent="0.2">
      <c r="AT1737" s="222"/>
      <c r="AU1737" s="222"/>
    </row>
    <row r="1738" spans="46:47" s="221" customFormat="1" x14ac:dyDescent="0.2">
      <c r="AT1738" s="222"/>
      <c r="AU1738" s="222"/>
    </row>
    <row r="1739" spans="46:47" s="221" customFormat="1" x14ac:dyDescent="0.2">
      <c r="AT1739" s="222"/>
      <c r="AU1739" s="222"/>
    </row>
    <row r="1740" spans="46:47" s="221" customFormat="1" x14ac:dyDescent="0.2">
      <c r="AT1740" s="222"/>
      <c r="AU1740" s="222"/>
    </row>
    <row r="1741" spans="46:47" s="221" customFormat="1" x14ac:dyDescent="0.2">
      <c r="AT1741" s="222"/>
      <c r="AU1741" s="222"/>
    </row>
    <row r="1742" spans="46:47" s="221" customFormat="1" x14ac:dyDescent="0.2">
      <c r="AT1742" s="222"/>
      <c r="AU1742" s="222"/>
    </row>
    <row r="1743" spans="46:47" s="221" customFormat="1" x14ac:dyDescent="0.2">
      <c r="AT1743" s="222"/>
      <c r="AU1743" s="222"/>
    </row>
    <row r="1744" spans="46:47" s="221" customFormat="1" x14ac:dyDescent="0.2">
      <c r="AT1744" s="222"/>
      <c r="AU1744" s="222"/>
    </row>
    <row r="1745" spans="46:47" s="221" customFormat="1" x14ac:dyDescent="0.2">
      <c r="AT1745" s="222"/>
      <c r="AU1745" s="222"/>
    </row>
    <row r="1746" spans="46:47" s="221" customFormat="1" x14ac:dyDescent="0.2">
      <c r="AT1746" s="222"/>
      <c r="AU1746" s="222"/>
    </row>
    <row r="1747" spans="46:47" s="221" customFormat="1" x14ac:dyDescent="0.2">
      <c r="AT1747" s="222"/>
      <c r="AU1747" s="222"/>
    </row>
    <row r="1748" spans="46:47" s="221" customFormat="1" x14ac:dyDescent="0.2">
      <c r="AT1748" s="222"/>
      <c r="AU1748" s="222"/>
    </row>
    <row r="1749" spans="46:47" s="221" customFormat="1" x14ac:dyDescent="0.2">
      <c r="AT1749" s="222"/>
      <c r="AU1749" s="222"/>
    </row>
    <row r="1750" spans="46:47" s="221" customFormat="1" x14ac:dyDescent="0.2">
      <c r="AT1750" s="222"/>
      <c r="AU1750" s="222"/>
    </row>
    <row r="1751" spans="46:47" s="221" customFormat="1" x14ac:dyDescent="0.2">
      <c r="AT1751" s="222"/>
      <c r="AU1751" s="222"/>
    </row>
    <row r="1752" spans="46:47" s="221" customFormat="1" x14ac:dyDescent="0.2">
      <c r="AT1752" s="222"/>
      <c r="AU1752" s="222"/>
    </row>
    <row r="1753" spans="46:47" s="221" customFormat="1" x14ac:dyDescent="0.2">
      <c r="AT1753" s="222"/>
      <c r="AU1753" s="222"/>
    </row>
    <row r="1754" spans="46:47" s="221" customFormat="1" x14ac:dyDescent="0.2">
      <c r="AT1754" s="222"/>
      <c r="AU1754" s="222"/>
    </row>
    <row r="1755" spans="46:47" s="221" customFormat="1" x14ac:dyDescent="0.2">
      <c r="AT1755" s="222"/>
      <c r="AU1755" s="222"/>
    </row>
    <row r="1756" spans="46:47" s="221" customFormat="1" x14ac:dyDescent="0.2">
      <c r="AT1756" s="222"/>
      <c r="AU1756" s="222"/>
    </row>
    <row r="1757" spans="46:47" s="221" customFormat="1" x14ac:dyDescent="0.2">
      <c r="AT1757" s="222"/>
      <c r="AU1757" s="222"/>
    </row>
    <row r="1758" spans="46:47" s="221" customFormat="1" x14ac:dyDescent="0.2">
      <c r="AT1758" s="222"/>
      <c r="AU1758" s="222"/>
    </row>
    <row r="1759" spans="46:47" s="221" customFormat="1" x14ac:dyDescent="0.2">
      <c r="AT1759" s="222"/>
      <c r="AU1759" s="222"/>
    </row>
    <row r="1760" spans="46:47" s="221" customFormat="1" x14ac:dyDescent="0.2">
      <c r="AT1760" s="222"/>
      <c r="AU1760" s="222"/>
    </row>
    <row r="1761" spans="46:47" s="221" customFormat="1" x14ac:dyDescent="0.2">
      <c r="AT1761" s="222"/>
      <c r="AU1761" s="222"/>
    </row>
    <row r="1762" spans="46:47" s="221" customFormat="1" x14ac:dyDescent="0.2">
      <c r="AT1762" s="222"/>
      <c r="AU1762" s="222"/>
    </row>
    <row r="1763" spans="46:47" s="221" customFormat="1" x14ac:dyDescent="0.2">
      <c r="AT1763" s="222"/>
      <c r="AU1763" s="222"/>
    </row>
    <row r="1764" spans="46:47" s="221" customFormat="1" x14ac:dyDescent="0.2">
      <c r="AT1764" s="222"/>
      <c r="AU1764" s="222"/>
    </row>
    <row r="1765" spans="46:47" s="221" customFormat="1" x14ac:dyDescent="0.2">
      <c r="AT1765" s="222"/>
      <c r="AU1765" s="222"/>
    </row>
    <row r="1766" spans="46:47" s="221" customFormat="1" x14ac:dyDescent="0.2">
      <c r="AT1766" s="222"/>
      <c r="AU1766" s="222"/>
    </row>
    <row r="1767" spans="46:47" s="221" customFormat="1" x14ac:dyDescent="0.2">
      <c r="AT1767" s="222"/>
      <c r="AU1767" s="222"/>
    </row>
    <row r="1768" spans="46:47" s="221" customFormat="1" x14ac:dyDescent="0.2">
      <c r="AT1768" s="222"/>
      <c r="AU1768" s="222"/>
    </row>
    <row r="1769" spans="46:47" s="221" customFormat="1" x14ac:dyDescent="0.2">
      <c r="AT1769" s="222"/>
      <c r="AU1769" s="222"/>
    </row>
    <row r="1770" spans="46:47" s="221" customFormat="1" x14ac:dyDescent="0.2">
      <c r="AT1770" s="222"/>
      <c r="AU1770" s="222"/>
    </row>
    <row r="1771" spans="46:47" s="221" customFormat="1" x14ac:dyDescent="0.2">
      <c r="AT1771" s="222"/>
      <c r="AU1771" s="222"/>
    </row>
    <row r="1772" spans="46:47" s="221" customFormat="1" x14ac:dyDescent="0.2">
      <c r="AT1772" s="222"/>
      <c r="AU1772" s="222"/>
    </row>
    <row r="1773" spans="46:47" s="221" customFormat="1" x14ac:dyDescent="0.2">
      <c r="AT1773" s="222"/>
      <c r="AU1773" s="222"/>
    </row>
    <row r="1774" spans="46:47" s="221" customFormat="1" x14ac:dyDescent="0.2">
      <c r="AT1774" s="222"/>
      <c r="AU1774" s="222"/>
    </row>
    <row r="1775" spans="46:47" s="221" customFormat="1" x14ac:dyDescent="0.2">
      <c r="AT1775" s="222"/>
      <c r="AU1775" s="222"/>
    </row>
    <row r="1776" spans="46:47" s="221" customFormat="1" x14ac:dyDescent="0.2">
      <c r="AT1776" s="222"/>
      <c r="AU1776" s="222"/>
    </row>
    <row r="1777" spans="46:47" s="221" customFormat="1" x14ac:dyDescent="0.2">
      <c r="AT1777" s="222"/>
      <c r="AU1777" s="222"/>
    </row>
    <row r="1778" spans="46:47" s="221" customFormat="1" x14ac:dyDescent="0.2">
      <c r="AT1778" s="222"/>
      <c r="AU1778" s="222"/>
    </row>
    <row r="1779" spans="46:47" s="221" customFormat="1" x14ac:dyDescent="0.2">
      <c r="AT1779" s="222"/>
      <c r="AU1779" s="222"/>
    </row>
    <row r="1780" spans="46:47" s="221" customFormat="1" x14ac:dyDescent="0.2">
      <c r="AT1780" s="222"/>
      <c r="AU1780" s="222"/>
    </row>
    <row r="1781" spans="46:47" s="221" customFormat="1" x14ac:dyDescent="0.2">
      <c r="AT1781" s="222"/>
      <c r="AU1781" s="222"/>
    </row>
    <row r="1782" spans="46:47" s="221" customFormat="1" x14ac:dyDescent="0.2">
      <c r="AT1782" s="222"/>
      <c r="AU1782" s="222"/>
    </row>
    <row r="1783" spans="46:47" s="221" customFormat="1" x14ac:dyDescent="0.2">
      <c r="AT1783" s="222"/>
      <c r="AU1783" s="222"/>
    </row>
    <row r="1784" spans="46:47" s="221" customFormat="1" x14ac:dyDescent="0.2">
      <c r="AT1784" s="222"/>
      <c r="AU1784" s="222"/>
    </row>
    <row r="1785" spans="46:47" s="221" customFormat="1" x14ac:dyDescent="0.2">
      <c r="AT1785" s="222"/>
      <c r="AU1785" s="222"/>
    </row>
    <row r="1786" spans="46:47" s="221" customFormat="1" x14ac:dyDescent="0.2">
      <c r="AT1786" s="222"/>
      <c r="AU1786" s="222"/>
    </row>
    <row r="1787" spans="46:47" s="221" customFormat="1" x14ac:dyDescent="0.2">
      <c r="AT1787" s="222"/>
      <c r="AU1787" s="222"/>
    </row>
    <row r="1788" spans="46:47" s="221" customFormat="1" x14ac:dyDescent="0.2">
      <c r="AT1788" s="222"/>
      <c r="AU1788" s="222"/>
    </row>
    <row r="1789" spans="46:47" s="221" customFormat="1" x14ac:dyDescent="0.2">
      <c r="AT1789" s="222"/>
      <c r="AU1789" s="222"/>
    </row>
    <row r="1790" spans="46:47" s="221" customFormat="1" x14ac:dyDescent="0.2">
      <c r="AT1790" s="222"/>
      <c r="AU1790" s="222"/>
    </row>
    <row r="1791" spans="46:47" s="221" customFormat="1" x14ac:dyDescent="0.2">
      <c r="AT1791" s="222"/>
      <c r="AU1791" s="222"/>
    </row>
    <row r="1792" spans="46:47" s="221" customFormat="1" x14ac:dyDescent="0.2">
      <c r="AT1792" s="222"/>
      <c r="AU1792" s="222"/>
    </row>
    <row r="1793" spans="46:47" s="221" customFormat="1" x14ac:dyDescent="0.2">
      <c r="AT1793" s="222"/>
      <c r="AU1793" s="222"/>
    </row>
    <row r="1794" spans="46:47" s="221" customFormat="1" x14ac:dyDescent="0.2">
      <c r="AT1794" s="222"/>
      <c r="AU1794" s="222"/>
    </row>
    <row r="1795" spans="46:47" s="221" customFormat="1" x14ac:dyDescent="0.2">
      <c r="AT1795" s="222"/>
      <c r="AU1795" s="222"/>
    </row>
    <row r="1796" spans="46:47" s="221" customFormat="1" x14ac:dyDescent="0.2">
      <c r="AT1796" s="222"/>
      <c r="AU1796" s="222"/>
    </row>
    <row r="1797" spans="46:47" s="221" customFormat="1" x14ac:dyDescent="0.2">
      <c r="AT1797" s="222"/>
      <c r="AU1797" s="222"/>
    </row>
    <row r="1798" spans="46:47" s="221" customFormat="1" x14ac:dyDescent="0.2">
      <c r="AT1798" s="222"/>
      <c r="AU1798" s="222"/>
    </row>
    <row r="1799" spans="46:47" s="221" customFormat="1" x14ac:dyDescent="0.2">
      <c r="AT1799" s="222"/>
      <c r="AU1799" s="222"/>
    </row>
    <row r="1800" spans="46:47" s="221" customFormat="1" x14ac:dyDescent="0.2">
      <c r="AT1800" s="222"/>
      <c r="AU1800" s="222"/>
    </row>
    <row r="1801" spans="46:47" s="221" customFormat="1" x14ac:dyDescent="0.2">
      <c r="AT1801" s="222"/>
      <c r="AU1801" s="222"/>
    </row>
    <row r="1802" spans="46:47" s="221" customFormat="1" x14ac:dyDescent="0.2">
      <c r="AT1802" s="222"/>
      <c r="AU1802" s="222"/>
    </row>
    <row r="1803" spans="46:47" s="221" customFormat="1" x14ac:dyDescent="0.2">
      <c r="AT1803" s="222"/>
      <c r="AU1803" s="222"/>
    </row>
    <row r="1804" spans="46:47" s="221" customFormat="1" x14ac:dyDescent="0.2">
      <c r="AT1804" s="222"/>
      <c r="AU1804" s="222"/>
    </row>
    <row r="1805" spans="46:47" s="221" customFormat="1" x14ac:dyDescent="0.2">
      <c r="AT1805" s="222"/>
      <c r="AU1805" s="222"/>
    </row>
    <row r="1806" spans="46:47" s="221" customFormat="1" x14ac:dyDescent="0.2">
      <c r="AT1806" s="222"/>
      <c r="AU1806" s="222"/>
    </row>
    <row r="1807" spans="46:47" s="221" customFormat="1" x14ac:dyDescent="0.2">
      <c r="AT1807" s="222"/>
      <c r="AU1807" s="222"/>
    </row>
    <row r="1808" spans="46:47" s="221" customFormat="1" x14ac:dyDescent="0.2">
      <c r="AT1808" s="222"/>
      <c r="AU1808" s="222"/>
    </row>
    <row r="1809" spans="46:47" s="221" customFormat="1" x14ac:dyDescent="0.2">
      <c r="AT1809" s="222"/>
      <c r="AU1809" s="222"/>
    </row>
    <row r="1810" spans="46:47" s="221" customFormat="1" x14ac:dyDescent="0.2">
      <c r="AT1810" s="222"/>
      <c r="AU1810" s="222"/>
    </row>
    <row r="1811" spans="46:47" s="221" customFormat="1" x14ac:dyDescent="0.2">
      <c r="AT1811" s="222"/>
      <c r="AU1811" s="222"/>
    </row>
    <row r="1812" spans="46:47" s="221" customFormat="1" x14ac:dyDescent="0.2">
      <c r="AT1812" s="222"/>
      <c r="AU1812" s="222"/>
    </row>
    <row r="1813" spans="46:47" s="221" customFormat="1" x14ac:dyDescent="0.2">
      <c r="AT1813" s="222"/>
      <c r="AU1813" s="222"/>
    </row>
    <row r="1814" spans="46:47" s="221" customFormat="1" x14ac:dyDescent="0.2">
      <c r="AT1814" s="222"/>
      <c r="AU1814" s="222"/>
    </row>
    <row r="1815" spans="46:47" s="221" customFormat="1" x14ac:dyDescent="0.2">
      <c r="AT1815" s="222"/>
      <c r="AU1815" s="222"/>
    </row>
    <row r="1816" spans="46:47" s="221" customFormat="1" x14ac:dyDescent="0.2">
      <c r="AT1816" s="222"/>
      <c r="AU1816" s="222"/>
    </row>
    <row r="1817" spans="46:47" s="221" customFormat="1" x14ac:dyDescent="0.2">
      <c r="AT1817" s="222"/>
      <c r="AU1817" s="222"/>
    </row>
    <row r="1818" spans="46:47" s="221" customFormat="1" x14ac:dyDescent="0.2">
      <c r="AT1818" s="222"/>
      <c r="AU1818" s="222"/>
    </row>
    <row r="1819" spans="46:47" s="221" customFormat="1" x14ac:dyDescent="0.2">
      <c r="AT1819" s="222"/>
      <c r="AU1819" s="222"/>
    </row>
    <row r="1820" spans="46:47" s="221" customFormat="1" x14ac:dyDescent="0.2">
      <c r="AT1820" s="222"/>
      <c r="AU1820" s="222"/>
    </row>
    <row r="1821" spans="46:47" s="221" customFormat="1" x14ac:dyDescent="0.2">
      <c r="AT1821" s="222"/>
      <c r="AU1821" s="222"/>
    </row>
    <row r="1822" spans="46:47" s="221" customFormat="1" x14ac:dyDescent="0.2">
      <c r="AT1822" s="222"/>
      <c r="AU1822" s="222"/>
    </row>
    <row r="1823" spans="46:47" s="221" customFormat="1" x14ac:dyDescent="0.2">
      <c r="AT1823" s="222"/>
      <c r="AU1823" s="222"/>
    </row>
    <row r="1824" spans="46:47" s="221" customFormat="1" x14ac:dyDescent="0.2">
      <c r="AT1824" s="222"/>
      <c r="AU1824" s="222"/>
    </row>
    <row r="1825" spans="46:47" s="221" customFormat="1" x14ac:dyDescent="0.2">
      <c r="AT1825" s="222"/>
      <c r="AU1825" s="222"/>
    </row>
    <row r="1826" spans="46:47" s="221" customFormat="1" x14ac:dyDescent="0.2">
      <c r="AT1826" s="222"/>
      <c r="AU1826" s="222"/>
    </row>
    <row r="1827" spans="46:47" s="221" customFormat="1" x14ac:dyDescent="0.2">
      <c r="AT1827" s="222"/>
      <c r="AU1827" s="222"/>
    </row>
    <row r="1828" spans="46:47" s="221" customFormat="1" x14ac:dyDescent="0.2">
      <c r="AT1828" s="222"/>
      <c r="AU1828" s="222"/>
    </row>
    <row r="1829" spans="46:47" s="221" customFormat="1" x14ac:dyDescent="0.2">
      <c r="AT1829" s="222"/>
      <c r="AU1829" s="222"/>
    </row>
    <row r="1830" spans="46:47" s="221" customFormat="1" x14ac:dyDescent="0.2">
      <c r="AT1830" s="222"/>
      <c r="AU1830" s="222"/>
    </row>
    <row r="1831" spans="46:47" s="221" customFormat="1" x14ac:dyDescent="0.2">
      <c r="AT1831" s="222"/>
      <c r="AU1831" s="222"/>
    </row>
    <row r="1832" spans="46:47" s="221" customFormat="1" x14ac:dyDescent="0.2">
      <c r="AT1832" s="222"/>
      <c r="AU1832" s="222"/>
    </row>
    <row r="1833" spans="46:47" s="221" customFormat="1" x14ac:dyDescent="0.2">
      <c r="AT1833" s="222"/>
      <c r="AU1833" s="222"/>
    </row>
    <row r="1834" spans="46:47" s="221" customFormat="1" x14ac:dyDescent="0.2">
      <c r="AT1834" s="222"/>
      <c r="AU1834" s="222"/>
    </row>
    <row r="1835" spans="46:47" s="221" customFormat="1" x14ac:dyDescent="0.2">
      <c r="AT1835" s="222"/>
      <c r="AU1835" s="222"/>
    </row>
    <row r="1836" spans="46:47" s="221" customFormat="1" x14ac:dyDescent="0.2">
      <c r="AT1836" s="222"/>
      <c r="AU1836" s="222"/>
    </row>
    <row r="1837" spans="46:47" s="221" customFormat="1" x14ac:dyDescent="0.2">
      <c r="AT1837" s="222"/>
      <c r="AU1837" s="222"/>
    </row>
    <row r="1838" spans="46:47" s="221" customFormat="1" x14ac:dyDescent="0.2">
      <c r="AT1838" s="222"/>
      <c r="AU1838" s="222"/>
    </row>
    <row r="1839" spans="46:47" s="221" customFormat="1" x14ac:dyDescent="0.2">
      <c r="AT1839" s="222"/>
      <c r="AU1839" s="222"/>
    </row>
    <row r="1840" spans="46:47" s="221" customFormat="1" x14ac:dyDescent="0.2">
      <c r="AT1840" s="222"/>
      <c r="AU1840" s="222"/>
    </row>
    <row r="1841" spans="46:47" s="221" customFormat="1" x14ac:dyDescent="0.2">
      <c r="AT1841" s="222"/>
      <c r="AU1841" s="222"/>
    </row>
    <row r="1842" spans="46:47" s="221" customFormat="1" x14ac:dyDescent="0.2">
      <c r="AT1842" s="222"/>
      <c r="AU1842" s="222"/>
    </row>
    <row r="1843" spans="46:47" s="221" customFormat="1" x14ac:dyDescent="0.2">
      <c r="AT1843" s="222"/>
      <c r="AU1843" s="222"/>
    </row>
    <row r="1844" spans="46:47" s="221" customFormat="1" x14ac:dyDescent="0.2">
      <c r="AT1844" s="222"/>
      <c r="AU1844" s="222"/>
    </row>
    <row r="1845" spans="46:47" s="221" customFormat="1" x14ac:dyDescent="0.2">
      <c r="AT1845" s="222"/>
      <c r="AU1845" s="222"/>
    </row>
    <row r="1846" spans="46:47" s="221" customFormat="1" x14ac:dyDescent="0.2">
      <c r="AT1846" s="222"/>
      <c r="AU1846" s="222"/>
    </row>
    <row r="1847" spans="46:47" s="221" customFormat="1" x14ac:dyDescent="0.2">
      <c r="AT1847" s="222"/>
      <c r="AU1847" s="222"/>
    </row>
    <row r="1848" spans="46:47" s="221" customFormat="1" x14ac:dyDescent="0.2">
      <c r="AT1848" s="222"/>
      <c r="AU1848" s="222"/>
    </row>
    <row r="1849" spans="46:47" s="221" customFormat="1" x14ac:dyDescent="0.2">
      <c r="AT1849" s="222"/>
      <c r="AU1849" s="222"/>
    </row>
    <row r="1850" spans="46:47" s="221" customFormat="1" x14ac:dyDescent="0.2">
      <c r="AT1850" s="222"/>
      <c r="AU1850" s="222"/>
    </row>
    <row r="1851" spans="46:47" s="221" customFormat="1" x14ac:dyDescent="0.2">
      <c r="AT1851" s="222"/>
      <c r="AU1851" s="222"/>
    </row>
    <row r="1852" spans="46:47" s="221" customFormat="1" x14ac:dyDescent="0.2">
      <c r="AT1852" s="222"/>
      <c r="AU1852" s="222"/>
    </row>
    <row r="1853" spans="46:47" s="221" customFormat="1" x14ac:dyDescent="0.2">
      <c r="AT1853" s="222"/>
      <c r="AU1853" s="222"/>
    </row>
    <row r="1854" spans="46:47" s="221" customFormat="1" x14ac:dyDescent="0.2">
      <c r="AT1854" s="222"/>
      <c r="AU1854" s="222"/>
    </row>
    <row r="1855" spans="46:47" s="221" customFormat="1" x14ac:dyDescent="0.2">
      <c r="AT1855" s="222"/>
      <c r="AU1855" s="222"/>
    </row>
    <row r="1856" spans="46:47" s="221" customFormat="1" x14ac:dyDescent="0.2">
      <c r="AT1856" s="222"/>
      <c r="AU1856" s="222"/>
    </row>
    <row r="1857" spans="46:47" s="221" customFormat="1" x14ac:dyDescent="0.2">
      <c r="AT1857" s="222"/>
      <c r="AU1857" s="222"/>
    </row>
    <row r="1858" spans="46:47" s="221" customFormat="1" x14ac:dyDescent="0.2">
      <c r="AT1858" s="222"/>
      <c r="AU1858" s="222"/>
    </row>
    <row r="1859" spans="46:47" s="221" customFormat="1" x14ac:dyDescent="0.2">
      <c r="AT1859" s="222"/>
      <c r="AU1859" s="222"/>
    </row>
    <row r="1860" spans="46:47" s="221" customFormat="1" x14ac:dyDescent="0.2">
      <c r="AT1860" s="222"/>
      <c r="AU1860" s="222"/>
    </row>
    <row r="1861" spans="46:47" s="221" customFormat="1" x14ac:dyDescent="0.2">
      <c r="AT1861" s="222"/>
      <c r="AU1861" s="222"/>
    </row>
    <row r="1862" spans="46:47" s="221" customFormat="1" x14ac:dyDescent="0.2">
      <c r="AT1862" s="222"/>
      <c r="AU1862" s="222"/>
    </row>
    <row r="1863" spans="46:47" s="221" customFormat="1" x14ac:dyDescent="0.2">
      <c r="AT1863" s="222"/>
      <c r="AU1863" s="222"/>
    </row>
    <row r="1864" spans="46:47" s="221" customFormat="1" x14ac:dyDescent="0.2">
      <c r="AT1864" s="222"/>
      <c r="AU1864" s="222"/>
    </row>
    <row r="1865" spans="46:47" s="221" customFormat="1" x14ac:dyDescent="0.2">
      <c r="AT1865" s="222"/>
      <c r="AU1865" s="222"/>
    </row>
    <row r="1866" spans="46:47" s="221" customFormat="1" x14ac:dyDescent="0.2">
      <c r="AT1866" s="222"/>
      <c r="AU1866" s="222"/>
    </row>
    <row r="1867" spans="46:47" s="221" customFormat="1" x14ac:dyDescent="0.2">
      <c r="AT1867" s="222"/>
      <c r="AU1867" s="222"/>
    </row>
    <row r="1868" spans="46:47" s="221" customFormat="1" x14ac:dyDescent="0.2">
      <c r="AT1868" s="222"/>
      <c r="AU1868" s="222"/>
    </row>
    <row r="1869" spans="46:47" s="221" customFormat="1" x14ac:dyDescent="0.2">
      <c r="AT1869" s="222"/>
      <c r="AU1869" s="222"/>
    </row>
    <row r="1870" spans="46:47" s="221" customFormat="1" x14ac:dyDescent="0.2">
      <c r="AT1870" s="222"/>
      <c r="AU1870" s="222"/>
    </row>
    <row r="1871" spans="46:47" s="221" customFormat="1" x14ac:dyDescent="0.2">
      <c r="AT1871" s="222"/>
      <c r="AU1871" s="222"/>
    </row>
    <row r="1872" spans="46:47" s="221" customFormat="1" x14ac:dyDescent="0.2">
      <c r="AT1872" s="222"/>
      <c r="AU1872" s="222"/>
    </row>
    <row r="1873" spans="46:47" s="221" customFormat="1" x14ac:dyDescent="0.2">
      <c r="AT1873" s="222"/>
      <c r="AU1873" s="222"/>
    </row>
    <row r="1874" spans="46:47" s="221" customFormat="1" x14ac:dyDescent="0.2">
      <c r="AT1874" s="222"/>
      <c r="AU1874" s="222"/>
    </row>
    <row r="1875" spans="46:47" s="221" customFormat="1" x14ac:dyDescent="0.2">
      <c r="AT1875" s="222"/>
      <c r="AU1875" s="222"/>
    </row>
    <row r="1876" spans="46:47" s="221" customFormat="1" x14ac:dyDescent="0.2">
      <c r="AT1876" s="222"/>
      <c r="AU1876" s="222"/>
    </row>
    <row r="1877" spans="46:47" s="221" customFormat="1" x14ac:dyDescent="0.2">
      <c r="AT1877" s="222"/>
      <c r="AU1877" s="222"/>
    </row>
    <row r="1878" spans="46:47" s="221" customFormat="1" x14ac:dyDescent="0.2">
      <c r="AT1878" s="222"/>
      <c r="AU1878" s="222"/>
    </row>
    <row r="1879" spans="46:47" s="221" customFormat="1" x14ac:dyDescent="0.2">
      <c r="AT1879" s="222"/>
      <c r="AU1879" s="222"/>
    </row>
    <row r="1880" spans="46:47" s="221" customFormat="1" x14ac:dyDescent="0.2">
      <c r="AT1880" s="222"/>
      <c r="AU1880" s="222"/>
    </row>
    <row r="1881" spans="46:47" s="221" customFormat="1" x14ac:dyDescent="0.2">
      <c r="AT1881" s="222"/>
      <c r="AU1881" s="222"/>
    </row>
    <row r="1882" spans="46:47" s="221" customFormat="1" x14ac:dyDescent="0.2">
      <c r="AT1882" s="222"/>
      <c r="AU1882" s="222"/>
    </row>
    <row r="1883" spans="46:47" s="221" customFormat="1" x14ac:dyDescent="0.2">
      <c r="AT1883" s="222"/>
      <c r="AU1883" s="222"/>
    </row>
    <row r="1884" spans="46:47" s="221" customFormat="1" x14ac:dyDescent="0.2">
      <c r="AT1884" s="222"/>
      <c r="AU1884" s="222"/>
    </row>
    <row r="1885" spans="46:47" s="221" customFormat="1" x14ac:dyDescent="0.2">
      <c r="AT1885" s="222"/>
      <c r="AU1885" s="222"/>
    </row>
    <row r="1886" spans="46:47" s="221" customFormat="1" x14ac:dyDescent="0.2">
      <c r="AT1886" s="222"/>
      <c r="AU1886" s="222"/>
    </row>
    <row r="1887" spans="46:47" s="221" customFormat="1" x14ac:dyDescent="0.2">
      <c r="AT1887" s="222"/>
      <c r="AU1887" s="222"/>
    </row>
    <row r="1888" spans="46:47" s="221" customFormat="1" x14ac:dyDescent="0.2">
      <c r="AT1888" s="222"/>
      <c r="AU1888" s="222"/>
    </row>
    <row r="1889" spans="46:47" s="221" customFormat="1" x14ac:dyDescent="0.2">
      <c r="AT1889" s="222"/>
      <c r="AU1889" s="222"/>
    </row>
    <row r="1890" spans="46:47" s="221" customFormat="1" x14ac:dyDescent="0.2">
      <c r="AT1890" s="222"/>
      <c r="AU1890" s="222"/>
    </row>
    <row r="1891" spans="46:47" s="221" customFormat="1" x14ac:dyDescent="0.2">
      <c r="AT1891" s="222"/>
      <c r="AU1891" s="222"/>
    </row>
    <row r="1892" spans="46:47" s="221" customFormat="1" x14ac:dyDescent="0.2">
      <c r="AT1892" s="222"/>
      <c r="AU1892" s="222"/>
    </row>
    <row r="1893" spans="46:47" s="221" customFormat="1" x14ac:dyDescent="0.2">
      <c r="AT1893" s="222"/>
      <c r="AU1893" s="222"/>
    </row>
    <row r="1894" spans="46:47" s="221" customFormat="1" x14ac:dyDescent="0.2">
      <c r="AT1894" s="222"/>
      <c r="AU1894" s="222"/>
    </row>
    <row r="1895" spans="46:47" s="221" customFormat="1" x14ac:dyDescent="0.2">
      <c r="AT1895" s="222"/>
      <c r="AU1895" s="222"/>
    </row>
    <row r="1896" spans="46:47" s="221" customFormat="1" x14ac:dyDescent="0.2">
      <c r="AT1896" s="222"/>
      <c r="AU1896" s="222"/>
    </row>
    <row r="1897" spans="46:47" s="221" customFormat="1" x14ac:dyDescent="0.2">
      <c r="AT1897" s="222"/>
      <c r="AU1897" s="222"/>
    </row>
    <row r="1898" spans="46:47" s="221" customFormat="1" x14ac:dyDescent="0.2">
      <c r="AT1898" s="222"/>
      <c r="AU1898" s="222"/>
    </row>
    <row r="1899" spans="46:47" s="221" customFormat="1" x14ac:dyDescent="0.2">
      <c r="AT1899" s="222"/>
      <c r="AU1899" s="222"/>
    </row>
    <row r="1900" spans="46:47" s="221" customFormat="1" x14ac:dyDescent="0.2">
      <c r="AT1900" s="222"/>
      <c r="AU1900" s="222"/>
    </row>
    <row r="1901" spans="46:47" s="221" customFormat="1" x14ac:dyDescent="0.2">
      <c r="AT1901" s="222"/>
      <c r="AU1901" s="222"/>
    </row>
    <row r="1902" spans="46:47" s="221" customFormat="1" x14ac:dyDescent="0.2">
      <c r="AT1902" s="222"/>
      <c r="AU1902" s="222"/>
    </row>
    <row r="1903" spans="46:47" s="221" customFormat="1" x14ac:dyDescent="0.2">
      <c r="AT1903" s="222"/>
      <c r="AU1903" s="222"/>
    </row>
    <row r="1904" spans="46:47" s="221" customFormat="1" x14ac:dyDescent="0.2">
      <c r="AT1904" s="222"/>
      <c r="AU1904" s="222"/>
    </row>
    <row r="1905" spans="46:47" s="221" customFormat="1" x14ac:dyDescent="0.2">
      <c r="AT1905" s="222"/>
      <c r="AU1905" s="222"/>
    </row>
    <row r="1906" spans="46:47" s="221" customFormat="1" x14ac:dyDescent="0.2">
      <c r="AT1906" s="222"/>
      <c r="AU1906" s="222"/>
    </row>
    <row r="1907" spans="46:47" s="221" customFormat="1" x14ac:dyDescent="0.2">
      <c r="AT1907" s="222"/>
      <c r="AU1907" s="222"/>
    </row>
    <row r="1908" spans="46:47" s="221" customFormat="1" x14ac:dyDescent="0.2">
      <c r="AT1908" s="222"/>
      <c r="AU1908" s="222"/>
    </row>
    <row r="1909" spans="46:47" s="221" customFormat="1" x14ac:dyDescent="0.2">
      <c r="AT1909" s="222"/>
      <c r="AU1909" s="222"/>
    </row>
    <row r="1910" spans="46:47" s="221" customFormat="1" x14ac:dyDescent="0.2">
      <c r="AT1910" s="222"/>
      <c r="AU1910" s="222"/>
    </row>
    <row r="1911" spans="46:47" s="221" customFormat="1" x14ac:dyDescent="0.2">
      <c r="AT1911" s="222"/>
      <c r="AU1911" s="222"/>
    </row>
    <row r="1912" spans="46:47" s="221" customFormat="1" x14ac:dyDescent="0.2">
      <c r="AT1912" s="222"/>
      <c r="AU1912" s="222"/>
    </row>
    <row r="1913" spans="46:47" s="221" customFormat="1" x14ac:dyDescent="0.2">
      <c r="AT1913" s="222"/>
      <c r="AU1913" s="222"/>
    </row>
    <row r="1914" spans="46:47" s="221" customFormat="1" x14ac:dyDescent="0.2">
      <c r="AT1914" s="222"/>
      <c r="AU1914" s="222"/>
    </row>
    <row r="1915" spans="46:47" s="221" customFormat="1" x14ac:dyDescent="0.2">
      <c r="AT1915" s="222"/>
      <c r="AU1915" s="222"/>
    </row>
    <row r="1916" spans="46:47" s="221" customFormat="1" x14ac:dyDescent="0.2">
      <c r="AT1916" s="222"/>
      <c r="AU1916" s="222"/>
    </row>
    <row r="1917" spans="46:47" s="221" customFormat="1" x14ac:dyDescent="0.2">
      <c r="AT1917" s="222"/>
      <c r="AU1917" s="222"/>
    </row>
    <row r="1918" spans="46:47" s="221" customFormat="1" x14ac:dyDescent="0.2">
      <c r="AT1918" s="222"/>
      <c r="AU1918" s="222"/>
    </row>
    <row r="1919" spans="46:47" s="221" customFormat="1" x14ac:dyDescent="0.2">
      <c r="AT1919" s="222"/>
      <c r="AU1919" s="222"/>
    </row>
    <row r="1920" spans="46:47" s="221" customFormat="1" x14ac:dyDescent="0.2">
      <c r="AT1920" s="222"/>
      <c r="AU1920" s="222"/>
    </row>
    <row r="1921" spans="46:47" s="221" customFormat="1" x14ac:dyDescent="0.2">
      <c r="AT1921" s="222"/>
      <c r="AU1921" s="222"/>
    </row>
    <row r="1922" spans="46:47" s="221" customFormat="1" x14ac:dyDescent="0.2">
      <c r="AT1922" s="222"/>
      <c r="AU1922" s="222"/>
    </row>
    <row r="1923" spans="46:47" s="221" customFormat="1" x14ac:dyDescent="0.2">
      <c r="AT1923" s="222"/>
      <c r="AU1923" s="222"/>
    </row>
    <row r="1924" spans="46:47" s="221" customFormat="1" x14ac:dyDescent="0.2">
      <c r="AT1924" s="222"/>
      <c r="AU1924" s="222"/>
    </row>
    <row r="1925" spans="46:47" s="221" customFormat="1" x14ac:dyDescent="0.2">
      <c r="AT1925" s="222"/>
      <c r="AU1925" s="222"/>
    </row>
    <row r="1926" spans="46:47" s="221" customFormat="1" x14ac:dyDescent="0.2">
      <c r="AT1926" s="222"/>
      <c r="AU1926" s="222"/>
    </row>
    <row r="1927" spans="46:47" s="221" customFormat="1" x14ac:dyDescent="0.2">
      <c r="AT1927" s="222"/>
      <c r="AU1927" s="222"/>
    </row>
    <row r="1928" spans="46:47" s="221" customFormat="1" x14ac:dyDescent="0.2">
      <c r="AT1928" s="222"/>
      <c r="AU1928" s="222"/>
    </row>
    <row r="1929" spans="46:47" s="221" customFormat="1" x14ac:dyDescent="0.2">
      <c r="AT1929" s="222"/>
      <c r="AU1929" s="222"/>
    </row>
    <row r="1930" spans="46:47" s="221" customFormat="1" x14ac:dyDescent="0.2">
      <c r="AT1930" s="222"/>
      <c r="AU1930" s="222"/>
    </row>
    <row r="1931" spans="46:47" s="221" customFormat="1" x14ac:dyDescent="0.2">
      <c r="AT1931" s="222"/>
      <c r="AU1931" s="222"/>
    </row>
    <row r="1932" spans="46:47" s="221" customFormat="1" x14ac:dyDescent="0.2">
      <c r="AT1932" s="222"/>
      <c r="AU1932" s="222"/>
    </row>
    <row r="1933" spans="46:47" s="221" customFormat="1" x14ac:dyDescent="0.2">
      <c r="AT1933" s="222"/>
      <c r="AU1933" s="222"/>
    </row>
    <row r="1934" spans="46:47" s="221" customFormat="1" x14ac:dyDescent="0.2">
      <c r="AT1934" s="222"/>
      <c r="AU1934" s="222"/>
    </row>
    <row r="1935" spans="46:47" s="221" customFormat="1" x14ac:dyDescent="0.2">
      <c r="AT1935" s="222"/>
      <c r="AU1935" s="222"/>
    </row>
    <row r="1936" spans="46:47" s="221" customFormat="1" x14ac:dyDescent="0.2">
      <c r="AT1936" s="222"/>
      <c r="AU1936" s="222"/>
    </row>
    <row r="1937" spans="46:47" s="221" customFormat="1" x14ac:dyDescent="0.2">
      <c r="AT1937" s="222"/>
      <c r="AU1937" s="222"/>
    </row>
    <row r="1938" spans="46:47" s="221" customFormat="1" x14ac:dyDescent="0.2">
      <c r="AT1938" s="222"/>
      <c r="AU1938" s="222"/>
    </row>
    <row r="1939" spans="46:47" s="221" customFormat="1" x14ac:dyDescent="0.2">
      <c r="AT1939" s="222"/>
      <c r="AU1939" s="222"/>
    </row>
    <row r="1940" spans="46:47" s="221" customFormat="1" x14ac:dyDescent="0.2">
      <c r="AT1940" s="222"/>
      <c r="AU1940" s="222"/>
    </row>
    <row r="1941" spans="46:47" s="221" customFormat="1" x14ac:dyDescent="0.2">
      <c r="AT1941" s="222"/>
      <c r="AU1941" s="222"/>
    </row>
    <row r="1942" spans="46:47" s="221" customFormat="1" x14ac:dyDescent="0.2">
      <c r="AT1942" s="222"/>
      <c r="AU1942" s="222"/>
    </row>
    <row r="1943" spans="46:47" s="221" customFormat="1" x14ac:dyDescent="0.2">
      <c r="AT1943" s="222"/>
      <c r="AU1943" s="222"/>
    </row>
    <row r="1944" spans="46:47" s="221" customFormat="1" x14ac:dyDescent="0.2">
      <c r="AT1944" s="222"/>
      <c r="AU1944" s="222"/>
    </row>
    <row r="1945" spans="46:47" s="221" customFormat="1" x14ac:dyDescent="0.2">
      <c r="AT1945" s="222"/>
      <c r="AU1945" s="222"/>
    </row>
    <row r="1946" spans="46:47" s="221" customFormat="1" x14ac:dyDescent="0.2">
      <c r="AT1946" s="222"/>
      <c r="AU1946" s="222"/>
    </row>
    <row r="1947" spans="46:47" s="221" customFormat="1" x14ac:dyDescent="0.2">
      <c r="AT1947" s="222"/>
      <c r="AU1947" s="222"/>
    </row>
    <row r="1948" spans="46:47" s="221" customFormat="1" x14ac:dyDescent="0.2">
      <c r="AT1948" s="222"/>
      <c r="AU1948" s="222"/>
    </row>
    <row r="1949" spans="46:47" s="221" customFormat="1" x14ac:dyDescent="0.2">
      <c r="AT1949" s="222"/>
      <c r="AU1949" s="222"/>
    </row>
    <row r="1950" spans="46:47" s="221" customFormat="1" x14ac:dyDescent="0.2">
      <c r="AT1950" s="222"/>
      <c r="AU1950" s="222"/>
    </row>
    <row r="1951" spans="46:47" s="221" customFormat="1" x14ac:dyDescent="0.2">
      <c r="AT1951" s="222"/>
      <c r="AU1951" s="222"/>
    </row>
    <row r="1952" spans="46:47" s="221" customFormat="1" x14ac:dyDescent="0.2">
      <c r="AT1952" s="222"/>
      <c r="AU1952" s="222"/>
    </row>
    <row r="1953" spans="46:47" s="221" customFormat="1" x14ac:dyDescent="0.2">
      <c r="AT1953" s="222"/>
      <c r="AU1953" s="222"/>
    </row>
    <row r="1954" spans="46:47" s="221" customFormat="1" x14ac:dyDescent="0.2">
      <c r="AT1954" s="222"/>
      <c r="AU1954" s="222"/>
    </row>
    <row r="1955" spans="46:47" s="221" customFormat="1" x14ac:dyDescent="0.2">
      <c r="AT1955" s="222"/>
      <c r="AU1955" s="222"/>
    </row>
    <row r="1956" spans="46:47" s="221" customFormat="1" x14ac:dyDescent="0.2">
      <c r="AT1956" s="222"/>
      <c r="AU1956" s="222"/>
    </row>
    <row r="1957" spans="46:47" s="221" customFormat="1" x14ac:dyDescent="0.2">
      <c r="AT1957" s="222"/>
      <c r="AU1957" s="222"/>
    </row>
    <row r="1958" spans="46:47" s="221" customFormat="1" x14ac:dyDescent="0.2">
      <c r="AT1958" s="222"/>
      <c r="AU1958" s="222"/>
    </row>
    <row r="1959" spans="46:47" s="221" customFormat="1" x14ac:dyDescent="0.2">
      <c r="AT1959" s="222"/>
      <c r="AU1959" s="222"/>
    </row>
    <row r="1960" spans="46:47" s="221" customFormat="1" x14ac:dyDescent="0.2">
      <c r="AT1960" s="222"/>
      <c r="AU1960" s="222"/>
    </row>
    <row r="1961" spans="46:47" s="221" customFormat="1" x14ac:dyDescent="0.2">
      <c r="AT1961" s="222"/>
      <c r="AU1961" s="222"/>
    </row>
    <row r="1962" spans="46:47" s="221" customFormat="1" x14ac:dyDescent="0.2">
      <c r="AT1962" s="222"/>
      <c r="AU1962" s="222"/>
    </row>
    <row r="1963" spans="46:47" s="221" customFormat="1" x14ac:dyDescent="0.2">
      <c r="AT1963" s="222"/>
      <c r="AU1963" s="222"/>
    </row>
    <row r="1964" spans="46:47" s="221" customFormat="1" x14ac:dyDescent="0.2">
      <c r="AT1964" s="222"/>
      <c r="AU1964" s="222"/>
    </row>
    <row r="1965" spans="46:47" s="221" customFormat="1" x14ac:dyDescent="0.2">
      <c r="AT1965" s="222"/>
      <c r="AU1965" s="222"/>
    </row>
    <row r="1966" spans="46:47" s="221" customFormat="1" x14ac:dyDescent="0.2">
      <c r="AT1966" s="222"/>
      <c r="AU1966" s="222"/>
    </row>
    <row r="1967" spans="46:47" s="221" customFormat="1" x14ac:dyDescent="0.2">
      <c r="AT1967" s="222"/>
      <c r="AU1967" s="222"/>
    </row>
    <row r="1968" spans="46:47" s="221" customFormat="1" x14ac:dyDescent="0.2">
      <c r="AT1968" s="222"/>
      <c r="AU1968" s="222"/>
    </row>
    <row r="1969" spans="46:47" s="221" customFormat="1" x14ac:dyDescent="0.2">
      <c r="AT1969" s="222"/>
      <c r="AU1969" s="222"/>
    </row>
    <row r="1970" spans="46:47" s="221" customFormat="1" x14ac:dyDescent="0.2">
      <c r="AT1970" s="222"/>
      <c r="AU1970" s="222"/>
    </row>
    <row r="1971" spans="46:47" s="221" customFormat="1" x14ac:dyDescent="0.2">
      <c r="AT1971" s="222"/>
      <c r="AU1971" s="222"/>
    </row>
    <row r="1972" spans="46:47" s="221" customFormat="1" x14ac:dyDescent="0.2">
      <c r="AT1972" s="222"/>
      <c r="AU1972" s="222"/>
    </row>
    <row r="1973" spans="46:47" s="221" customFormat="1" x14ac:dyDescent="0.2">
      <c r="AT1973" s="222"/>
      <c r="AU1973" s="222"/>
    </row>
    <row r="1974" spans="46:47" s="221" customFormat="1" x14ac:dyDescent="0.2">
      <c r="AT1974" s="222"/>
      <c r="AU1974" s="222"/>
    </row>
    <row r="1975" spans="46:47" s="221" customFormat="1" x14ac:dyDescent="0.2">
      <c r="AT1975" s="222"/>
      <c r="AU1975" s="222"/>
    </row>
    <row r="1976" spans="46:47" s="221" customFormat="1" x14ac:dyDescent="0.2">
      <c r="AT1976" s="222"/>
      <c r="AU1976" s="222"/>
    </row>
    <row r="1977" spans="46:47" s="221" customFormat="1" x14ac:dyDescent="0.2">
      <c r="AT1977" s="222"/>
      <c r="AU1977" s="222"/>
    </row>
    <row r="1978" spans="46:47" s="221" customFormat="1" x14ac:dyDescent="0.2">
      <c r="AT1978" s="222"/>
      <c r="AU1978" s="222"/>
    </row>
    <row r="1979" spans="46:47" s="221" customFormat="1" x14ac:dyDescent="0.2">
      <c r="AT1979" s="222"/>
      <c r="AU1979" s="222"/>
    </row>
    <row r="1980" spans="46:47" s="221" customFormat="1" x14ac:dyDescent="0.2">
      <c r="AT1980" s="222"/>
      <c r="AU1980" s="222"/>
    </row>
    <row r="1981" spans="46:47" s="221" customFormat="1" x14ac:dyDescent="0.2">
      <c r="AT1981" s="222"/>
      <c r="AU1981" s="222"/>
    </row>
    <row r="1982" spans="46:47" s="221" customFormat="1" x14ac:dyDescent="0.2">
      <c r="AT1982" s="222"/>
      <c r="AU1982" s="222"/>
    </row>
    <row r="1983" spans="46:47" s="221" customFormat="1" x14ac:dyDescent="0.2">
      <c r="AT1983" s="222"/>
      <c r="AU1983" s="222"/>
    </row>
    <row r="1984" spans="46:47" s="221" customFormat="1" x14ac:dyDescent="0.2">
      <c r="AT1984" s="222"/>
      <c r="AU1984" s="222"/>
    </row>
    <row r="1985" spans="46:47" s="221" customFormat="1" x14ac:dyDescent="0.2">
      <c r="AT1985" s="222"/>
      <c r="AU1985" s="222"/>
    </row>
    <row r="1986" spans="46:47" s="221" customFormat="1" x14ac:dyDescent="0.2">
      <c r="AT1986" s="222"/>
      <c r="AU1986" s="222"/>
    </row>
    <row r="1987" spans="46:47" s="221" customFormat="1" x14ac:dyDescent="0.2">
      <c r="AT1987" s="222"/>
      <c r="AU1987" s="222"/>
    </row>
    <row r="1988" spans="46:47" s="221" customFormat="1" x14ac:dyDescent="0.2">
      <c r="AT1988" s="222"/>
      <c r="AU1988" s="222"/>
    </row>
    <row r="1989" spans="46:47" s="221" customFormat="1" x14ac:dyDescent="0.2">
      <c r="AT1989" s="222"/>
      <c r="AU1989" s="222"/>
    </row>
    <row r="1990" spans="46:47" s="221" customFormat="1" x14ac:dyDescent="0.2">
      <c r="AT1990" s="222"/>
      <c r="AU1990" s="222"/>
    </row>
    <row r="1991" spans="46:47" s="221" customFormat="1" x14ac:dyDescent="0.2">
      <c r="AT1991" s="222"/>
      <c r="AU1991" s="222"/>
    </row>
    <row r="1992" spans="46:47" s="221" customFormat="1" x14ac:dyDescent="0.2">
      <c r="AT1992" s="222"/>
      <c r="AU1992" s="222"/>
    </row>
    <row r="1993" spans="46:47" s="221" customFormat="1" x14ac:dyDescent="0.2">
      <c r="AT1993" s="222"/>
      <c r="AU1993" s="222"/>
    </row>
    <row r="1994" spans="46:47" s="221" customFormat="1" x14ac:dyDescent="0.2">
      <c r="AT1994" s="222"/>
      <c r="AU1994" s="222"/>
    </row>
    <row r="1995" spans="46:47" s="221" customFormat="1" x14ac:dyDescent="0.2">
      <c r="AT1995" s="222"/>
      <c r="AU1995" s="222"/>
    </row>
    <row r="1996" spans="46:47" s="221" customFormat="1" x14ac:dyDescent="0.2">
      <c r="AT1996" s="222"/>
      <c r="AU1996" s="222"/>
    </row>
    <row r="1997" spans="46:47" s="221" customFormat="1" x14ac:dyDescent="0.2">
      <c r="AT1997" s="222"/>
      <c r="AU1997" s="222"/>
    </row>
    <row r="1998" spans="46:47" s="221" customFormat="1" x14ac:dyDescent="0.2">
      <c r="AT1998" s="222"/>
      <c r="AU1998" s="222"/>
    </row>
    <row r="1999" spans="46:47" s="221" customFormat="1" x14ac:dyDescent="0.2">
      <c r="AT1999" s="222"/>
      <c r="AU1999" s="222"/>
    </row>
    <row r="2000" spans="46:47" s="221" customFormat="1" x14ac:dyDescent="0.2">
      <c r="AT2000" s="222"/>
      <c r="AU2000" s="222"/>
    </row>
    <row r="2001" spans="46:47" s="221" customFormat="1" x14ac:dyDescent="0.2">
      <c r="AT2001" s="222"/>
      <c r="AU2001" s="222"/>
    </row>
    <row r="2002" spans="46:47" s="221" customFormat="1" x14ac:dyDescent="0.2">
      <c r="AT2002" s="222"/>
      <c r="AU2002" s="222"/>
    </row>
    <row r="2003" spans="46:47" s="221" customFormat="1" x14ac:dyDescent="0.2">
      <c r="AT2003" s="222"/>
      <c r="AU2003" s="222"/>
    </row>
    <row r="2004" spans="46:47" s="221" customFormat="1" x14ac:dyDescent="0.2">
      <c r="AT2004" s="222"/>
      <c r="AU2004" s="222"/>
    </row>
    <row r="2005" spans="46:47" s="221" customFormat="1" x14ac:dyDescent="0.2">
      <c r="AT2005" s="222"/>
      <c r="AU2005" s="222"/>
    </row>
    <row r="2006" spans="46:47" s="221" customFormat="1" x14ac:dyDescent="0.2">
      <c r="AT2006" s="222"/>
      <c r="AU2006" s="222"/>
    </row>
    <row r="2007" spans="46:47" s="221" customFormat="1" x14ac:dyDescent="0.2">
      <c r="AT2007" s="222"/>
      <c r="AU2007" s="222"/>
    </row>
    <row r="2008" spans="46:47" s="221" customFormat="1" x14ac:dyDescent="0.2">
      <c r="AT2008" s="222"/>
      <c r="AU2008" s="222"/>
    </row>
    <row r="2009" spans="46:47" s="221" customFormat="1" x14ac:dyDescent="0.2">
      <c r="AT2009" s="222"/>
      <c r="AU2009" s="222"/>
    </row>
    <row r="2010" spans="46:47" s="221" customFormat="1" x14ac:dyDescent="0.2">
      <c r="AT2010" s="222"/>
      <c r="AU2010" s="222"/>
    </row>
    <row r="2011" spans="46:47" s="221" customFormat="1" x14ac:dyDescent="0.2">
      <c r="AT2011" s="222"/>
      <c r="AU2011" s="222"/>
    </row>
    <row r="2012" spans="46:47" s="221" customFormat="1" x14ac:dyDescent="0.2">
      <c r="AT2012" s="222"/>
      <c r="AU2012" s="222"/>
    </row>
    <row r="2013" spans="46:47" s="221" customFormat="1" x14ac:dyDescent="0.2">
      <c r="AT2013" s="222"/>
      <c r="AU2013" s="222"/>
    </row>
    <row r="2014" spans="46:47" s="221" customFormat="1" x14ac:dyDescent="0.2">
      <c r="AT2014" s="222"/>
      <c r="AU2014" s="222"/>
    </row>
    <row r="2015" spans="46:47" s="221" customFormat="1" x14ac:dyDescent="0.2">
      <c r="AT2015" s="222"/>
      <c r="AU2015" s="222"/>
    </row>
    <row r="2016" spans="46:47" s="221" customFormat="1" x14ac:dyDescent="0.2">
      <c r="AT2016" s="222"/>
      <c r="AU2016" s="222"/>
    </row>
    <row r="2017" spans="46:47" s="221" customFormat="1" x14ac:dyDescent="0.2">
      <c r="AT2017" s="222"/>
      <c r="AU2017" s="222"/>
    </row>
    <row r="2018" spans="46:47" s="221" customFormat="1" x14ac:dyDescent="0.2">
      <c r="AT2018" s="222"/>
      <c r="AU2018" s="222"/>
    </row>
    <row r="2019" spans="46:47" s="221" customFormat="1" x14ac:dyDescent="0.2">
      <c r="AT2019" s="222"/>
      <c r="AU2019" s="222"/>
    </row>
    <row r="2020" spans="46:47" s="221" customFormat="1" x14ac:dyDescent="0.2">
      <c r="AT2020" s="222"/>
      <c r="AU2020" s="222"/>
    </row>
    <row r="2021" spans="46:47" s="221" customFormat="1" x14ac:dyDescent="0.2">
      <c r="AT2021" s="222"/>
      <c r="AU2021" s="222"/>
    </row>
    <row r="2022" spans="46:47" s="221" customFormat="1" x14ac:dyDescent="0.2">
      <c r="AT2022" s="222"/>
      <c r="AU2022" s="222"/>
    </row>
    <row r="2023" spans="46:47" s="221" customFormat="1" x14ac:dyDescent="0.2">
      <c r="AT2023" s="222"/>
      <c r="AU2023" s="222"/>
    </row>
    <row r="2024" spans="46:47" s="221" customFormat="1" x14ac:dyDescent="0.2">
      <c r="AT2024" s="222"/>
      <c r="AU2024" s="222"/>
    </row>
    <row r="2025" spans="46:47" s="221" customFormat="1" x14ac:dyDescent="0.2">
      <c r="AT2025" s="222"/>
      <c r="AU2025" s="222"/>
    </row>
    <row r="2026" spans="46:47" s="221" customFormat="1" x14ac:dyDescent="0.2">
      <c r="AT2026" s="222"/>
      <c r="AU2026" s="222"/>
    </row>
    <row r="2027" spans="46:47" s="221" customFormat="1" x14ac:dyDescent="0.2">
      <c r="AT2027" s="222"/>
      <c r="AU2027" s="222"/>
    </row>
    <row r="2028" spans="46:47" s="221" customFormat="1" x14ac:dyDescent="0.2">
      <c r="AT2028" s="222"/>
      <c r="AU2028" s="222"/>
    </row>
    <row r="2029" spans="46:47" s="221" customFormat="1" x14ac:dyDescent="0.2">
      <c r="AT2029" s="222"/>
      <c r="AU2029" s="222"/>
    </row>
    <row r="2030" spans="46:47" s="221" customFormat="1" x14ac:dyDescent="0.2">
      <c r="AT2030" s="222"/>
      <c r="AU2030" s="222"/>
    </row>
    <row r="2031" spans="46:47" s="221" customFormat="1" x14ac:dyDescent="0.2">
      <c r="AT2031" s="222"/>
      <c r="AU2031" s="222"/>
    </row>
    <row r="2032" spans="46:47" s="221" customFormat="1" x14ac:dyDescent="0.2">
      <c r="AT2032" s="222"/>
      <c r="AU2032" s="222"/>
    </row>
    <row r="2033" spans="46:47" s="221" customFormat="1" x14ac:dyDescent="0.2">
      <c r="AT2033" s="222"/>
      <c r="AU2033" s="222"/>
    </row>
    <row r="2034" spans="46:47" s="221" customFormat="1" x14ac:dyDescent="0.2">
      <c r="AT2034" s="222"/>
      <c r="AU2034" s="222"/>
    </row>
    <row r="2035" spans="46:47" s="221" customFormat="1" x14ac:dyDescent="0.2">
      <c r="AT2035" s="222"/>
      <c r="AU2035" s="222"/>
    </row>
    <row r="2036" spans="46:47" s="221" customFormat="1" x14ac:dyDescent="0.2">
      <c r="AT2036" s="222"/>
      <c r="AU2036" s="222"/>
    </row>
    <row r="2037" spans="46:47" s="221" customFormat="1" x14ac:dyDescent="0.2">
      <c r="AT2037" s="222"/>
      <c r="AU2037" s="222"/>
    </row>
    <row r="2038" spans="46:47" s="221" customFormat="1" x14ac:dyDescent="0.2">
      <c r="AT2038" s="222"/>
      <c r="AU2038" s="222"/>
    </row>
    <row r="2039" spans="46:47" s="221" customFormat="1" x14ac:dyDescent="0.2">
      <c r="AT2039" s="222"/>
      <c r="AU2039" s="222"/>
    </row>
    <row r="2040" spans="46:47" s="221" customFormat="1" x14ac:dyDescent="0.2">
      <c r="AT2040" s="222"/>
      <c r="AU2040" s="222"/>
    </row>
    <row r="2041" spans="46:47" s="221" customFormat="1" x14ac:dyDescent="0.2">
      <c r="AT2041" s="222"/>
      <c r="AU2041" s="222"/>
    </row>
    <row r="2042" spans="46:47" s="221" customFormat="1" x14ac:dyDescent="0.2">
      <c r="AT2042" s="222"/>
      <c r="AU2042" s="222"/>
    </row>
    <row r="2043" spans="46:47" s="221" customFormat="1" x14ac:dyDescent="0.2">
      <c r="AT2043" s="222"/>
      <c r="AU2043" s="222"/>
    </row>
    <row r="2044" spans="46:47" s="221" customFormat="1" x14ac:dyDescent="0.2">
      <c r="AT2044" s="222"/>
      <c r="AU2044" s="222"/>
    </row>
    <row r="2045" spans="46:47" s="221" customFormat="1" x14ac:dyDescent="0.2">
      <c r="AT2045" s="222"/>
      <c r="AU2045" s="222"/>
    </row>
    <row r="2046" spans="46:47" s="221" customFormat="1" x14ac:dyDescent="0.2">
      <c r="AT2046" s="222"/>
      <c r="AU2046" s="222"/>
    </row>
    <row r="2047" spans="46:47" s="221" customFormat="1" x14ac:dyDescent="0.2">
      <c r="AT2047" s="222"/>
      <c r="AU2047" s="222"/>
    </row>
    <row r="2048" spans="46:47" s="221" customFormat="1" x14ac:dyDescent="0.2">
      <c r="AT2048" s="222"/>
      <c r="AU2048" s="222"/>
    </row>
    <row r="2049" spans="46:47" s="221" customFormat="1" x14ac:dyDescent="0.2">
      <c r="AT2049" s="222"/>
      <c r="AU2049" s="222"/>
    </row>
    <row r="2050" spans="46:47" s="221" customFormat="1" x14ac:dyDescent="0.2">
      <c r="AT2050" s="222"/>
      <c r="AU2050" s="222"/>
    </row>
    <row r="2051" spans="46:47" s="221" customFormat="1" x14ac:dyDescent="0.2">
      <c r="AT2051" s="222"/>
      <c r="AU2051" s="222"/>
    </row>
    <row r="2052" spans="46:47" s="221" customFormat="1" x14ac:dyDescent="0.2">
      <c r="AT2052" s="222"/>
      <c r="AU2052" s="222"/>
    </row>
    <row r="2053" spans="46:47" s="221" customFormat="1" x14ac:dyDescent="0.2">
      <c r="AT2053" s="222"/>
      <c r="AU2053" s="222"/>
    </row>
    <row r="2054" spans="46:47" s="221" customFormat="1" x14ac:dyDescent="0.2">
      <c r="AT2054" s="222"/>
      <c r="AU2054" s="222"/>
    </row>
    <row r="2055" spans="46:47" s="221" customFormat="1" x14ac:dyDescent="0.2">
      <c r="AT2055" s="222"/>
      <c r="AU2055" s="222"/>
    </row>
    <row r="2056" spans="46:47" s="221" customFormat="1" x14ac:dyDescent="0.2">
      <c r="AT2056" s="222"/>
      <c r="AU2056" s="222"/>
    </row>
    <row r="2057" spans="46:47" s="221" customFormat="1" x14ac:dyDescent="0.2">
      <c r="AT2057" s="222"/>
      <c r="AU2057" s="222"/>
    </row>
    <row r="2058" spans="46:47" s="221" customFormat="1" x14ac:dyDescent="0.2">
      <c r="AT2058" s="222"/>
      <c r="AU2058" s="222"/>
    </row>
    <row r="2059" spans="46:47" s="221" customFormat="1" x14ac:dyDescent="0.2">
      <c r="AT2059" s="222"/>
      <c r="AU2059" s="222"/>
    </row>
    <row r="2060" spans="46:47" s="221" customFormat="1" x14ac:dyDescent="0.2">
      <c r="AT2060" s="222"/>
      <c r="AU2060" s="222"/>
    </row>
    <row r="2061" spans="46:47" s="221" customFormat="1" x14ac:dyDescent="0.2">
      <c r="AT2061" s="222"/>
      <c r="AU2061" s="222"/>
    </row>
    <row r="2062" spans="46:47" s="221" customFormat="1" x14ac:dyDescent="0.2">
      <c r="AT2062" s="222"/>
      <c r="AU2062" s="222"/>
    </row>
    <row r="2063" spans="46:47" s="221" customFormat="1" x14ac:dyDescent="0.2">
      <c r="AT2063" s="222"/>
      <c r="AU2063" s="222"/>
    </row>
    <row r="2064" spans="46:47" s="221" customFormat="1" x14ac:dyDescent="0.2">
      <c r="AT2064" s="222"/>
      <c r="AU2064" s="222"/>
    </row>
    <row r="2065" spans="46:47" s="221" customFormat="1" x14ac:dyDescent="0.2">
      <c r="AT2065" s="222"/>
      <c r="AU2065" s="222"/>
    </row>
    <row r="2066" spans="46:47" s="221" customFormat="1" x14ac:dyDescent="0.2">
      <c r="AT2066" s="222"/>
      <c r="AU2066" s="222"/>
    </row>
    <row r="2067" spans="46:47" s="221" customFormat="1" x14ac:dyDescent="0.2">
      <c r="AT2067" s="222"/>
      <c r="AU2067" s="222"/>
    </row>
    <row r="2068" spans="46:47" s="221" customFormat="1" x14ac:dyDescent="0.2">
      <c r="AT2068" s="222"/>
      <c r="AU2068" s="222"/>
    </row>
    <row r="2069" spans="46:47" s="221" customFormat="1" x14ac:dyDescent="0.2">
      <c r="AT2069" s="222"/>
      <c r="AU2069" s="222"/>
    </row>
    <row r="2070" spans="46:47" s="221" customFormat="1" x14ac:dyDescent="0.2">
      <c r="AT2070" s="222"/>
      <c r="AU2070" s="222"/>
    </row>
    <row r="2071" spans="46:47" s="221" customFormat="1" x14ac:dyDescent="0.2">
      <c r="AT2071" s="222"/>
      <c r="AU2071" s="222"/>
    </row>
    <row r="2072" spans="46:47" s="221" customFormat="1" x14ac:dyDescent="0.2">
      <c r="AT2072" s="222"/>
      <c r="AU2072" s="222"/>
    </row>
    <row r="2073" spans="46:47" s="221" customFormat="1" x14ac:dyDescent="0.2">
      <c r="AT2073" s="222"/>
      <c r="AU2073" s="222"/>
    </row>
    <row r="2074" spans="46:47" s="221" customFormat="1" x14ac:dyDescent="0.2">
      <c r="AT2074" s="222"/>
      <c r="AU2074" s="222"/>
    </row>
    <row r="2075" spans="46:47" s="221" customFormat="1" x14ac:dyDescent="0.2">
      <c r="AT2075" s="222"/>
      <c r="AU2075" s="222"/>
    </row>
    <row r="2076" spans="46:47" s="221" customFormat="1" x14ac:dyDescent="0.2">
      <c r="AT2076" s="222"/>
      <c r="AU2076" s="222"/>
    </row>
    <row r="2077" spans="46:47" s="221" customFormat="1" x14ac:dyDescent="0.2">
      <c r="AT2077" s="222"/>
      <c r="AU2077" s="222"/>
    </row>
    <row r="2078" spans="46:47" s="221" customFormat="1" x14ac:dyDescent="0.2">
      <c r="AT2078" s="222"/>
      <c r="AU2078" s="222"/>
    </row>
    <row r="2079" spans="46:47" s="221" customFormat="1" x14ac:dyDescent="0.2">
      <c r="AT2079" s="222"/>
      <c r="AU2079" s="222"/>
    </row>
    <row r="2080" spans="46:47" s="221" customFormat="1" x14ac:dyDescent="0.2">
      <c r="AT2080" s="222"/>
      <c r="AU2080" s="222"/>
    </row>
    <row r="2081" spans="46:47" s="221" customFormat="1" x14ac:dyDescent="0.2">
      <c r="AT2081" s="222"/>
      <c r="AU2081" s="222"/>
    </row>
    <row r="2082" spans="46:47" s="221" customFormat="1" x14ac:dyDescent="0.2">
      <c r="AT2082" s="222"/>
      <c r="AU2082" s="222"/>
    </row>
    <row r="2083" spans="46:47" s="221" customFormat="1" x14ac:dyDescent="0.2">
      <c r="AT2083" s="222"/>
      <c r="AU2083" s="222"/>
    </row>
    <row r="2084" spans="46:47" s="221" customFormat="1" x14ac:dyDescent="0.2">
      <c r="AT2084" s="222"/>
      <c r="AU2084" s="222"/>
    </row>
    <row r="2085" spans="46:47" s="221" customFormat="1" x14ac:dyDescent="0.2">
      <c r="AT2085" s="222"/>
      <c r="AU2085" s="222"/>
    </row>
    <row r="2086" spans="46:47" s="221" customFormat="1" x14ac:dyDescent="0.2">
      <c r="AT2086" s="222"/>
      <c r="AU2086" s="222"/>
    </row>
    <row r="2087" spans="46:47" s="221" customFormat="1" x14ac:dyDescent="0.2">
      <c r="AT2087" s="222"/>
      <c r="AU2087" s="222"/>
    </row>
    <row r="2088" spans="46:47" s="221" customFormat="1" x14ac:dyDescent="0.2">
      <c r="AT2088" s="222"/>
      <c r="AU2088" s="222"/>
    </row>
    <row r="2089" spans="46:47" s="221" customFormat="1" x14ac:dyDescent="0.2">
      <c r="AT2089" s="222"/>
      <c r="AU2089" s="222"/>
    </row>
    <row r="2090" spans="46:47" s="221" customFormat="1" x14ac:dyDescent="0.2">
      <c r="AT2090" s="222"/>
      <c r="AU2090" s="222"/>
    </row>
    <row r="2091" spans="46:47" s="221" customFormat="1" x14ac:dyDescent="0.2">
      <c r="AT2091" s="222"/>
      <c r="AU2091" s="222"/>
    </row>
    <row r="2092" spans="46:47" s="221" customFormat="1" x14ac:dyDescent="0.2">
      <c r="AT2092" s="222"/>
      <c r="AU2092" s="222"/>
    </row>
    <row r="2093" spans="46:47" s="221" customFormat="1" x14ac:dyDescent="0.2">
      <c r="AT2093" s="222"/>
      <c r="AU2093" s="222"/>
    </row>
    <row r="2094" spans="46:47" s="221" customFormat="1" x14ac:dyDescent="0.2">
      <c r="AT2094" s="222"/>
      <c r="AU2094" s="222"/>
    </row>
    <row r="2095" spans="46:47" s="221" customFormat="1" x14ac:dyDescent="0.2">
      <c r="AT2095" s="222"/>
      <c r="AU2095" s="222"/>
    </row>
    <row r="2096" spans="46:47" s="221" customFormat="1" x14ac:dyDescent="0.2">
      <c r="AT2096" s="222"/>
      <c r="AU2096" s="222"/>
    </row>
    <row r="2097" spans="46:47" s="221" customFormat="1" x14ac:dyDescent="0.2">
      <c r="AT2097" s="222"/>
      <c r="AU2097" s="222"/>
    </row>
    <row r="2098" spans="46:47" s="221" customFormat="1" x14ac:dyDescent="0.2">
      <c r="AT2098" s="222"/>
      <c r="AU2098" s="222"/>
    </row>
    <row r="2099" spans="46:47" s="221" customFormat="1" x14ac:dyDescent="0.2">
      <c r="AT2099" s="222"/>
      <c r="AU2099" s="222"/>
    </row>
    <row r="2100" spans="46:47" s="221" customFormat="1" x14ac:dyDescent="0.2">
      <c r="AT2100" s="222"/>
      <c r="AU2100" s="222"/>
    </row>
    <row r="2101" spans="46:47" s="221" customFormat="1" x14ac:dyDescent="0.2">
      <c r="AT2101" s="222"/>
      <c r="AU2101" s="222"/>
    </row>
    <row r="2102" spans="46:47" s="221" customFormat="1" x14ac:dyDescent="0.2">
      <c r="AT2102" s="222"/>
      <c r="AU2102" s="222"/>
    </row>
    <row r="2103" spans="46:47" s="221" customFormat="1" x14ac:dyDescent="0.2">
      <c r="AT2103" s="222"/>
      <c r="AU2103" s="222"/>
    </row>
    <row r="2104" spans="46:47" s="221" customFormat="1" x14ac:dyDescent="0.2">
      <c r="AT2104" s="222"/>
      <c r="AU2104" s="222"/>
    </row>
    <row r="2105" spans="46:47" s="221" customFormat="1" x14ac:dyDescent="0.2">
      <c r="AT2105" s="222"/>
      <c r="AU2105" s="222"/>
    </row>
    <row r="2106" spans="46:47" s="221" customFormat="1" x14ac:dyDescent="0.2">
      <c r="AT2106" s="222"/>
      <c r="AU2106" s="222"/>
    </row>
    <row r="2107" spans="46:47" s="221" customFormat="1" x14ac:dyDescent="0.2">
      <c r="AT2107" s="222"/>
      <c r="AU2107" s="222"/>
    </row>
    <row r="2108" spans="46:47" s="221" customFormat="1" x14ac:dyDescent="0.2">
      <c r="AT2108" s="222"/>
      <c r="AU2108" s="222"/>
    </row>
    <row r="2109" spans="46:47" s="221" customFormat="1" x14ac:dyDescent="0.2">
      <c r="AT2109" s="222"/>
      <c r="AU2109" s="222"/>
    </row>
    <row r="2110" spans="46:47" s="221" customFormat="1" x14ac:dyDescent="0.2">
      <c r="AT2110" s="222"/>
      <c r="AU2110" s="222"/>
    </row>
    <row r="2111" spans="46:47" s="221" customFormat="1" x14ac:dyDescent="0.2">
      <c r="AT2111" s="222"/>
      <c r="AU2111" s="222"/>
    </row>
    <row r="2112" spans="46:47" s="221" customFormat="1" x14ac:dyDescent="0.2">
      <c r="AT2112" s="222"/>
      <c r="AU2112" s="222"/>
    </row>
    <row r="2113" spans="46:47" s="221" customFormat="1" x14ac:dyDescent="0.2">
      <c r="AT2113" s="222"/>
      <c r="AU2113" s="222"/>
    </row>
    <row r="2114" spans="46:47" s="221" customFormat="1" x14ac:dyDescent="0.2">
      <c r="AT2114" s="222"/>
      <c r="AU2114" s="222"/>
    </row>
    <row r="2115" spans="46:47" s="221" customFormat="1" x14ac:dyDescent="0.2">
      <c r="AT2115" s="222"/>
      <c r="AU2115" s="222"/>
    </row>
    <row r="2116" spans="46:47" s="221" customFormat="1" x14ac:dyDescent="0.2">
      <c r="AT2116" s="222"/>
      <c r="AU2116" s="222"/>
    </row>
    <row r="2117" spans="46:47" s="221" customFormat="1" x14ac:dyDescent="0.2">
      <c r="AT2117" s="222"/>
      <c r="AU2117" s="222"/>
    </row>
    <row r="2118" spans="46:47" s="221" customFormat="1" x14ac:dyDescent="0.2">
      <c r="AT2118" s="222"/>
      <c r="AU2118" s="222"/>
    </row>
    <row r="2119" spans="46:47" s="221" customFormat="1" x14ac:dyDescent="0.2">
      <c r="AT2119" s="222"/>
      <c r="AU2119" s="222"/>
    </row>
    <row r="2120" spans="46:47" s="221" customFormat="1" x14ac:dyDescent="0.2">
      <c r="AT2120" s="222"/>
      <c r="AU2120" s="222"/>
    </row>
    <row r="2121" spans="46:47" s="221" customFormat="1" x14ac:dyDescent="0.2">
      <c r="AT2121" s="222"/>
      <c r="AU2121" s="222"/>
    </row>
    <row r="2122" spans="46:47" s="221" customFormat="1" x14ac:dyDescent="0.2">
      <c r="AT2122" s="222"/>
      <c r="AU2122" s="222"/>
    </row>
    <row r="2123" spans="46:47" s="221" customFormat="1" x14ac:dyDescent="0.2">
      <c r="AT2123" s="222"/>
      <c r="AU2123" s="222"/>
    </row>
    <row r="2124" spans="46:47" s="221" customFormat="1" x14ac:dyDescent="0.2">
      <c r="AT2124" s="222"/>
      <c r="AU2124" s="222"/>
    </row>
    <row r="2125" spans="46:47" s="221" customFormat="1" x14ac:dyDescent="0.2">
      <c r="AT2125" s="222"/>
      <c r="AU2125" s="222"/>
    </row>
    <row r="2126" spans="46:47" s="221" customFormat="1" x14ac:dyDescent="0.2">
      <c r="AT2126" s="222"/>
      <c r="AU2126" s="222"/>
    </row>
    <row r="2127" spans="46:47" s="221" customFormat="1" x14ac:dyDescent="0.2">
      <c r="AT2127" s="222"/>
      <c r="AU2127" s="222"/>
    </row>
    <row r="2128" spans="46:47" s="221" customFormat="1" x14ac:dyDescent="0.2">
      <c r="AT2128" s="222"/>
      <c r="AU2128" s="222"/>
    </row>
    <row r="2129" spans="46:47" s="221" customFormat="1" x14ac:dyDescent="0.2">
      <c r="AT2129" s="222"/>
      <c r="AU2129" s="222"/>
    </row>
    <row r="2130" spans="46:47" s="221" customFormat="1" x14ac:dyDescent="0.2">
      <c r="AT2130" s="222"/>
      <c r="AU2130" s="222"/>
    </row>
    <row r="2131" spans="46:47" s="221" customFormat="1" x14ac:dyDescent="0.2">
      <c r="AT2131" s="222"/>
      <c r="AU2131" s="222"/>
    </row>
    <row r="2132" spans="46:47" s="221" customFormat="1" x14ac:dyDescent="0.2">
      <c r="AT2132" s="222"/>
      <c r="AU2132" s="222"/>
    </row>
    <row r="2133" spans="46:47" s="221" customFormat="1" x14ac:dyDescent="0.2">
      <c r="AT2133" s="222"/>
      <c r="AU2133" s="222"/>
    </row>
    <row r="2134" spans="46:47" s="221" customFormat="1" x14ac:dyDescent="0.2">
      <c r="AT2134" s="222"/>
      <c r="AU2134" s="222"/>
    </row>
    <row r="2135" spans="46:47" s="221" customFormat="1" x14ac:dyDescent="0.2">
      <c r="AT2135" s="222"/>
      <c r="AU2135" s="222"/>
    </row>
    <row r="2136" spans="46:47" s="221" customFormat="1" x14ac:dyDescent="0.2">
      <c r="AT2136" s="222"/>
      <c r="AU2136" s="222"/>
    </row>
    <row r="2137" spans="46:47" s="221" customFormat="1" x14ac:dyDescent="0.2">
      <c r="AT2137" s="222"/>
      <c r="AU2137" s="222"/>
    </row>
    <row r="2138" spans="46:47" s="221" customFormat="1" x14ac:dyDescent="0.2">
      <c r="AT2138" s="222"/>
      <c r="AU2138" s="222"/>
    </row>
    <row r="2139" spans="46:47" s="221" customFormat="1" x14ac:dyDescent="0.2">
      <c r="AT2139" s="222"/>
      <c r="AU2139" s="222"/>
    </row>
    <row r="2140" spans="46:47" s="221" customFormat="1" x14ac:dyDescent="0.2">
      <c r="AT2140" s="222"/>
      <c r="AU2140" s="222"/>
    </row>
    <row r="2141" spans="46:47" s="221" customFormat="1" x14ac:dyDescent="0.2">
      <c r="AT2141" s="222"/>
      <c r="AU2141" s="222"/>
    </row>
    <row r="2142" spans="46:47" s="221" customFormat="1" x14ac:dyDescent="0.2">
      <c r="AT2142" s="222"/>
      <c r="AU2142" s="222"/>
    </row>
    <row r="2143" spans="46:47" s="221" customFormat="1" x14ac:dyDescent="0.2">
      <c r="AT2143" s="222"/>
      <c r="AU2143" s="222"/>
    </row>
    <row r="2144" spans="46:47" s="221" customFormat="1" x14ac:dyDescent="0.2">
      <c r="AT2144" s="222"/>
      <c r="AU2144" s="222"/>
    </row>
    <row r="2145" spans="46:47" s="221" customFormat="1" x14ac:dyDescent="0.2">
      <c r="AT2145" s="222"/>
      <c r="AU2145" s="222"/>
    </row>
    <row r="2146" spans="46:47" s="221" customFormat="1" x14ac:dyDescent="0.2">
      <c r="AT2146" s="222"/>
      <c r="AU2146" s="222"/>
    </row>
    <row r="2147" spans="46:47" s="221" customFormat="1" x14ac:dyDescent="0.2">
      <c r="AT2147" s="222"/>
      <c r="AU2147" s="222"/>
    </row>
    <row r="2148" spans="46:47" s="221" customFormat="1" x14ac:dyDescent="0.2">
      <c r="AT2148" s="222"/>
      <c r="AU2148" s="222"/>
    </row>
    <row r="2149" spans="46:47" s="221" customFormat="1" x14ac:dyDescent="0.2">
      <c r="AT2149" s="222"/>
      <c r="AU2149" s="222"/>
    </row>
    <row r="2150" spans="46:47" s="221" customFormat="1" x14ac:dyDescent="0.2">
      <c r="AT2150" s="222"/>
      <c r="AU2150" s="222"/>
    </row>
    <row r="2151" spans="46:47" s="221" customFormat="1" x14ac:dyDescent="0.2">
      <c r="AT2151" s="222"/>
      <c r="AU2151" s="222"/>
    </row>
    <row r="2152" spans="46:47" s="221" customFormat="1" x14ac:dyDescent="0.2">
      <c r="AT2152" s="222"/>
      <c r="AU2152" s="222"/>
    </row>
    <row r="2153" spans="46:47" s="221" customFormat="1" x14ac:dyDescent="0.2">
      <c r="AT2153" s="222"/>
      <c r="AU2153" s="222"/>
    </row>
    <row r="2154" spans="46:47" s="221" customFormat="1" x14ac:dyDescent="0.2">
      <c r="AT2154" s="222"/>
      <c r="AU2154" s="222"/>
    </row>
    <row r="2155" spans="46:47" s="221" customFormat="1" x14ac:dyDescent="0.2">
      <c r="AT2155" s="222"/>
      <c r="AU2155" s="222"/>
    </row>
    <row r="2156" spans="46:47" s="221" customFormat="1" x14ac:dyDescent="0.2">
      <c r="AT2156" s="222"/>
      <c r="AU2156" s="222"/>
    </row>
    <row r="2157" spans="46:47" s="221" customFormat="1" x14ac:dyDescent="0.2">
      <c r="AT2157" s="222"/>
      <c r="AU2157" s="222"/>
    </row>
    <row r="2158" spans="46:47" s="221" customFormat="1" x14ac:dyDescent="0.2">
      <c r="AT2158" s="222"/>
      <c r="AU2158" s="222"/>
    </row>
    <row r="2159" spans="46:47" s="221" customFormat="1" x14ac:dyDescent="0.2">
      <c r="AT2159" s="222"/>
      <c r="AU2159" s="222"/>
    </row>
    <row r="2160" spans="46:47" s="221" customFormat="1" x14ac:dyDescent="0.2">
      <c r="AT2160" s="222"/>
      <c r="AU2160" s="222"/>
    </row>
    <row r="2161" spans="46:47" s="221" customFormat="1" x14ac:dyDescent="0.2">
      <c r="AT2161" s="222"/>
      <c r="AU2161" s="222"/>
    </row>
    <row r="2162" spans="46:47" s="221" customFormat="1" x14ac:dyDescent="0.2">
      <c r="AT2162" s="222"/>
      <c r="AU2162" s="222"/>
    </row>
    <row r="2163" spans="46:47" s="221" customFormat="1" x14ac:dyDescent="0.2">
      <c r="AT2163" s="222"/>
      <c r="AU2163" s="222"/>
    </row>
    <row r="2164" spans="46:47" s="221" customFormat="1" x14ac:dyDescent="0.2">
      <c r="AT2164" s="222"/>
      <c r="AU2164" s="222"/>
    </row>
    <row r="2165" spans="46:47" s="221" customFormat="1" x14ac:dyDescent="0.2">
      <c r="AT2165" s="222"/>
      <c r="AU2165" s="222"/>
    </row>
    <row r="2166" spans="46:47" s="221" customFormat="1" x14ac:dyDescent="0.2">
      <c r="AT2166" s="222"/>
      <c r="AU2166" s="222"/>
    </row>
    <row r="2167" spans="46:47" s="221" customFormat="1" x14ac:dyDescent="0.2">
      <c r="AT2167" s="222"/>
      <c r="AU2167" s="222"/>
    </row>
    <row r="2168" spans="46:47" s="221" customFormat="1" x14ac:dyDescent="0.2">
      <c r="AT2168" s="222"/>
      <c r="AU2168" s="222"/>
    </row>
    <row r="2169" spans="46:47" s="221" customFormat="1" x14ac:dyDescent="0.2">
      <c r="AT2169" s="222"/>
      <c r="AU2169" s="222"/>
    </row>
    <row r="2170" spans="46:47" s="221" customFormat="1" x14ac:dyDescent="0.2">
      <c r="AT2170" s="222"/>
      <c r="AU2170" s="222"/>
    </row>
    <row r="2171" spans="46:47" s="221" customFormat="1" x14ac:dyDescent="0.2">
      <c r="AT2171" s="222"/>
      <c r="AU2171" s="222"/>
    </row>
    <row r="2172" spans="46:47" s="221" customFormat="1" x14ac:dyDescent="0.2">
      <c r="AT2172" s="222"/>
      <c r="AU2172" s="222"/>
    </row>
    <row r="2173" spans="46:47" s="221" customFormat="1" x14ac:dyDescent="0.2">
      <c r="AT2173" s="222"/>
      <c r="AU2173" s="222"/>
    </row>
    <row r="2174" spans="46:47" s="221" customFormat="1" x14ac:dyDescent="0.2">
      <c r="AT2174" s="222"/>
      <c r="AU2174" s="222"/>
    </row>
    <row r="2175" spans="46:47" s="221" customFormat="1" x14ac:dyDescent="0.2">
      <c r="AT2175" s="222"/>
      <c r="AU2175" s="222"/>
    </row>
    <row r="2176" spans="46:47" s="221" customFormat="1" x14ac:dyDescent="0.2">
      <c r="AT2176" s="222"/>
      <c r="AU2176" s="222"/>
    </row>
    <row r="2177" spans="46:47" s="221" customFormat="1" x14ac:dyDescent="0.2">
      <c r="AT2177" s="222"/>
      <c r="AU2177" s="222"/>
    </row>
    <row r="2178" spans="46:47" s="221" customFormat="1" x14ac:dyDescent="0.2">
      <c r="AT2178" s="222"/>
      <c r="AU2178" s="222"/>
    </row>
    <row r="2179" spans="46:47" s="221" customFormat="1" x14ac:dyDescent="0.2">
      <c r="AT2179" s="222"/>
      <c r="AU2179" s="222"/>
    </row>
    <row r="2180" spans="46:47" s="221" customFormat="1" x14ac:dyDescent="0.2">
      <c r="AT2180" s="222"/>
      <c r="AU2180" s="222"/>
    </row>
    <row r="2181" spans="46:47" s="221" customFormat="1" x14ac:dyDescent="0.2">
      <c r="AT2181" s="222"/>
      <c r="AU2181" s="222"/>
    </row>
    <row r="2182" spans="46:47" s="221" customFormat="1" x14ac:dyDescent="0.2">
      <c r="AT2182" s="222"/>
      <c r="AU2182" s="222"/>
    </row>
    <row r="2183" spans="46:47" s="221" customFormat="1" x14ac:dyDescent="0.2">
      <c r="AT2183" s="222"/>
      <c r="AU2183" s="222"/>
    </row>
    <row r="2184" spans="46:47" s="221" customFormat="1" x14ac:dyDescent="0.2">
      <c r="AT2184" s="222"/>
      <c r="AU2184" s="222"/>
    </row>
    <row r="2185" spans="46:47" s="221" customFormat="1" x14ac:dyDescent="0.2">
      <c r="AT2185" s="222"/>
      <c r="AU2185" s="222"/>
    </row>
    <row r="2186" spans="46:47" s="221" customFormat="1" x14ac:dyDescent="0.2">
      <c r="AT2186" s="222"/>
      <c r="AU2186" s="222"/>
    </row>
    <row r="2187" spans="46:47" s="221" customFormat="1" x14ac:dyDescent="0.2">
      <c r="AT2187" s="222"/>
      <c r="AU2187" s="222"/>
    </row>
    <row r="2188" spans="46:47" s="221" customFormat="1" x14ac:dyDescent="0.2">
      <c r="AT2188" s="222"/>
      <c r="AU2188" s="222"/>
    </row>
    <row r="2189" spans="46:47" s="221" customFormat="1" x14ac:dyDescent="0.2">
      <c r="AT2189" s="222"/>
      <c r="AU2189" s="222"/>
    </row>
    <row r="2190" spans="46:47" s="221" customFormat="1" x14ac:dyDescent="0.2">
      <c r="AT2190" s="222"/>
      <c r="AU2190" s="222"/>
    </row>
    <row r="2191" spans="46:47" s="221" customFormat="1" x14ac:dyDescent="0.2">
      <c r="AT2191" s="222"/>
      <c r="AU2191" s="222"/>
    </row>
    <row r="2192" spans="46:47" s="221" customFormat="1" x14ac:dyDescent="0.2">
      <c r="AT2192" s="222"/>
      <c r="AU2192" s="222"/>
    </row>
    <row r="2193" spans="46:47" s="221" customFormat="1" x14ac:dyDescent="0.2">
      <c r="AT2193" s="222"/>
      <c r="AU2193" s="222"/>
    </row>
    <row r="2194" spans="46:47" s="221" customFormat="1" x14ac:dyDescent="0.2">
      <c r="AT2194" s="222"/>
      <c r="AU2194" s="222"/>
    </row>
    <row r="2195" spans="46:47" s="221" customFormat="1" x14ac:dyDescent="0.2">
      <c r="AT2195" s="222"/>
      <c r="AU2195" s="222"/>
    </row>
    <row r="2196" spans="46:47" s="221" customFormat="1" x14ac:dyDescent="0.2">
      <c r="AT2196" s="222"/>
      <c r="AU2196" s="222"/>
    </row>
    <row r="2197" spans="46:47" s="221" customFormat="1" x14ac:dyDescent="0.2">
      <c r="AT2197" s="222"/>
      <c r="AU2197" s="222"/>
    </row>
    <row r="2198" spans="46:47" s="221" customFormat="1" x14ac:dyDescent="0.2">
      <c r="AT2198" s="222"/>
      <c r="AU2198" s="222"/>
    </row>
    <row r="2199" spans="46:47" s="221" customFormat="1" x14ac:dyDescent="0.2">
      <c r="AT2199" s="222"/>
      <c r="AU2199" s="222"/>
    </row>
    <row r="2200" spans="46:47" s="221" customFormat="1" x14ac:dyDescent="0.2">
      <c r="AT2200" s="222"/>
      <c r="AU2200" s="222"/>
    </row>
    <row r="2201" spans="46:47" s="221" customFormat="1" x14ac:dyDescent="0.2">
      <c r="AT2201" s="222"/>
      <c r="AU2201" s="222"/>
    </row>
    <row r="2202" spans="46:47" s="221" customFormat="1" x14ac:dyDescent="0.2">
      <c r="AT2202" s="222"/>
      <c r="AU2202" s="222"/>
    </row>
    <row r="2203" spans="46:47" s="221" customFormat="1" x14ac:dyDescent="0.2">
      <c r="AT2203" s="222"/>
      <c r="AU2203" s="222"/>
    </row>
    <row r="2204" spans="46:47" s="221" customFormat="1" x14ac:dyDescent="0.2">
      <c r="AT2204" s="222"/>
      <c r="AU2204" s="222"/>
    </row>
    <row r="2205" spans="46:47" s="221" customFormat="1" x14ac:dyDescent="0.2">
      <c r="AT2205" s="222"/>
      <c r="AU2205" s="222"/>
    </row>
    <row r="2206" spans="46:47" s="221" customFormat="1" x14ac:dyDescent="0.2">
      <c r="AT2206" s="222"/>
      <c r="AU2206" s="222"/>
    </row>
    <row r="2207" spans="46:47" s="221" customFormat="1" x14ac:dyDescent="0.2">
      <c r="AT2207" s="222"/>
      <c r="AU2207" s="222"/>
    </row>
    <row r="2208" spans="46:47" s="221" customFormat="1" x14ac:dyDescent="0.2">
      <c r="AT2208" s="222"/>
      <c r="AU2208" s="222"/>
    </row>
    <row r="2209" spans="46:47" s="221" customFormat="1" x14ac:dyDescent="0.2">
      <c r="AT2209" s="222"/>
      <c r="AU2209" s="222"/>
    </row>
    <row r="2210" spans="46:47" s="221" customFormat="1" x14ac:dyDescent="0.2">
      <c r="AT2210" s="222"/>
      <c r="AU2210" s="222"/>
    </row>
    <row r="2211" spans="46:47" s="221" customFormat="1" x14ac:dyDescent="0.2">
      <c r="AT2211" s="222"/>
      <c r="AU2211" s="222"/>
    </row>
    <row r="2212" spans="46:47" s="221" customFormat="1" x14ac:dyDescent="0.2">
      <c r="AT2212" s="222"/>
      <c r="AU2212" s="222"/>
    </row>
    <row r="2213" spans="46:47" s="221" customFormat="1" x14ac:dyDescent="0.2">
      <c r="AT2213" s="222"/>
      <c r="AU2213" s="222"/>
    </row>
    <row r="2214" spans="46:47" s="221" customFormat="1" x14ac:dyDescent="0.2">
      <c r="AT2214" s="222"/>
      <c r="AU2214" s="222"/>
    </row>
    <row r="2215" spans="46:47" s="221" customFormat="1" x14ac:dyDescent="0.2">
      <c r="AT2215" s="222"/>
      <c r="AU2215" s="222"/>
    </row>
    <row r="2216" spans="46:47" s="221" customFormat="1" x14ac:dyDescent="0.2">
      <c r="AT2216" s="222"/>
      <c r="AU2216" s="222"/>
    </row>
    <row r="2217" spans="46:47" s="221" customFormat="1" x14ac:dyDescent="0.2">
      <c r="AT2217" s="222"/>
      <c r="AU2217" s="222"/>
    </row>
    <row r="2218" spans="46:47" s="221" customFormat="1" x14ac:dyDescent="0.2">
      <c r="AT2218" s="222"/>
      <c r="AU2218" s="222"/>
    </row>
    <row r="2219" spans="46:47" s="221" customFormat="1" x14ac:dyDescent="0.2">
      <c r="AT2219" s="222"/>
      <c r="AU2219" s="222"/>
    </row>
    <row r="2220" spans="46:47" s="221" customFormat="1" x14ac:dyDescent="0.2">
      <c r="AT2220" s="222"/>
      <c r="AU2220" s="222"/>
    </row>
    <row r="2221" spans="46:47" s="221" customFormat="1" x14ac:dyDescent="0.2">
      <c r="AT2221" s="222"/>
      <c r="AU2221" s="222"/>
    </row>
    <row r="2222" spans="46:47" s="221" customFormat="1" x14ac:dyDescent="0.2">
      <c r="AT2222" s="222"/>
      <c r="AU2222" s="222"/>
    </row>
    <row r="2223" spans="46:47" s="221" customFormat="1" x14ac:dyDescent="0.2">
      <c r="AT2223" s="222"/>
      <c r="AU2223" s="222"/>
    </row>
    <row r="2224" spans="46:47" s="221" customFormat="1" x14ac:dyDescent="0.2">
      <c r="AT2224" s="222"/>
      <c r="AU2224" s="222"/>
    </row>
    <row r="2225" spans="46:47" s="221" customFormat="1" x14ac:dyDescent="0.2">
      <c r="AT2225" s="222"/>
      <c r="AU2225" s="222"/>
    </row>
    <row r="2226" spans="46:47" s="221" customFormat="1" x14ac:dyDescent="0.2">
      <c r="AT2226" s="222"/>
      <c r="AU2226" s="222"/>
    </row>
    <row r="2227" spans="46:47" s="221" customFormat="1" x14ac:dyDescent="0.2">
      <c r="AT2227" s="222"/>
      <c r="AU2227" s="222"/>
    </row>
    <row r="2228" spans="46:47" s="221" customFormat="1" x14ac:dyDescent="0.2">
      <c r="AT2228" s="222"/>
      <c r="AU2228" s="222"/>
    </row>
    <row r="2229" spans="46:47" s="221" customFormat="1" x14ac:dyDescent="0.2">
      <c r="AT2229" s="222"/>
      <c r="AU2229" s="222"/>
    </row>
    <row r="2230" spans="46:47" s="221" customFormat="1" x14ac:dyDescent="0.2">
      <c r="AT2230" s="222"/>
      <c r="AU2230" s="222"/>
    </row>
    <row r="2231" spans="46:47" s="221" customFormat="1" x14ac:dyDescent="0.2">
      <c r="AT2231" s="222"/>
      <c r="AU2231" s="222"/>
    </row>
    <row r="2232" spans="46:47" s="221" customFormat="1" x14ac:dyDescent="0.2">
      <c r="AT2232" s="222"/>
      <c r="AU2232" s="222"/>
    </row>
    <row r="2233" spans="46:47" s="221" customFormat="1" x14ac:dyDescent="0.2">
      <c r="AT2233" s="222"/>
      <c r="AU2233" s="222"/>
    </row>
    <row r="2234" spans="46:47" s="221" customFormat="1" x14ac:dyDescent="0.2">
      <c r="AT2234" s="222"/>
      <c r="AU2234" s="222"/>
    </row>
    <row r="2235" spans="46:47" s="221" customFormat="1" x14ac:dyDescent="0.2">
      <c r="AT2235" s="222"/>
      <c r="AU2235" s="222"/>
    </row>
    <row r="2236" spans="46:47" s="221" customFormat="1" x14ac:dyDescent="0.2">
      <c r="AT2236" s="222"/>
      <c r="AU2236" s="222"/>
    </row>
    <row r="2237" spans="46:47" s="221" customFormat="1" x14ac:dyDescent="0.2">
      <c r="AT2237" s="222"/>
      <c r="AU2237" s="222"/>
    </row>
    <row r="2238" spans="46:47" s="221" customFormat="1" x14ac:dyDescent="0.2">
      <c r="AT2238" s="222"/>
      <c r="AU2238" s="222"/>
    </row>
    <row r="2239" spans="46:47" s="221" customFormat="1" x14ac:dyDescent="0.2">
      <c r="AT2239" s="222"/>
      <c r="AU2239" s="222"/>
    </row>
    <row r="2240" spans="46:47" s="221" customFormat="1" x14ac:dyDescent="0.2">
      <c r="AT2240" s="222"/>
      <c r="AU2240" s="222"/>
    </row>
    <row r="2241" spans="46:47" s="221" customFormat="1" x14ac:dyDescent="0.2">
      <c r="AT2241" s="222"/>
      <c r="AU2241" s="222"/>
    </row>
    <row r="2242" spans="46:47" s="221" customFormat="1" x14ac:dyDescent="0.2">
      <c r="AT2242" s="222"/>
      <c r="AU2242" s="222"/>
    </row>
    <row r="2243" spans="46:47" s="221" customFormat="1" x14ac:dyDescent="0.2">
      <c r="AT2243" s="222"/>
      <c r="AU2243" s="222"/>
    </row>
    <row r="2244" spans="46:47" s="221" customFormat="1" x14ac:dyDescent="0.2">
      <c r="AT2244" s="222"/>
      <c r="AU2244" s="222"/>
    </row>
    <row r="2245" spans="46:47" s="221" customFormat="1" x14ac:dyDescent="0.2">
      <c r="AT2245" s="222"/>
      <c r="AU2245" s="222"/>
    </row>
    <row r="2246" spans="46:47" s="221" customFormat="1" x14ac:dyDescent="0.2">
      <c r="AT2246" s="222"/>
      <c r="AU2246" s="222"/>
    </row>
    <row r="2247" spans="46:47" s="221" customFormat="1" x14ac:dyDescent="0.2">
      <c r="AT2247" s="222"/>
      <c r="AU2247" s="222"/>
    </row>
    <row r="2248" spans="46:47" s="221" customFormat="1" x14ac:dyDescent="0.2">
      <c r="AT2248" s="222"/>
      <c r="AU2248" s="222"/>
    </row>
    <row r="2249" spans="46:47" s="221" customFormat="1" x14ac:dyDescent="0.2">
      <c r="AT2249" s="222"/>
      <c r="AU2249" s="222"/>
    </row>
    <row r="2250" spans="46:47" s="221" customFormat="1" x14ac:dyDescent="0.2">
      <c r="AT2250" s="222"/>
      <c r="AU2250" s="222"/>
    </row>
    <row r="2251" spans="46:47" s="221" customFormat="1" x14ac:dyDescent="0.2">
      <c r="AT2251" s="222"/>
      <c r="AU2251" s="222"/>
    </row>
    <row r="2252" spans="46:47" s="221" customFormat="1" x14ac:dyDescent="0.2">
      <c r="AT2252" s="222"/>
      <c r="AU2252" s="222"/>
    </row>
    <row r="2253" spans="46:47" s="221" customFormat="1" x14ac:dyDescent="0.2">
      <c r="AT2253" s="222"/>
      <c r="AU2253" s="222"/>
    </row>
    <row r="2254" spans="46:47" s="221" customFormat="1" x14ac:dyDescent="0.2">
      <c r="AT2254" s="222"/>
      <c r="AU2254" s="222"/>
    </row>
    <row r="2255" spans="46:47" s="221" customFormat="1" x14ac:dyDescent="0.2">
      <c r="AT2255" s="222"/>
      <c r="AU2255" s="222"/>
    </row>
    <row r="2256" spans="46:47" s="221" customFormat="1" x14ac:dyDescent="0.2">
      <c r="AT2256" s="222"/>
      <c r="AU2256" s="222"/>
    </row>
    <row r="2257" spans="46:47" s="221" customFormat="1" x14ac:dyDescent="0.2">
      <c r="AT2257" s="222"/>
      <c r="AU2257" s="222"/>
    </row>
    <row r="2258" spans="46:47" s="221" customFormat="1" x14ac:dyDescent="0.2">
      <c r="AT2258" s="222"/>
      <c r="AU2258" s="222"/>
    </row>
    <row r="2259" spans="46:47" s="221" customFormat="1" x14ac:dyDescent="0.2">
      <c r="AT2259" s="222"/>
      <c r="AU2259" s="222"/>
    </row>
    <row r="2260" spans="46:47" s="221" customFormat="1" x14ac:dyDescent="0.2">
      <c r="AT2260" s="222"/>
      <c r="AU2260" s="222"/>
    </row>
    <row r="2261" spans="46:47" s="221" customFormat="1" x14ac:dyDescent="0.2">
      <c r="AT2261" s="222"/>
      <c r="AU2261" s="222"/>
    </row>
    <row r="2262" spans="46:47" s="221" customFormat="1" x14ac:dyDescent="0.2">
      <c r="AT2262" s="222"/>
      <c r="AU2262" s="222"/>
    </row>
    <row r="2263" spans="46:47" s="221" customFormat="1" x14ac:dyDescent="0.2">
      <c r="AT2263" s="222"/>
      <c r="AU2263" s="222"/>
    </row>
    <row r="2264" spans="46:47" s="221" customFormat="1" x14ac:dyDescent="0.2">
      <c r="AT2264" s="222"/>
      <c r="AU2264" s="222"/>
    </row>
    <row r="2265" spans="46:47" s="221" customFormat="1" x14ac:dyDescent="0.2">
      <c r="AT2265" s="222"/>
      <c r="AU2265" s="222"/>
    </row>
    <row r="2266" spans="46:47" s="221" customFormat="1" x14ac:dyDescent="0.2">
      <c r="AT2266" s="222"/>
      <c r="AU2266" s="222"/>
    </row>
    <row r="2267" spans="46:47" s="221" customFormat="1" x14ac:dyDescent="0.2">
      <c r="AT2267" s="222"/>
      <c r="AU2267" s="222"/>
    </row>
    <row r="2268" spans="46:47" s="221" customFormat="1" x14ac:dyDescent="0.2">
      <c r="AT2268" s="222"/>
      <c r="AU2268" s="222"/>
    </row>
    <row r="2269" spans="46:47" s="221" customFormat="1" x14ac:dyDescent="0.2">
      <c r="AT2269" s="222"/>
      <c r="AU2269" s="222"/>
    </row>
    <row r="2270" spans="46:47" s="221" customFormat="1" x14ac:dyDescent="0.2">
      <c r="AT2270" s="222"/>
      <c r="AU2270" s="222"/>
    </row>
    <row r="2271" spans="46:47" s="221" customFormat="1" x14ac:dyDescent="0.2">
      <c r="AT2271" s="222"/>
      <c r="AU2271" s="222"/>
    </row>
    <row r="2272" spans="46:47" s="221" customFormat="1" x14ac:dyDescent="0.2">
      <c r="AT2272" s="222"/>
      <c r="AU2272" s="222"/>
    </row>
    <row r="2273" spans="46:47" s="221" customFormat="1" x14ac:dyDescent="0.2">
      <c r="AT2273" s="222"/>
      <c r="AU2273" s="222"/>
    </row>
    <row r="2274" spans="46:47" s="221" customFormat="1" x14ac:dyDescent="0.2">
      <c r="AT2274" s="222"/>
      <c r="AU2274" s="222"/>
    </row>
    <row r="2275" spans="46:47" s="221" customFormat="1" x14ac:dyDescent="0.2">
      <c r="AT2275" s="222"/>
      <c r="AU2275" s="222"/>
    </row>
    <row r="2276" spans="46:47" s="221" customFormat="1" x14ac:dyDescent="0.2">
      <c r="AT2276" s="222"/>
      <c r="AU2276" s="222"/>
    </row>
    <row r="2277" spans="46:47" s="221" customFormat="1" x14ac:dyDescent="0.2">
      <c r="AT2277" s="222"/>
      <c r="AU2277" s="222"/>
    </row>
    <row r="2278" spans="46:47" s="221" customFormat="1" x14ac:dyDescent="0.2">
      <c r="AT2278" s="222"/>
      <c r="AU2278" s="222"/>
    </row>
    <row r="2279" spans="46:47" s="221" customFormat="1" x14ac:dyDescent="0.2">
      <c r="AT2279" s="222"/>
      <c r="AU2279" s="222"/>
    </row>
    <row r="2280" spans="46:47" s="221" customFormat="1" x14ac:dyDescent="0.2">
      <c r="AT2280" s="222"/>
      <c r="AU2280" s="222"/>
    </row>
    <row r="2281" spans="46:47" s="221" customFormat="1" x14ac:dyDescent="0.2">
      <c r="AT2281" s="222"/>
      <c r="AU2281" s="222"/>
    </row>
    <row r="2282" spans="46:47" s="221" customFormat="1" x14ac:dyDescent="0.2">
      <c r="AT2282" s="222"/>
      <c r="AU2282" s="222"/>
    </row>
    <row r="2283" spans="46:47" s="221" customFormat="1" x14ac:dyDescent="0.2">
      <c r="AT2283" s="222"/>
      <c r="AU2283" s="222"/>
    </row>
    <row r="2284" spans="46:47" s="221" customFormat="1" x14ac:dyDescent="0.2">
      <c r="AT2284" s="222"/>
      <c r="AU2284" s="222"/>
    </row>
    <row r="2285" spans="46:47" s="221" customFormat="1" x14ac:dyDescent="0.2">
      <c r="AT2285" s="222"/>
      <c r="AU2285" s="222"/>
    </row>
    <row r="2286" spans="46:47" s="221" customFormat="1" x14ac:dyDescent="0.2">
      <c r="AT2286" s="222"/>
      <c r="AU2286" s="222"/>
    </row>
    <row r="2287" spans="46:47" s="221" customFormat="1" x14ac:dyDescent="0.2">
      <c r="AT2287" s="222"/>
      <c r="AU2287" s="222"/>
    </row>
    <row r="2288" spans="46:47" s="221" customFormat="1" x14ac:dyDescent="0.2">
      <c r="AT2288" s="222"/>
      <c r="AU2288" s="222"/>
    </row>
    <row r="2289" spans="46:47" s="221" customFormat="1" x14ac:dyDescent="0.2">
      <c r="AT2289" s="222"/>
      <c r="AU2289" s="222"/>
    </row>
    <row r="2290" spans="46:47" s="221" customFormat="1" x14ac:dyDescent="0.2">
      <c r="AT2290" s="222"/>
      <c r="AU2290" s="222"/>
    </row>
    <row r="2291" spans="46:47" s="221" customFormat="1" x14ac:dyDescent="0.2">
      <c r="AT2291" s="222"/>
      <c r="AU2291" s="222"/>
    </row>
    <row r="2292" spans="46:47" s="221" customFormat="1" x14ac:dyDescent="0.2">
      <c r="AT2292" s="222"/>
      <c r="AU2292" s="222"/>
    </row>
    <row r="2293" spans="46:47" s="221" customFormat="1" x14ac:dyDescent="0.2">
      <c r="AT2293" s="222"/>
      <c r="AU2293" s="222"/>
    </row>
    <row r="2294" spans="46:47" s="221" customFormat="1" x14ac:dyDescent="0.2">
      <c r="AT2294" s="222"/>
      <c r="AU2294" s="222"/>
    </row>
    <row r="2295" spans="46:47" s="221" customFormat="1" x14ac:dyDescent="0.2">
      <c r="AT2295" s="222"/>
      <c r="AU2295" s="222"/>
    </row>
    <row r="2296" spans="46:47" s="221" customFormat="1" x14ac:dyDescent="0.2">
      <c r="AT2296" s="222"/>
      <c r="AU2296" s="222"/>
    </row>
    <row r="2297" spans="46:47" s="221" customFormat="1" x14ac:dyDescent="0.2">
      <c r="AT2297" s="222"/>
      <c r="AU2297" s="222"/>
    </row>
    <row r="2298" spans="46:47" s="221" customFormat="1" x14ac:dyDescent="0.2">
      <c r="AT2298" s="222"/>
      <c r="AU2298" s="222"/>
    </row>
    <row r="2299" spans="46:47" s="221" customFormat="1" x14ac:dyDescent="0.2">
      <c r="AT2299" s="222"/>
      <c r="AU2299" s="222"/>
    </row>
    <row r="2300" spans="46:47" s="221" customFormat="1" x14ac:dyDescent="0.2">
      <c r="AT2300" s="222"/>
      <c r="AU2300" s="222"/>
    </row>
    <row r="2301" spans="46:47" s="221" customFormat="1" x14ac:dyDescent="0.2">
      <c r="AT2301" s="222"/>
      <c r="AU2301" s="222"/>
    </row>
    <row r="2302" spans="46:47" s="221" customFormat="1" x14ac:dyDescent="0.2">
      <c r="AT2302" s="222"/>
      <c r="AU2302" s="222"/>
    </row>
    <row r="2303" spans="46:47" s="221" customFormat="1" x14ac:dyDescent="0.2">
      <c r="AT2303" s="222"/>
      <c r="AU2303" s="222"/>
    </row>
    <row r="2304" spans="46:47" s="221" customFormat="1" x14ac:dyDescent="0.2">
      <c r="AT2304" s="222"/>
      <c r="AU2304" s="222"/>
    </row>
    <row r="2305" spans="46:47" s="221" customFormat="1" x14ac:dyDescent="0.2">
      <c r="AT2305" s="222"/>
      <c r="AU2305" s="222"/>
    </row>
    <row r="2306" spans="46:47" s="221" customFormat="1" x14ac:dyDescent="0.2">
      <c r="AT2306" s="222"/>
      <c r="AU2306" s="222"/>
    </row>
    <row r="2307" spans="46:47" s="221" customFormat="1" x14ac:dyDescent="0.2">
      <c r="AT2307" s="222"/>
      <c r="AU2307" s="222"/>
    </row>
    <row r="2308" spans="46:47" s="221" customFormat="1" x14ac:dyDescent="0.2">
      <c r="AT2308" s="222"/>
      <c r="AU2308" s="222"/>
    </row>
    <row r="2309" spans="46:47" s="221" customFormat="1" x14ac:dyDescent="0.2">
      <c r="AT2309" s="222"/>
      <c r="AU2309" s="222"/>
    </row>
    <row r="2310" spans="46:47" s="221" customFormat="1" x14ac:dyDescent="0.2">
      <c r="AT2310" s="222"/>
      <c r="AU2310" s="222"/>
    </row>
    <row r="2311" spans="46:47" s="221" customFormat="1" x14ac:dyDescent="0.2">
      <c r="AT2311" s="222"/>
      <c r="AU2311" s="222"/>
    </row>
    <row r="2312" spans="46:47" s="221" customFormat="1" x14ac:dyDescent="0.2">
      <c r="AT2312" s="222"/>
      <c r="AU2312" s="222"/>
    </row>
    <row r="2313" spans="46:47" s="221" customFormat="1" x14ac:dyDescent="0.2">
      <c r="AT2313" s="222"/>
      <c r="AU2313" s="222"/>
    </row>
    <row r="2314" spans="46:47" s="221" customFormat="1" x14ac:dyDescent="0.2">
      <c r="AT2314" s="222"/>
      <c r="AU2314" s="222"/>
    </row>
    <row r="2315" spans="46:47" s="221" customFormat="1" x14ac:dyDescent="0.2">
      <c r="AT2315" s="222"/>
      <c r="AU2315" s="222"/>
    </row>
    <row r="2316" spans="46:47" s="221" customFormat="1" x14ac:dyDescent="0.2">
      <c r="AT2316" s="222"/>
      <c r="AU2316" s="222"/>
    </row>
    <row r="2317" spans="46:47" s="221" customFormat="1" x14ac:dyDescent="0.2">
      <c r="AT2317" s="222"/>
      <c r="AU2317" s="222"/>
    </row>
    <row r="2318" spans="46:47" s="221" customFormat="1" x14ac:dyDescent="0.2">
      <c r="AT2318" s="222"/>
      <c r="AU2318" s="222"/>
    </row>
    <row r="2319" spans="46:47" s="221" customFormat="1" x14ac:dyDescent="0.2">
      <c r="AT2319" s="222"/>
      <c r="AU2319" s="222"/>
    </row>
    <row r="2320" spans="46:47" s="221" customFormat="1" x14ac:dyDescent="0.2">
      <c r="AT2320" s="222"/>
      <c r="AU2320" s="222"/>
    </row>
    <row r="2321" spans="46:47" s="221" customFormat="1" x14ac:dyDescent="0.2">
      <c r="AT2321" s="222"/>
      <c r="AU2321" s="222"/>
    </row>
    <row r="2322" spans="46:47" s="221" customFormat="1" x14ac:dyDescent="0.2">
      <c r="AT2322" s="222"/>
      <c r="AU2322" s="222"/>
    </row>
    <row r="2323" spans="46:47" s="221" customFormat="1" x14ac:dyDescent="0.2">
      <c r="AT2323" s="222"/>
      <c r="AU2323" s="222"/>
    </row>
    <row r="2324" spans="46:47" s="221" customFormat="1" x14ac:dyDescent="0.2">
      <c r="AT2324" s="222"/>
      <c r="AU2324" s="222"/>
    </row>
    <row r="2325" spans="46:47" s="221" customFormat="1" x14ac:dyDescent="0.2">
      <c r="AT2325" s="222"/>
      <c r="AU2325" s="222"/>
    </row>
    <row r="2326" spans="46:47" s="221" customFormat="1" x14ac:dyDescent="0.2">
      <c r="AT2326" s="222"/>
      <c r="AU2326" s="222"/>
    </row>
    <row r="2327" spans="46:47" s="221" customFormat="1" x14ac:dyDescent="0.2">
      <c r="AT2327" s="222"/>
      <c r="AU2327" s="222"/>
    </row>
    <row r="2328" spans="46:47" s="221" customFormat="1" x14ac:dyDescent="0.2">
      <c r="AT2328" s="222"/>
      <c r="AU2328" s="222"/>
    </row>
    <row r="2329" spans="46:47" s="221" customFormat="1" x14ac:dyDescent="0.2">
      <c r="AT2329" s="222"/>
      <c r="AU2329" s="222"/>
    </row>
    <row r="2330" spans="46:47" s="221" customFormat="1" x14ac:dyDescent="0.2">
      <c r="AT2330" s="222"/>
      <c r="AU2330" s="222"/>
    </row>
    <row r="2331" spans="46:47" s="221" customFormat="1" x14ac:dyDescent="0.2">
      <c r="AT2331" s="222"/>
      <c r="AU2331" s="222"/>
    </row>
    <row r="2332" spans="46:47" s="221" customFormat="1" x14ac:dyDescent="0.2">
      <c r="AT2332" s="222"/>
      <c r="AU2332" s="222"/>
    </row>
    <row r="2333" spans="46:47" s="221" customFormat="1" x14ac:dyDescent="0.2">
      <c r="AT2333" s="222"/>
      <c r="AU2333" s="222"/>
    </row>
    <row r="2334" spans="46:47" s="221" customFormat="1" x14ac:dyDescent="0.2">
      <c r="AT2334" s="222"/>
      <c r="AU2334" s="222"/>
    </row>
    <row r="2335" spans="46:47" s="221" customFormat="1" x14ac:dyDescent="0.2">
      <c r="AT2335" s="222"/>
      <c r="AU2335" s="222"/>
    </row>
    <row r="2336" spans="46:47" s="221" customFormat="1" x14ac:dyDescent="0.2">
      <c r="AT2336" s="222"/>
      <c r="AU2336" s="222"/>
    </row>
    <row r="2337" spans="46:47" s="221" customFormat="1" x14ac:dyDescent="0.2">
      <c r="AT2337" s="222"/>
      <c r="AU2337" s="222"/>
    </row>
    <row r="2338" spans="46:47" s="221" customFormat="1" x14ac:dyDescent="0.2">
      <c r="AT2338" s="222"/>
      <c r="AU2338" s="222"/>
    </row>
    <row r="2339" spans="46:47" s="221" customFormat="1" x14ac:dyDescent="0.2">
      <c r="AT2339" s="222"/>
      <c r="AU2339" s="222"/>
    </row>
    <row r="2340" spans="46:47" s="221" customFormat="1" x14ac:dyDescent="0.2">
      <c r="AT2340" s="222"/>
      <c r="AU2340" s="222"/>
    </row>
    <row r="2341" spans="46:47" s="221" customFormat="1" x14ac:dyDescent="0.2">
      <c r="AT2341" s="222"/>
      <c r="AU2341" s="222"/>
    </row>
    <row r="2342" spans="46:47" s="221" customFormat="1" x14ac:dyDescent="0.2">
      <c r="AT2342" s="222"/>
      <c r="AU2342" s="222"/>
    </row>
    <row r="2343" spans="46:47" s="221" customFormat="1" x14ac:dyDescent="0.2">
      <c r="AT2343" s="222"/>
      <c r="AU2343" s="222"/>
    </row>
    <row r="2344" spans="46:47" s="221" customFormat="1" x14ac:dyDescent="0.2">
      <c r="AT2344" s="222"/>
      <c r="AU2344" s="222"/>
    </row>
    <row r="2345" spans="46:47" s="221" customFormat="1" x14ac:dyDescent="0.2">
      <c r="AT2345" s="222"/>
      <c r="AU2345" s="222"/>
    </row>
    <row r="2346" spans="46:47" s="221" customFormat="1" x14ac:dyDescent="0.2">
      <c r="AT2346" s="222"/>
      <c r="AU2346" s="222"/>
    </row>
    <row r="2347" spans="46:47" s="221" customFormat="1" x14ac:dyDescent="0.2">
      <c r="AT2347" s="222"/>
      <c r="AU2347" s="222"/>
    </row>
    <row r="2348" spans="46:47" s="221" customFormat="1" x14ac:dyDescent="0.2">
      <c r="AT2348" s="222"/>
      <c r="AU2348" s="222"/>
    </row>
    <row r="2349" spans="46:47" s="221" customFormat="1" x14ac:dyDescent="0.2">
      <c r="AT2349" s="222"/>
      <c r="AU2349" s="222"/>
    </row>
    <row r="2350" spans="46:47" s="221" customFormat="1" x14ac:dyDescent="0.2">
      <c r="AT2350" s="222"/>
      <c r="AU2350" s="222"/>
    </row>
    <row r="2351" spans="46:47" s="221" customFormat="1" x14ac:dyDescent="0.2">
      <c r="AT2351" s="222"/>
      <c r="AU2351" s="222"/>
    </row>
    <row r="2352" spans="46:47" s="221" customFormat="1" x14ac:dyDescent="0.2">
      <c r="AT2352" s="222"/>
      <c r="AU2352" s="222"/>
    </row>
    <row r="2353" spans="46:256" s="221" customFormat="1" x14ac:dyDescent="0.2">
      <c r="AT2353" s="222"/>
      <c r="AU2353" s="222"/>
    </row>
    <row r="2354" spans="46:256" s="221" customFormat="1" x14ac:dyDescent="0.2">
      <c r="AT2354" s="222"/>
      <c r="AU2354" s="222"/>
    </row>
    <row r="2355" spans="46:256" s="221" customFormat="1" x14ac:dyDescent="0.2">
      <c r="AT2355" s="222"/>
      <c r="AU2355" s="222"/>
    </row>
    <row r="2356" spans="46:256" s="221" customFormat="1" x14ac:dyDescent="0.2">
      <c r="AT2356" s="222"/>
      <c r="AU2356" s="222"/>
    </row>
    <row r="2357" spans="46:256" s="221" customFormat="1" x14ac:dyDescent="0.2">
      <c r="AT2357" s="222"/>
      <c r="AU2357" s="222"/>
    </row>
    <row r="2358" spans="46:256" s="221" customFormat="1" x14ac:dyDescent="0.2">
      <c r="AT2358" s="222"/>
      <c r="AU2358" s="222"/>
    </row>
    <row r="2359" spans="46:256" s="221" customFormat="1" x14ac:dyDescent="0.2">
      <c r="AT2359" s="222"/>
      <c r="AU2359" s="222"/>
    </row>
    <row r="2360" spans="46:256" s="221" customFormat="1" x14ac:dyDescent="0.2">
      <c r="AT2360" s="222"/>
      <c r="AU2360" s="222"/>
    </row>
    <row r="2361" spans="46:256" s="221" customFormat="1" x14ac:dyDescent="0.2">
      <c r="AT2361" s="222"/>
      <c r="AU2361" s="222"/>
    </row>
    <row r="2362" spans="46:256" s="221" customFormat="1" x14ac:dyDescent="0.2">
      <c r="AT2362" s="222"/>
      <c r="AU2362" s="222"/>
    </row>
    <row r="2363" spans="46:256" s="221" customFormat="1" x14ac:dyDescent="0.2">
      <c r="AT2363" s="222"/>
      <c r="AU2363" s="222"/>
    </row>
    <row r="2364" spans="46:256" s="221" customFormat="1" x14ac:dyDescent="0.2">
      <c r="AT2364" s="222"/>
      <c r="AU2364" s="222"/>
    </row>
    <row r="2365" spans="46:256" s="221" customFormat="1" x14ac:dyDescent="0.2">
      <c r="AT2365" s="222"/>
      <c r="AU2365" s="222"/>
    </row>
    <row r="2366" spans="46:256" s="221" customFormat="1" x14ac:dyDescent="0.2">
      <c r="AT2366" s="222"/>
      <c r="AU2366" s="222"/>
      <c r="BD2366" s="223"/>
      <c r="BE2366" s="223"/>
      <c r="BF2366" s="223"/>
      <c r="BG2366" s="223"/>
      <c r="BH2366" s="223"/>
      <c r="BI2366" s="223"/>
      <c r="BJ2366" s="223"/>
      <c r="BK2366" s="223"/>
      <c r="BL2366" s="223"/>
      <c r="BM2366" s="223"/>
      <c r="BN2366" s="223"/>
      <c r="BO2366" s="223"/>
      <c r="BP2366" s="223"/>
      <c r="BQ2366" s="223"/>
      <c r="BR2366" s="223"/>
      <c r="BS2366" s="223"/>
      <c r="BT2366" s="223"/>
      <c r="BU2366" s="223"/>
      <c r="BV2366" s="223"/>
      <c r="BW2366" s="223"/>
      <c r="BX2366" s="223"/>
      <c r="BY2366" s="223"/>
      <c r="BZ2366" s="223"/>
      <c r="CA2366" s="223"/>
      <c r="CB2366" s="223"/>
      <c r="CC2366" s="223"/>
      <c r="CD2366" s="223"/>
      <c r="CE2366" s="223"/>
      <c r="CF2366" s="223"/>
      <c r="CG2366" s="223"/>
      <c r="CH2366" s="223"/>
      <c r="CI2366" s="223"/>
      <c r="CJ2366" s="223"/>
      <c r="CK2366" s="223"/>
      <c r="CL2366" s="223"/>
      <c r="CM2366" s="223"/>
      <c r="CN2366" s="223"/>
      <c r="CO2366" s="223"/>
      <c r="CP2366" s="223"/>
      <c r="CQ2366" s="223"/>
      <c r="CR2366" s="223"/>
      <c r="CS2366" s="223"/>
      <c r="CT2366" s="223"/>
      <c r="CU2366" s="223"/>
      <c r="CV2366" s="223"/>
      <c r="CW2366" s="223"/>
      <c r="CX2366" s="223"/>
      <c r="CY2366" s="223"/>
      <c r="CZ2366" s="223"/>
      <c r="DA2366" s="223"/>
      <c r="DB2366" s="223"/>
      <c r="DC2366" s="223"/>
      <c r="DD2366" s="223"/>
      <c r="DE2366" s="223"/>
      <c r="DF2366" s="223"/>
      <c r="DG2366" s="223"/>
      <c r="DH2366" s="223"/>
      <c r="DI2366" s="223"/>
      <c r="DJ2366" s="223"/>
      <c r="DK2366" s="223"/>
      <c r="DL2366" s="223"/>
      <c r="DM2366" s="223"/>
      <c r="DN2366" s="223"/>
      <c r="DO2366" s="223"/>
      <c r="DP2366" s="223"/>
      <c r="DQ2366" s="223"/>
      <c r="DR2366" s="223"/>
      <c r="DS2366" s="223"/>
      <c r="DT2366" s="223"/>
      <c r="DU2366" s="223"/>
      <c r="DV2366" s="223"/>
      <c r="DW2366" s="223"/>
      <c r="DX2366" s="223"/>
      <c r="DY2366" s="223"/>
      <c r="DZ2366" s="223"/>
      <c r="EA2366" s="223"/>
      <c r="EB2366" s="223"/>
      <c r="EC2366" s="223"/>
      <c r="ED2366" s="223"/>
      <c r="EE2366" s="223"/>
      <c r="EF2366" s="223"/>
      <c r="EG2366" s="223"/>
      <c r="EH2366" s="223"/>
      <c r="EI2366" s="223"/>
      <c r="EJ2366" s="223"/>
      <c r="EK2366" s="223"/>
      <c r="EL2366" s="223"/>
      <c r="EM2366" s="223"/>
      <c r="EN2366" s="223"/>
      <c r="EO2366" s="223"/>
      <c r="EP2366" s="223"/>
      <c r="EQ2366" s="223"/>
      <c r="ER2366" s="223"/>
      <c r="ES2366" s="223"/>
      <c r="ET2366" s="223"/>
      <c r="EU2366" s="223"/>
      <c r="EV2366" s="223"/>
      <c r="EW2366" s="223"/>
      <c r="EX2366" s="223"/>
      <c r="EY2366" s="223"/>
      <c r="EZ2366" s="223"/>
      <c r="FA2366" s="223"/>
      <c r="FB2366" s="223"/>
      <c r="FC2366" s="223"/>
      <c r="FD2366" s="223"/>
      <c r="FE2366" s="223"/>
      <c r="FF2366" s="223"/>
      <c r="FG2366" s="223"/>
      <c r="FH2366" s="223"/>
      <c r="FI2366" s="223"/>
      <c r="FJ2366" s="223"/>
      <c r="FK2366" s="223"/>
      <c r="FL2366" s="223"/>
      <c r="FM2366" s="223"/>
      <c r="FN2366" s="223"/>
      <c r="FO2366" s="223"/>
      <c r="FP2366" s="223"/>
      <c r="FQ2366" s="223"/>
      <c r="FR2366" s="223"/>
      <c r="FS2366" s="223"/>
      <c r="FT2366" s="223"/>
      <c r="FU2366" s="223"/>
      <c r="FV2366" s="223"/>
      <c r="FW2366" s="223"/>
      <c r="FX2366" s="223"/>
      <c r="FY2366" s="223"/>
      <c r="FZ2366" s="223"/>
      <c r="GA2366" s="223"/>
      <c r="GB2366" s="223"/>
      <c r="GC2366" s="223"/>
      <c r="GD2366" s="223"/>
      <c r="GE2366" s="223"/>
      <c r="GF2366" s="223"/>
      <c r="GG2366" s="223"/>
      <c r="GH2366" s="223"/>
      <c r="GI2366" s="223"/>
      <c r="GJ2366" s="223"/>
      <c r="GK2366" s="223"/>
      <c r="GL2366" s="223"/>
      <c r="GM2366" s="223"/>
      <c r="GN2366" s="223"/>
      <c r="GO2366" s="223"/>
      <c r="GP2366" s="223"/>
      <c r="GQ2366" s="223"/>
      <c r="GR2366" s="223"/>
      <c r="GS2366" s="223"/>
      <c r="GT2366" s="223"/>
      <c r="GU2366" s="223"/>
      <c r="GV2366" s="223"/>
      <c r="GW2366" s="223"/>
      <c r="GX2366" s="223"/>
      <c r="GY2366" s="223"/>
      <c r="GZ2366" s="223"/>
      <c r="HA2366" s="223"/>
      <c r="HB2366" s="223"/>
      <c r="HC2366" s="223"/>
      <c r="HD2366" s="223"/>
      <c r="HE2366" s="223"/>
      <c r="HF2366" s="223"/>
      <c r="HG2366" s="223"/>
      <c r="HH2366" s="223"/>
      <c r="HI2366" s="223"/>
      <c r="HJ2366" s="223"/>
      <c r="HK2366" s="223"/>
      <c r="HL2366" s="223"/>
      <c r="HM2366" s="223"/>
      <c r="HN2366" s="223"/>
      <c r="HO2366" s="223"/>
      <c r="HP2366" s="223"/>
      <c r="HQ2366" s="223"/>
      <c r="HR2366" s="223"/>
      <c r="HS2366" s="223"/>
      <c r="HT2366" s="223"/>
      <c r="HU2366" s="223"/>
      <c r="HV2366" s="223"/>
      <c r="HW2366" s="223"/>
      <c r="HX2366" s="223"/>
      <c r="HY2366" s="223"/>
      <c r="HZ2366" s="223"/>
      <c r="IA2366" s="223"/>
      <c r="IB2366" s="223"/>
      <c r="IC2366" s="223"/>
      <c r="ID2366" s="223"/>
      <c r="IE2366" s="223"/>
      <c r="IF2366" s="223"/>
      <c r="IG2366" s="223"/>
      <c r="IH2366" s="223"/>
      <c r="II2366" s="223"/>
      <c r="IJ2366" s="223"/>
      <c r="IK2366" s="223"/>
      <c r="IL2366" s="223"/>
      <c r="IM2366" s="223"/>
      <c r="IN2366" s="223"/>
      <c r="IO2366" s="223"/>
      <c r="IP2366" s="223"/>
      <c r="IQ2366" s="223"/>
      <c r="IR2366" s="223"/>
      <c r="IS2366" s="223"/>
      <c r="IT2366" s="223"/>
      <c r="IU2366" s="223"/>
      <c r="IV2366" s="223"/>
    </row>
    <row r="2367" spans="46:256" s="221" customFormat="1" x14ac:dyDescent="0.2">
      <c r="AT2367" s="222"/>
      <c r="AU2367" s="222"/>
      <c r="BD2367" s="223"/>
      <c r="BE2367" s="223"/>
      <c r="BF2367" s="223"/>
      <c r="BG2367" s="223"/>
      <c r="BH2367" s="223"/>
      <c r="BI2367" s="223"/>
      <c r="BJ2367" s="223"/>
      <c r="BK2367" s="223"/>
      <c r="BL2367" s="223"/>
      <c r="BM2367" s="223"/>
      <c r="BN2367" s="223"/>
      <c r="BO2367" s="223"/>
      <c r="BP2367" s="223"/>
      <c r="BQ2367" s="223"/>
      <c r="BR2367" s="223"/>
      <c r="BS2367" s="223"/>
      <c r="BT2367" s="223"/>
      <c r="BU2367" s="223"/>
      <c r="BV2367" s="223"/>
      <c r="BW2367" s="223"/>
      <c r="BX2367" s="223"/>
      <c r="BY2367" s="223"/>
      <c r="BZ2367" s="223"/>
      <c r="CA2367" s="223"/>
      <c r="CB2367" s="223"/>
      <c r="CC2367" s="223"/>
      <c r="CD2367" s="223"/>
      <c r="CE2367" s="223"/>
      <c r="CF2367" s="223"/>
      <c r="CG2367" s="223"/>
      <c r="CH2367" s="223"/>
      <c r="CI2367" s="223"/>
      <c r="CJ2367" s="223"/>
      <c r="CK2367" s="223"/>
      <c r="CL2367" s="223"/>
      <c r="CM2367" s="223"/>
      <c r="CN2367" s="223"/>
      <c r="CO2367" s="223"/>
      <c r="CP2367" s="223"/>
      <c r="CQ2367" s="223"/>
      <c r="CR2367" s="223"/>
      <c r="CS2367" s="223"/>
      <c r="CT2367" s="223"/>
      <c r="CU2367" s="223"/>
      <c r="CV2367" s="223"/>
      <c r="CW2367" s="223"/>
      <c r="CX2367" s="223"/>
      <c r="CY2367" s="223"/>
      <c r="CZ2367" s="223"/>
      <c r="DA2367" s="223"/>
      <c r="DB2367" s="223"/>
      <c r="DC2367" s="223"/>
      <c r="DD2367" s="223"/>
      <c r="DE2367" s="223"/>
      <c r="DF2367" s="223"/>
      <c r="DG2367" s="223"/>
      <c r="DH2367" s="223"/>
      <c r="DI2367" s="223"/>
      <c r="DJ2367" s="223"/>
      <c r="DK2367" s="223"/>
      <c r="DL2367" s="223"/>
      <c r="DM2367" s="223"/>
      <c r="DN2367" s="223"/>
      <c r="DO2367" s="223"/>
      <c r="DP2367" s="223"/>
      <c r="DQ2367" s="223"/>
      <c r="DR2367" s="223"/>
      <c r="DS2367" s="223"/>
      <c r="DT2367" s="223"/>
      <c r="DU2367" s="223"/>
      <c r="DV2367" s="223"/>
      <c r="DW2367" s="223"/>
      <c r="DX2367" s="223"/>
      <c r="DY2367" s="223"/>
      <c r="DZ2367" s="223"/>
      <c r="EA2367" s="223"/>
      <c r="EB2367" s="223"/>
      <c r="EC2367" s="223"/>
      <c r="ED2367" s="223"/>
      <c r="EE2367" s="223"/>
      <c r="EF2367" s="223"/>
      <c r="EG2367" s="223"/>
      <c r="EH2367" s="223"/>
      <c r="EI2367" s="223"/>
      <c r="EJ2367" s="223"/>
      <c r="EK2367" s="223"/>
      <c r="EL2367" s="223"/>
      <c r="EM2367" s="223"/>
      <c r="EN2367" s="223"/>
      <c r="EO2367" s="223"/>
      <c r="EP2367" s="223"/>
      <c r="EQ2367" s="223"/>
      <c r="ER2367" s="223"/>
      <c r="ES2367" s="223"/>
      <c r="ET2367" s="223"/>
      <c r="EU2367" s="223"/>
      <c r="EV2367" s="223"/>
      <c r="EW2367" s="223"/>
      <c r="EX2367" s="223"/>
      <c r="EY2367" s="223"/>
      <c r="EZ2367" s="223"/>
      <c r="FA2367" s="223"/>
      <c r="FB2367" s="223"/>
      <c r="FC2367" s="223"/>
      <c r="FD2367" s="223"/>
      <c r="FE2367" s="223"/>
      <c r="FF2367" s="223"/>
      <c r="FG2367" s="223"/>
      <c r="FH2367" s="223"/>
      <c r="FI2367" s="223"/>
      <c r="FJ2367" s="223"/>
      <c r="FK2367" s="223"/>
      <c r="FL2367" s="223"/>
      <c r="FM2367" s="223"/>
      <c r="FN2367" s="223"/>
      <c r="FO2367" s="223"/>
      <c r="FP2367" s="223"/>
      <c r="FQ2367" s="223"/>
      <c r="FR2367" s="223"/>
      <c r="FS2367" s="223"/>
      <c r="FT2367" s="223"/>
      <c r="FU2367" s="223"/>
      <c r="FV2367" s="223"/>
      <c r="FW2367" s="223"/>
      <c r="FX2367" s="223"/>
      <c r="FY2367" s="223"/>
      <c r="FZ2367" s="223"/>
      <c r="GA2367" s="223"/>
      <c r="GB2367" s="223"/>
      <c r="GC2367" s="223"/>
      <c r="GD2367" s="223"/>
      <c r="GE2367" s="223"/>
      <c r="GF2367" s="223"/>
      <c r="GG2367" s="223"/>
      <c r="GH2367" s="223"/>
      <c r="GI2367" s="223"/>
      <c r="GJ2367" s="223"/>
      <c r="GK2367" s="223"/>
      <c r="GL2367" s="223"/>
      <c r="GM2367" s="223"/>
      <c r="GN2367" s="223"/>
      <c r="GO2367" s="223"/>
      <c r="GP2367" s="223"/>
      <c r="GQ2367" s="223"/>
      <c r="GR2367" s="223"/>
      <c r="GS2367" s="223"/>
      <c r="GT2367" s="223"/>
      <c r="GU2367" s="223"/>
      <c r="GV2367" s="223"/>
      <c r="GW2367" s="223"/>
      <c r="GX2367" s="223"/>
      <c r="GY2367" s="223"/>
      <c r="GZ2367" s="223"/>
      <c r="HA2367" s="223"/>
      <c r="HB2367" s="223"/>
      <c r="HC2367" s="223"/>
      <c r="HD2367" s="223"/>
      <c r="HE2367" s="223"/>
      <c r="HF2367" s="223"/>
      <c r="HG2367" s="223"/>
      <c r="HH2367" s="223"/>
      <c r="HI2367" s="223"/>
      <c r="HJ2367" s="223"/>
      <c r="HK2367" s="223"/>
      <c r="HL2367" s="223"/>
      <c r="HM2367" s="223"/>
      <c r="HN2367" s="223"/>
      <c r="HO2367" s="223"/>
      <c r="HP2367" s="223"/>
      <c r="HQ2367" s="223"/>
      <c r="HR2367" s="223"/>
      <c r="HS2367" s="223"/>
      <c r="HT2367" s="223"/>
      <c r="HU2367" s="223"/>
      <c r="HV2367" s="223"/>
      <c r="HW2367" s="223"/>
      <c r="HX2367" s="223"/>
      <c r="HY2367" s="223"/>
      <c r="HZ2367" s="223"/>
      <c r="IA2367" s="223"/>
      <c r="IB2367" s="223"/>
      <c r="IC2367" s="223"/>
      <c r="ID2367" s="223"/>
      <c r="IE2367" s="223"/>
      <c r="IF2367" s="223"/>
      <c r="IG2367" s="223"/>
      <c r="IH2367" s="223"/>
      <c r="II2367" s="223"/>
      <c r="IJ2367" s="223"/>
      <c r="IK2367" s="223"/>
      <c r="IL2367" s="223"/>
      <c r="IM2367" s="223"/>
      <c r="IN2367" s="223"/>
      <c r="IO2367" s="223"/>
      <c r="IP2367" s="223"/>
      <c r="IQ2367" s="223"/>
      <c r="IR2367" s="223"/>
      <c r="IS2367" s="223"/>
      <c r="IT2367" s="223"/>
      <c r="IU2367" s="223"/>
      <c r="IV2367" s="223"/>
    </row>
    <row r="2368" spans="46:256" s="221" customFormat="1" x14ac:dyDescent="0.2">
      <c r="AT2368" s="222"/>
      <c r="AU2368" s="222"/>
      <c r="BD2368" s="223"/>
      <c r="BE2368" s="223"/>
      <c r="BF2368" s="223"/>
      <c r="BG2368" s="223"/>
      <c r="BH2368" s="223"/>
      <c r="BI2368" s="223"/>
      <c r="BJ2368" s="223"/>
      <c r="BK2368" s="223"/>
      <c r="BL2368" s="223"/>
      <c r="BM2368" s="223"/>
      <c r="BN2368" s="223"/>
      <c r="BO2368" s="223"/>
      <c r="BP2368" s="223"/>
      <c r="BQ2368" s="223"/>
      <c r="BR2368" s="223"/>
      <c r="BS2368" s="223"/>
      <c r="BT2368" s="223"/>
      <c r="BU2368" s="223"/>
      <c r="BV2368" s="223"/>
      <c r="BW2368" s="223"/>
      <c r="BX2368" s="223"/>
      <c r="BY2368" s="223"/>
      <c r="BZ2368" s="223"/>
      <c r="CA2368" s="223"/>
      <c r="CB2368" s="223"/>
      <c r="CC2368" s="223"/>
      <c r="CD2368" s="223"/>
      <c r="CE2368" s="223"/>
      <c r="CF2368" s="223"/>
      <c r="CG2368" s="223"/>
      <c r="CH2368" s="223"/>
      <c r="CI2368" s="223"/>
      <c r="CJ2368" s="223"/>
      <c r="CK2368" s="223"/>
      <c r="CL2368" s="223"/>
      <c r="CM2368" s="223"/>
      <c r="CN2368" s="223"/>
      <c r="CO2368" s="223"/>
      <c r="CP2368" s="223"/>
      <c r="CQ2368" s="223"/>
      <c r="CR2368" s="223"/>
      <c r="CS2368" s="223"/>
      <c r="CT2368" s="223"/>
      <c r="CU2368" s="223"/>
      <c r="CV2368" s="223"/>
      <c r="CW2368" s="223"/>
      <c r="CX2368" s="223"/>
      <c r="CY2368" s="223"/>
      <c r="CZ2368" s="223"/>
      <c r="DA2368" s="223"/>
      <c r="DB2368" s="223"/>
      <c r="DC2368" s="223"/>
      <c r="DD2368" s="223"/>
      <c r="DE2368" s="223"/>
      <c r="DF2368" s="223"/>
      <c r="DG2368" s="223"/>
      <c r="DH2368" s="223"/>
      <c r="DI2368" s="223"/>
      <c r="DJ2368" s="223"/>
      <c r="DK2368" s="223"/>
      <c r="DL2368" s="223"/>
      <c r="DM2368" s="223"/>
      <c r="DN2368" s="223"/>
      <c r="DO2368" s="223"/>
      <c r="DP2368" s="223"/>
      <c r="DQ2368" s="223"/>
      <c r="DR2368" s="223"/>
      <c r="DS2368" s="223"/>
      <c r="DT2368" s="223"/>
      <c r="DU2368" s="223"/>
      <c r="DV2368" s="223"/>
      <c r="DW2368" s="223"/>
      <c r="DX2368" s="223"/>
      <c r="DY2368" s="223"/>
      <c r="DZ2368" s="223"/>
      <c r="EA2368" s="223"/>
      <c r="EB2368" s="223"/>
      <c r="EC2368" s="223"/>
      <c r="ED2368" s="223"/>
      <c r="EE2368" s="223"/>
      <c r="EF2368" s="223"/>
      <c r="EG2368" s="223"/>
      <c r="EH2368" s="223"/>
      <c r="EI2368" s="223"/>
      <c r="EJ2368" s="223"/>
      <c r="EK2368" s="223"/>
      <c r="EL2368" s="223"/>
      <c r="EM2368" s="223"/>
      <c r="EN2368" s="223"/>
      <c r="EO2368" s="223"/>
      <c r="EP2368" s="223"/>
      <c r="EQ2368" s="223"/>
      <c r="ER2368" s="223"/>
      <c r="ES2368" s="223"/>
      <c r="ET2368" s="223"/>
      <c r="EU2368" s="223"/>
      <c r="EV2368" s="223"/>
      <c r="EW2368" s="223"/>
      <c r="EX2368" s="223"/>
      <c r="EY2368" s="223"/>
      <c r="EZ2368" s="223"/>
      <c r="FA2368" s="223"/>
      <c r="FB2368" s="223"/>
      <c r="FC2368" s="223"/>
      <c r="FD2368" s="223"/>
      <c r="FE2368" s="223"/>
      <c r="FF2368" s="223"/>
      <c r="FG2368" s="223"/>
      <c r="FH2368" s="223"/>
      <c r="FI2368" s="223"/>
      <c r="FJ2368" s="223"/>
      <c r="FK2368" s="223"/>
      <c r="FL2368" s="223"/>
      <c r="FM2368" s="223"/>
      <c r="FN2368" s="223"/>
      <c r="FO2368" s="223"/>
      <c r="FP2368" s="223"/>
      <c r="FQ2368" s="223"/>
      <c r="FR2368" s="223"/>
      <c r="FS2368" s="223"/>
      <c r="FT2368" s="223"/>
      <c r="FU2368" s="223"/>
      <c r="FV2368" s="223"/>
      <c r="FW2368" s="223"/>
      <c r="FX2368" s="223"/>
      <c r="FY2368" s="223"/>
      <c r="FZ2368" s="223"/>
      <c r="GA2368" s="223"/>
      <c r="GB2368" s="223"/>
      <c r="GC2368" s="223"/>
      <c r="GD2368" s="223"/>
      <c r="GE2368" s="223"/>
      <c r="GF2368" s="223"/>
      <c r="GG2368" s="223"/>
      <c r="GH2368" s="223"/>
      <c r="GI2368" s="223"/>
      <c r="GJ2368" s="223"/>
      <c r="GK2368" s="223"/>
      <c r="GL2368" s="223"/>
      <c r="GM2368" s="223"/>
      <c r="GN2368" s="223"/>
      <c r="GO2368" s="223"/>
      <c r="GP2368" s="223"/>
      <c r="GQ2368" s="223"/>
      <c r="GR2368" s="223"/>
      <c r="GS2368" s="223"/>
      <c r="GT2368" s="223"/>
      <c r="GU2368" s="223"/>
      <c r="GV2368" s="223"/>
      <c r="GW2368" s="223"/>
      <c r="GX2368" s="223"/>
      <c r="GY2368" s="223"/>
      <c r="GZ2368" s="223"/>
      <c r="HA2368" s="223"/>
      <c r="HB2368" s="223"/>
      <c r="HC2368" s="223"/>
      <c r="HD2368" s="223"/>
      <c r="HE2368" s="223"/>
      <c r="HF2368" s="223"/>
      <c r="HG2368" s="223"/>
      <c r="HH2368" s="223"/>
      <c r="HI2368" s="223"/>
      <c r="HJ2368" s="223"/>
      <c r="HK2368" s="223"/>
      <c r="HL2368" s="223"/>
      <c r="HM2368" s="223"/>
      <c r="HN2368" s="223"/>
      <c r="HO2368" s="223"/>
      <c r="HP2368" s="223"/>
      <c r="HQ2368" s="223"/>
      <c r="HR2368" s="223"/>
      <c r="HS2368" s="223"/>
      <c r="HT2368" s="223"/>
      <c r="HU2368" s="223"/>
      <c r="HV2368" s="223"/>
      <c r="HW2368" s="223"/>
      <c r="HX2368" s="223"/>
      <c r="HY2368" s="223"/>
      <c r="HZ2368" s="223"/>
      <c r="IA2368" s="223"/>
      <c r="IB2368" s="223"/>
      <c r="IC2368" s="223"/>
      <c r="ID2368" s="223"/>
      <c r="IE2368" s="223"/>
      <c r="IF2368" s="223"/>
      <c r="IG2368" s="223"/>
      <c r="IH2368" s="223"/>
      <c r="II2368" s="223"/>
      <c r="IJ2368" s="223"/>
      <c r="IK2368" s="223"/>
      <c r="IL2368" s="223"/>
      <c r="IM2368" s="223"/>
      <c r="IN2368" s="223"/>
      <c r="IO2368" s="223"/>
      <c r="IP2368" s="223"/>
      <c r="IQ2368" s="223"/>
      <c r="IR2368" s="223"/>
      <c r="IS2368" s="223"/>
      <c r="IT2368" s="223"/>
      <c r="IU2368" s="223"/>
      <c r="IV2368" s="223"/>
    </row>
    <row r="2369" spans="46:256" s="221" customFormat="1" x14ac:dyDescent="0.2">
      <c r="AT2369" s="222"/>
      <c r="AU2369" s="222"/>
      <c r="BD2369" s="223"/>
      <c r="BE2369" s="223"/>
      <c r="BF2369" s="223"/>
      <c r="BG2369" s="223"/>
      <c r="BH2369" s="223"/>
      <c r="BI2369" s="223"/>
      <c r="BJ2369" s="223"/>
      <c r="BK2369" s="223"/>
      <c r="BL2369" s="223"/>
      <c r="BM2369" s="223"/>
      <c r="BN2369" s="223"/>
      <c r="BO2369" s="223"/>
      <c r="BP2369" s="223"/>
      <c r="BQ2369" s="223"/>
      <c r="BR2369" s="223"/>
      <c r="BS2369" s="223"/>
      <c r="BT2369" s="223"/>
      <c r="BU2369" s="223"/>
      <c r="BV2369" s="223"/>
      <c r="BW2369" s="223"/>
      <c r="BX2369" s="223"/>
      <c r="BY2369" s="223"/>
      <c r="BZ2369" s="223"/>
      <c r="CA2369" s="223"/>
      <c r="CB2369" s="223"/>
      <c r="CC2369" s="223"/>
      <c r="CD2369" s="223"/>
      <c r="CE2369" s="223"/>
      <c r="CF2369" s="223"/>
      <c r="CG2369" s="223"/>
      <c r="CH2369" s="223"/>
      <c r="CI2369" s="223"/>
      <c r="CJ2369" s="223"/>
      <c r="CK2369" s="223"/>
      <c r="CL2369" s="223"/>
      <c r="CM2369" s="223"/>
      <c r="CN2369" s="223"/>
      <c r="CO2369" s="223"/>
      <c r="CP2369" s="223"/>
      <c r="CQ2369" s="223"/>
      <c r="CR2369" s="223"/>
      <c r="CS2369" s="223"/>
      <c r="CT2369" s="223"/>
      <c r="CU2369" s="223"/>
      <c r="CV2369" s="223"/>
      <c r="CW2369" s="223"/>
      <c r="CX2369" s="223"/>
      <c r="CY2369" s="223"/>
      <c r="CZ2369" s="223"/>
      <c r="DA2369" s="223"/>
      <c r="DB2369" s="223"/>
      <c r="DC2369" s="223"/>
      <c r="DD2369" s="223"/>
      <c r="DE2369" s="223"/>
      <c r="DF2369" s="223"/>
      <c r="DG2369" s="223"/>
      <c r="DH2369" s="223"/>
      <c r="DI2369" s="223"/>
      <c r="DJ2369" s="223"/>
      <c r="DK2369" s="223"/>
      <c r="DL2369" s="223"/>
      <c r="DM2369" s="223"/>
      <c r="DN2369" s="223"/>
      <c r="DO2369" s="223"/>
      <c r="DP2369" s="223"/>
      <c r="DQ2369" s="223"/>
      <c r="DR2369" s="223"/>
      <c r="DS2369" s="223"/>
      <c r="DT2369" s="223"/>
      <c r="DU2369" s="223"/>
      <c r="DV2369" s="223"/>
      <c r="DW2369" s="223"/>
      <c r="DX2369" s="223"/>
      <c r="DY2369" s="223"/>
      <c r="DZ2369" s="223"/>
      <c r="EA2369" s="223"/>
      <c r="EB2369" s="223"/>
      <c r="EC2369" s="223"/>
      <c r="ED2369" s="223"/>
      <c r="EE2369" s="223"/>
      <c r="EF2369" s="223"/>
      <c r="EG2369" s="223"/>
      <c r="EH2369" s="223"/>
      <c r="EI2369" s="223"/>
      <c r="EJ2369" s="223"/>
      <c r="EK2369" s="223"/>
      <c r="EL2369" s="223"/>
      <c r="EM2369" s="223"/>
      <c r="EN2369" s="223"/>
      <c r="EO2369" s="223"/>
      <c r="EP2369" s="223"/>
      <c r="EQ2369" s="223"/>
      <c r="ER2369" s="223"/>
      <c r="ES2369" s="223"/>
      <c r="ET2369" s="223"/>
      <c r="EU2369" s="223"/>
      <c r="EV2369" s="223"/>
      <c r="EW2369" s="223"/>
      <c r="EX2369" s="223"/>
      <c r="EY2369" s="223"/>
      <c r="EZ2369" s="223"/>
      <c r="FA2369" s="223"/>
      <c r="FB2369" s="223"/>
      <c r="FC2369" s="223"/>
      <c r="FD2369" s="223"/>
      <c r="FE2369" s="223"/>
      <c r="FF2369" s="223"/>
      <c r="FG2369" s="223"/>
      <c r="FH2369" s="223"/>
      <c r="FI2369" s="223"/>
      <c r="FJ2369" s="223"/>
      <c r="FK2369" s="223"/>
      <c r="FL2369" s="223"/>
      <c r="FM2369" s="223"/>
      <c r="FN2369" s="223"/>
      <c r="FO2369" s="223"/>
      <c r="FP2369" s="223"/>
      <c r="FQ2369" s="223"/>
      <c r="FR2369" s="223"/>
      <c r="FS2369" s="223"/>
      <c r="FT2369" s="223"/>
      <c r="FU2369" s="223"/>
      <c r="FV2369" s="223"/>
      <c r="FW2369" s="223"/>
      <c r="FX2369" s="223"/>
      <c r="FY2369" s="223"/>
      <c r="FZ2369" s="223"/>
      <c r="GA2369" s="223"/>
      <c r="GB2369" s="223"/>
      <c r="GC2369" s="223"/>
      <c r="GD2369" s="223"/>
      <c r="GE2369" s="223"/>
      <c r="GF2369" s="223"/>
      <c r="GG2369" s="223"/>
      <c r="GH2369" s="223"/>
      <c r="GI2369" s="223"/>
      <c r="GJ2369" s="223"/>
      <c r="GK2369" s="223"/>
      <c r="GL2369" s="223"/>
      <c r="GM2369" s="223"/>
      <c r="GN2369" s="223"/>
      <c r="GO2369" s="223"/>
      <c r="GP2369" s="223"/>
      <c r="GQ2369" s="223"/>
      <c r="GR2369" s="223"/>
      <c r="GS2369" s="223"/>
      <c r="GT2369" s="223"/>
      <c r="GU2369" s="223"/>
      <c r="GV2369" s="223"/>
      <c r="GW2369" s="223"/>
      <c r="GX2369" s="223"/>
      <c r="GY2369" s="223"/>
      <c r="GZ2369" s="223"/>
      <c r="HA2369" s="223"/>
      <c r="HB2369" s="223"/>
      <c r="HC2369" s="223"/>
      <c r="HD2369" s="223"/>
      <c r="HE2369" s="223"/>
      <c r="HF2369" s="223"/>
      <c r="HG2369" s="223"/>
      <c r="HH2369" s="223"/>
      <c r="HI2369" s="223"/>
      <c r="HJ2369" s="223"/>
      <c r="HK2369" s="223"/>
      <c r="HL2369" s="223"/>
      <c r="HM2369" s="223"/>
      <c r="HN2369" s="223"/>
      <c r="HO2369" s="223"/>
      <c r="HP2369" s="223"/>
      <c r="HQ2369" s="223"/>
      <c r="HR2369" s="223"/>
      <c r="HS2369" s="223"/>
      <c r="HT2369" s="223"/>
      <c r="HU2369" s="223"/>
      <c r="HV2369" s="223"/>
      <c r="HW2369" s="223"/>
      <c r="HX2369" s="223"/>
      <c r="HY2369" s="223"/>
      <c r="HZ2369" s="223"/>
      <c r="IA2369" s="223"/>
      <c r="IB2369" s="223"/>
      <c r="IC2369" s="223"/>
      <c r="ID2369" s="223"/>
      <c r="IE2369" s="223"/>
      <c r="IF2369" s="223"/>
      <c r="IG2369" s="223"/>
      <c r="IH2369" s="223"/>
      <c r="II2369" s="223"/>
      <c r="IJ2369" s="223"/>
      <c r="IK2369" s="223"/>
      <c r="IL2369" s="223"/>
      <c r="IM2369" s="223"/>
      <c r="IN2369" s="223"/>
      <c r="IO2369" s="223"/>
      <c r="IP2369" s="223"/>
      <c r="IQ2369" s="223"/>
      <c r="IR2369" s="223"/>
      <c r="IS2369" s="223"/>
      <c r="IT2369" s="223"/>
      <c r="IU2369" s="223"/>
      <c r="IV2369" s="223"/>
    </row>
    <row r="2370" spans="46:256" s="221" customFormat="1" x14ac:dyDescent="0.2">
      <c r="AT2370" s="222"/>
      <c r="AU2370" s="222"/>
      <c r="BD2370" s="223"/>
      <c r="BE2370" s="223"/>
      <c r="BF2370" s="223"/>
      <c r="BG2370" s="223"/>
      <c r="BH2370" s="223"/>
      <c r="BI2370" s="223"/>
      <c r="BJ2370" s="223"/>
      <c r="BK2370" s="223"/>
      <c r="BL2370" s="223"/>
      <c r="BM2370" s="223"/>
      <c r="BN2370" s="223"/>
      <c r="BO2370" s="223"/>
      <c r="BP2370" s="223"/>
      <c r="BQ2370" s="223"/>
      <c r="BR2370" s="223"/>
      <c r="BS2370" s="223"/>
      <c r="BT2370" s="223"/>
      <c r="BU2370" s="223"/>
      <c r="BV2370" s="223"/>
      <c r="BW2370" s="223"/>
      <c r="BX2370" s="223"/>
      <c r="BY2370" s="223"/>
      <c r="BZ2370" s="223"/>
      <c r="CA2370" s="223"/>
      <c r="CB2370" s="223"/>
      <c r="CC2370" s="223"/>
      <c r="CD2370" s="223"/>
      <c r="CE2370" s="223"/>
      <c r="CF2370" s="223"/>
      <c r="CG2370" s="223"/>
      <c r="CH2370" s="223"/>
      <c r="CI2370" s="223"/>
      <c r="CJ2370" s="223"/>
      <c r="CK2370" s="223"/>
      <c r="CL2370" s="223"/>
      <c r="CM2370" s="223"/>
      <c r="CN2370" s="223"/>
      <c r="CO2370" s="223"/>
      <c r="CP2370" s="223"/>
      <c r="CQ2370" s="223"/>
      <c r="CR2370" s="223"/>
      <c r="CS2370" s="223"/>
      <c r="CT2370" s="223"/>
      <c r="CU2370" s="223"/>
      <c r="CV2370" s="223"/>
      <c r="CW2370" s="223"/>
      <c r="CX2370" s="223"/>
      <c r="CY2370" s="223"/>
      <c r="CZ2370" s="223"/>
      <c r="DA2370" s="223"/>
      <c r="DB2370" s="223"/>
      <c r="DC2370" s="223"/>
      <c r="DD2370" s="223"/>
      <c r="DE2370" s="223"/>
      <c r="DF2370" s="223"/>
      <c r="DG2370" s="223"/>
      <c r="DH2370" s="223"/>
      <c r="DI2370" s="223"/>
      <c r="DJ2370" s="223"/>
      <c r="DK2370" s="223"/>
      <c r="DL2370" s="223"/>
      <c r="DM2370" s="223"/>
      <c r="DN2370" s="223"/>
      <c r="DO2370" s="223"/>
      <c r="DP2370" s="223"/>
      <c r="DQ2370" s="223"/>
      <c r="DR2370" s="223"/>
      <c r="DS2370" s="223"/>
      <c r="DT2370" s="223"/>
      <c r="DU2370" s="223"/>
      <c r="DV2370" s="223"/>
      <c r="DW2370" s="223"/>
      <c r="DX2370" s="223"/>
      <c r="DY2370" s="223"/>
      <c r="DZ2370" s="223"/>
      <c r="EA2370" s="223"/>
      <c r="EB2370" s="223"/>
      <c r="EC2370" s="223"/>
      <c r="ED2370" s="223"/>
      <c r="EE2370" s="223"/>
      <c r="EF2370" s="223"/>
      <c r="EG2370" s="223"/>
      <c r="EH2370" s="223"/>
      <c r="EI2370" s="223"/>
      <c r="EJ2370" s="223"/>
      <c r="EK2370" s="223"/>
      <c r="EL2370" s="223"/>
      <c r="EM2370" s="223"/>
      <c r="EN2370" s="223"/>
      <c r="EO2370" s="223"/>
      <c r="EP2370" s="223"/>
      <c r="EQ2370" s="223"/>
      <c r="ER2370" s="223"/>
      <c r="ES2370" s="223"/>
      <c r="ET2370" s="223"/>
      <c r="EU2370" s="223"/>
      <c r="EV2370" s="223"/>
      <c r="EW2370" s="223"/>
      <c r="EX2370" s="223"/>
      <c r="EY2370" s="223"/>
      <c r="EZ2370" s="223"/>
      <c r="FA2370" s="223"/>
      <c r="FB2370" s="223"/>
      <c r="FC2370" s="223"/>
      <c r="FD2370" s="223"/>
      <c r="FE2370" s="223"/>
      <c r="FF2370" s="223"/>
      <c r="FG2370" s="223"/>
      <c r="FH2370" s="223"/>
      <c r="FI2370" s="223"/>
      <c r="FJ2370" s="223"/>
      <c r="FK2370" s="223"/>
      <c r="FL2370" s="223"/>
      <c r="FM2370" s="223"/>
      <c r="FN2370" s="223"/>
      <c r="FO2370" s="223"/>
      <c r="FP2370" s="223"/>
      <c r="FQ2370" s="223"/>
      <c r="FR2370" s="223"/>
      <c r="FS2370" s="223"/>
      <c r="FT2370" s="223"/>
      <c r="FU2370" s="223"/>
      <c r="FV2370" s="223"/>
      <c r="FW2370" s="223"/>
      <c r="FX2370" s="223"/>
      <c r="FY2370" s="223"/>
      <c r="FZ2370" s="223"/>
      <c r="GA2370" s="223"/>
      <c r="GB2370" s="223"/>
      <c r="GC2370" s="223"/>
      <c r="GD2370" s="223"/>
      <c r="GE2370" s="223"/>
      <c r="GF2370" s="223"/>
      <c r="GG2370" s="223"/>
      <c r="GH2370" s="223"/>
      <c r="GI2370" s="223"/>
      <c r="GJ2370" s="223"/>
      <c r="GK2370" s="223"/>
      <c r="GL2370" s="223"/>
      <c r="GM2370" s="223"/>
      <c r="GN2370" s="223"/>
      <c r="GO2370" s="223"/>
      <c r="GP2370" s="223"/>
      <c r="GQ2370" s="223"/>
      <c r="GR2370" s="223"/>
      <c r="GS2370" s="223"/>
      <c r="GT2370" s="223"/>
      <c r="GU2370" s="223"/>
      <c r="GV2370" s="223"/>
      <c r="GW2370" s="223"/>
      <c r="GX2370" s="223"/>
      <c r="GY2370" s="223"/>
      <c r="GZ2370" s="223"/>
      <c r="HA2370" s="223"/>
      <c r="HB2370" s="223"/>
      <c r="HC2370" s="223"/>
      <c r="HD2370" s="223"/>
      <c r="HE2370" s="223"/>
      <c r="HF2370" s="223"/>
      <c r="HG2370" s="223"/>
      <c r="HH2370" s="223"/>
      <c r="HI2370" s="223"/>
      <c r="HJ2370" s="223"/>
      <c r="HK2370" s="223"/>
      <c r="HL2370" s="223"/>
      <c r="HM2370" s="223"/>
      <c r="HN2370" s="223"/>
      <c r="HO2370" s="223"/>
      <c r="HP2370" s="223"/>
      <c r="HQ2370" s="223"/>
      <c r="HR2370" s="223"/>
      <c r="HS2370" s="223"/>
      <c r="HT2370" s="223"/>
      <c r="HU2370" s="223"/>
      <c r="HV2370" s="223"/>
      <c r="HW2370" s="223"/>
      <c r="HX2370" s="223"/>
      <c r="HY2370" s="223"/>
      <c r="HZ2370" s="223"/>
      <c r="IA2370" s="223"/>
      <c r="IB2370" s="223"/>
      <c r="IC2370" s="223"/>
      <c r="ID2370" s="223"/>
      <c r="IE2370" s="223"/>
      <c r="IF2370" s="223"/>
      <c r="IG2370" s="223"/>
      <c r="IH2370" s="223"/>
      <c r="II2370" s="223"/>
      <c r="IJ2370" s="223"/>
      <c r="IK2370" s="223"/>
      <c r="IL2370" s="223"/>
      <c r="IM2370" s="223"/>
      <c r="IN2370" s="223"/>
      <c r="IO2370" s="223"/>
      <c r="IP2370" s="223"/>
      <c r="IQ2370" s="223"/>
      <c r="IR2370" s="223"/>
      <c r="IS2370" s="223"/>
      <c r="IT2370" s="223"/>
      <c r="IU2370" s="223"/>
      <c r="IV2370" s="223"/>
    </row>
    <row r="2371" spans="46:256" s="221" customFormat="1" x14ac:dyDescent="0.2">
      <c r="AT2371" s="222"/>
      <c r="AU2371" s="222"/>
      <c r="BD2371" s="223"/>
      <c r="BE2371" s="223"/>
      <c r="BF2371" s="223"/>
      <c r="BG2371" s="223"/>
      <c r="BH2371" s="223"/>
      <c r="BI2371" s="223"/>
      <c r="BJ2371" s="223"/>
      <c r="BK2371" s="223"/>
      <c r="BL2371" s="223"/>
      <c r="BM2371" s="223"/>
      <c r="BN2371" s="223"/>
      <c r="BO2371" s="223"/>
      <c r="BP2371" s="223"/>
      <c r="BQ2371" s="223"/>
      <c r="BR2371" s="223"/>
      <c r="BS2371" s="223"/>
      <c r="BT2371" s="223"/>
      <c r="BU2371" s="223"/>
      <c r="BV2371" s="223"/>
      <c r="BW2371" s="223"/>
      <c r="BX2371" s="223"/>
      <c r="BY2371" s="223"/>
      <c r="BZ2371" s="223"/>
      <c r="CA2371" s="223"/>
      <c r="CB2371" s="223"/>
      <c r="CC2371" s="223"/>
      <c r="CD2371" s="223"/>
      <c r="CE2371" s="223"/>
      <c r="CF2371" s="223"/>
      <c r="CG2371" s="223"/>
      <c r="CH2371" s="223"/>
      <c r="CI2371" s="223"/>
      <c r="CJ2371" s="223"/>
      <c r="CK2371" s="223"/>
      <c r="CL2371" s="223"/>
      <c r="CM2371" s="223"/>
      <c r="CN2371" s="223"/>
      <c r="CO2371" s="223"/>
      <c r="CP2371" s="223"/>
      <c r="CQ2371" s="223"/>
      <c r="CR2371" s="223"/>
      <c r="CS2371" s="223"/>
      <c r="CT2371" s="223"/>
      <c r="CU2371" s="223"/>
      <c r="CV2371" s="223"/>
      <c r="CW2371" s="223"/>
      <c r="CX2371" s="223"/>
      <c r="CY2371" s="223"/>
      <c r="CZ2371" s="223"/>
      <c r="DA2371" s="223"/>
      <c r="DB2371" s="223"/>
      <c r="DC2371" s="223"/>
      <c r="DD2371" s="223"/>
      <c r="DE2371" s="223"/>
      <c r="DF2371" s="223"/>
      <c r="DG2371" s="223"/>
      <c r="DH2371" s="223"/>
      <c r="DI2371" s="223"/>
      <c r="DJ2371" s="223"/>
      <c r="DK2371" s="223"/>
      <c r="DL2371" s="223"/>
      <c r="DM2371" s="223"/>
      <c r="DN2371" s="223"/>
      <c r="DO2371" s="223"/>
      <c r="DP2371" s="223"/>
      <c r="DQ2371" s="223"/>
      <c r="DR2371" s="223"/>
      <c r="DS2371" s="223"/>
      <c r="DT2371" s="223"/>
      <c r="DU2371" s="223"/>
      <c r="DV2371" s="223"/>
      <c r="DW2371" s="223"/>
      <c r="DX2371" s="223"/>
      <c r="DY2371" s="223"/>
      <c r="DZ2371" s="223"/>
      <c r="EA2371" s="223"/>
      <c r="EB2371" s="223"/>
      <c r="EC2371" s="223"/>
      <c r="ED2371" s="223"/>
      <c r="EE2371" s="223"/>
      <c r="EF2371" s="223"/>
      <c r="EG2371" s="223"/>
      <c r="EH2371" s="223"/>
      <c r="EI2371" s="223"/>
      <c r="EJ2371" s="223"/>
      <c r="EK2371" s="223"/>
      <c r="EL2371" s="223"/>
      <c r="EM2371" s="223"/>
      <c r="EN2371" s="223"/>
      <c r="EO2371" s="223"/>
      <c r="EP2371" s="223"/>
      <c r="EQ2371" s="223"/>
      <c r="ER2371" s="223"/>
      <c r="ES2371" s="223"/>
      <c r="ET2371" s="223"/>
      <c r="EU2371" s="223"/>
      <c r="EV2371" s="223"/>
      <c r="EW2371" s="223"/>
      <c r="EX2371" s="223"/>
      <c r="EY2371" s="223"/>
      <c r="EZ2371" s="223"/>
      <c r="FA2371" s="223"/>
      <c r="FB2371" s="223"/>
      <c r="FC2371" s="223"/>
      <c r="FD2371" s="223"/>
      <c r="FE2371" s="223"/>
      <c r="FF2371" s="223"/>
      <c r="FG2371" s="223"/>
      <c r="FH2371" s="223"/>
      <c r="FI2371" s="223"/>
      <c r="FJ2371" s="223"/>
      <c r="FK2371" s="223"/>
      <c r="FL2371" s="223"/>
      <c r="FM2371" s="223"/>
      <c r="FN2371" s="223"/>
      <c r="FO2371" s="223"/>
      <c r="FP2371" s="223"/>
      <c r="FQ2371" s="223"/>
      <c r="FR2371" s="223"/>
      <c r="FS2371" s="223"/>
      <c r="FT2371" s="223"/>
      <c r="FU2371" s="223"/>
      <c r="FV2371" s="223"/>
      <c r="FW2371" s="223"/>
      <c r="FX2371" s="223"/>
      <c r="FY2371" s="223"/>
      <c r="FZ2371" s="223"/>
      <c r="GA2371" s="223"/>
      <c r="GB2371" s="223"/>
      <c r="GC2371" s="223"/>
      <c r="GD2371" s="223"/>
      <c r="GE2371" s="223"/>
      <c r="GF2371" s="223"/>
      <c r="GG2371" s="223"/>
      <c r="GH2371" s="223"/>
      <c r="GI2371" s="223"/>
      <c r="GJ2371" s="223"/>
      <c r="GK2371" s="223"/>
      <c r="GL2371" s="223"/>
      <c r="GM2371" s="223"/>
      <c r="GN2371" s="223"/>
      <c r="GO2371" s="223"/>
      <c r="GP2371" s="223"/>
      <c r="GQ2371" s="223"/>
      <c r="GR2371" s="223"/>
      <c r="GS2371" s="223"/>
      <c r="GT2371" s="223"/>
      <c r="GU2371" s="223"/>
      <c r="GV2371" s="223"/>
      <c r="GW2371" s="223"/>
      <c r="GX2371" s="223"/>
      <c r="GY2371" s="223"/>
      <c r="GZ2371" s="223"/>
      <c r="HA2371" s="223"/>
      <c r="HB2371" s="223"/>
      <c r="HC2371" s="223"/>
      <c r="HD2371" s="223"/>
      <c r="HE2371" s="223"/>
      <c r="HF2371" s="223"/>
      <c r="HG2371" s="223"/>
      <c r="HH2371" s="223"/>
      <c r="HI2371" s="223"/>
      <c r="HJ2371" s="223"/>
      <c r="HK2371" s="223"/>
      <c r="HL2371" s="223"/>
      <c r="HM2371" s="223"/>
      <c r="HN2371" s="223"/>
      <c r="HO2371" s="223"/>
      <c r="HP2371" s="223"/>
      <c r="HQ2371" s="223"/>
      <c r="HR2371" s="223"/>
      <c r="HS2371" s="223"/>
      <c r="HT2371" s="223"/>
      <c r="HU2371" s="223"/>
      <c r="HV2371" s="223"/>
      <c r="HW2371" s="223"/>
      <c r="HX2371" s="223"/>
      <c r="HY2371" s="223"/>
      <c r="HZ2371" s="223"/>
      <c r="IA2371" s="223"/>
      <c r="IB2371" s="223"/>
      <c r="IC2371" s="223"/>
      <c r="ID2371" s="223"/>
      <c r="IE2371" s="223"/>
      <c r="IF2371" s="223"/>
      <c r="IG2371" s="223"/>
      <c r="IH2371" s="223"/>
      <c r="II2371" s="223"/>
      <c r="IJ2371" s="223"/>
      <c r="IK2371" s="223"/>
      <c r="IL2371" s="223"/>
      <c r="IM2371" s="223"/>
      <c r="IN2371" s="223"/>
      <c r="IO2371" s="223"/>
      <c r="IP2371" s="223"/>
      <c r="IQ2371" s="223"/>
      <c r="IR2371" s="223"/>
      <c r="IS2371" s="223"/>
      <c r="IT2371" s="223"/>
      <c r="IU2371" s="223"/>
      <c r="IV2371" s="223"/>
    </row>
    <row r="2372" spans="46:256" s="221" customFormat="1" x14ac:dyDescent="0.2">
      <c r="AT2372" s="222"/>
      <c r="AU2372" s="222"/>
      <c r="BD2372" s="223"/>
      <c r="BE2372" s="223"/>
      <c r="BF2372" s="223"/>
      <c r="BG2372" s="223"/>
      <c r="BH2372" s="223"/>
      <c r="BI2372" s="223"/>
      <c r="BJ2372" s="223"/>
      <c r="BK2372" s="223"/>
      <c r="BL2372" s="223"/>
      <c r="BM2372" s="223"/>
      <c r="BN2372" s="223"/>
      <c r="BO2372" s="223"/>
      <c r="BP2372" s="223"/>
      <c r="BQ2372" s="223"/>
      <c r="BR2372" s="223"/>
      <c r="BS2372" s="223"/>
      <c r="BT2372" s="223"/>
      <c r="BU2372" s="223"/>
      <c r="BV2372" s="223"/>
      <c r="BW2372" s="223"/>
      <c r="BX2372" s="223"/>
      <c r="BY2372" s="223"/>
      <c r="BZ2372" s="223"/>
      <c r="CA2372" s="223"/>
      <c r="CB2372" s="223"/>
      <c r="CC2372" s="223"/>
      <c r="CD2372" s="223"/>
      <c r="CE2372" s="223"/>
      <c r="CF2372" s="223"/>
      <c r="CG2372" s="223"/>
      <c r="CH2372" s="223"/>
      <c r="CI2372" s="223"/>
      <c r="CJ2372" s="223"/>
      <c r="CK2372" s="223"/>
      <c r="CL2372" s="223"/>
      <c r="CM2372" s="223"/>
      <c r="CN2372" s="223"/>
      <c r="CO2372" s="223"/>
      <c r="CP2372" s="223"/>
      <c r="CQ2372" s="223"/>
      <c r="CR2372" s="223"/>
      <c r="CS2372" s="223"/>
      <c r="CT2372" s="223"/>
      <c r="CU2372" s="223"/>
      <c r="CV2372" s="223"/>
      <c r="CW2372" s="223"/>
      <c r="CX2372" s="223"/>
      <c r="CY2372" s="223"/>
      <c r="CZ2372" s="223"/>
      <c r="DA2372" s="223"/>
      <c r="DB2372" s="223"/>
      <c r="DC2372" s="223"/>
      <c r="DD2372" s="223"/>
      <c r="DE2372" s="223"/>
      <c r="DF2372" s="223"/>
      <c r="DG2372" s="223"/>
      <c r="DH2372" s="223"/>
      <c r="DI2372" s="223"/>
      <c r="DJ2372" s="223"/>
      <c r="DK2372" s="223"/>
      <c r="DL2372" s="223"/>
      <c r="DM2372" s="223"/>
      <c r="DN2372" s="223"/>
      <c r="DO2372" s="223"/>
      <c r="DP2372" s="223"/>
      <c r="DQ2372" s="223"/>
      <c r="DR2372" s="223"/>
      <c r="DS2372" s="223"/>
      <c r="DT2372" s="223"/>
      <c r="DU2372" s="223"/>
      <c r="DV2372" s="223"/>
      <c r="DW2372" s="223"/>
      <c r="DX2372" s="223"/>
      <c r="DY2372" s="223"/>
      <c r="DZ2372" s="223"/>
      <c r="EA2372" s="223"/>
      <c r="EB2372" s="223"/>
      <c r="EC2372" s="223"/>
      <c r="ED2372" s="223"/>
      <c r="EE2372" s="223"/>
      <c r="EF2372" s="223"/>
      <c r="EG2372" s="223"/>
      <c r="EH2372" s="223"/>
      <c r="EI2372" s="223"/>
      <c r="EJ2372" s="223"/>
      <c r="EK2372" s="223"/>
      <c r="EL2372" s="223"/>
      <c r="EM2372" s="223"/>
      <c r="EN2372" s="223"/>
      <c r="EO2372" s="223"/>
      <c r="EP2372" s="223"/>
      <c r="EQ2372" s="223"/>
      <c r="ER2372" s="223"/>
      <c r="ES2372" s="223"/>
      <c r="ET2372" s="223"/>
      <c r="EU2372" s="223"/>
      <c r="EV2372" s="223"/>
      <c r="EW2372" s="223"/>
      <c r="EX2372" s="223"/>
      <c r="EY2372" s="223"/>
      <c r="EZ2372" s="223"/>
      <c r="FA2372" s="223"/>
      <c r="FB2372" s="223"/>
      <c r="FC2372" s="223"/>
      <c r="FD2372" s="223"/>
      <c r="FE2372" s="223"/>
      <c r="FF2372" s="223"/>
      <c r="FG2372" s="223"/>
      <c r="FH2372" s="223"/>
      <c r="FI2372" s="223"/>
      <c r="FJ2372" s="223"/>
      <c r="FK2372" s="223"/>
      <c r="FL2372" s="223"/>
      <c r="FM2372" s="223"/>
      <c r="FN2372" s="223"/>
      <c r="FO2372" s="223"/>
      <c r="FP2372" s="223"/>
      <c r="FQ2372" s="223"/>
      <c r="FR2372" s="223"/>
      <c r="FS2372" s="223"/>
      <c r="FT2372" s="223"/>
      <c r="FU2372" s="223"/>
      <c r="FV2372" s="223"/>
      <c r="FW2372" s="223"/>
      <c r="FX2372" s="223"/>
      <c r="FY2372" s="223"/>
      <c r="FZ2372" s="223"/>
      <c r="GA2372" s="223"/>
      <c r="GB2372" s="223"/>
      <c r="GC2372" s="223"/>
      <c r="GD2372" s="223"/>
      <c r="GE2372" s="223"/>
      <c r="GF2372" s="223"/>
      <c r="GG2372" s="223"/>
      <c r="GH2372" s="223"/>
      <c r="GI2372" s="223"/>
      <c r="GJ2372" s="223"/>
      <c r="GK2372" s="223"/>
      <c r="GL2372" s="223"/>
      <c r="GM2372" s="223"/>
      <c r="GN2372" s="223"/>
      <c r="GO2372" s="223"/>
      <c r="GP2372" s="223"/>
      <c r="GQ2372" s="223"/>
      <c r="GR2372" s="223"/>
      <c r="GS2372" s="223"/>
      <c r="GT2372" s="223"/>
      <c r="GU2372" s="223"/>
      <c r="GV2372" s="223"/>
      <c r="GW2372" s="223"/>
      <c r="GX2372" s="223"/>
      <c r="GY2372" s="223"/>
      <c r="GZ2372" s="223"/>
      <c r="HA2372" s="223"/>
      <c r="HB2372" s="223"/>
      <c r="HC2372" s="223"/>
      <c r="HD2372" s="223"/>
      <c r="HE2372" s="223"/>
      <c r="HF2372" s="223"/>
      <c r="HG2372" s="223"/>
      <c r="HH2372" s="223"/>
      <c r="HI2372" s="223"/>
      <c r="HJ2372" s="223"/>
      <c r="HK2372" s="223"/>
      <c r="HL2372" s="223"/>
      <c r="HM2372" s="223"/>
      <c r="HN2372" s="223"/>
      <c r="HO2372" s="223"/>
      <c r="HP2372" s="223"/>
      <c r="HQ2372" s="223"/>
      <c r="HR2372" s="223"/>
      <c r="HS2372" s="223"/>
      <c r="HT2372" s="223"/>
      <c r="HU2372" s="223"/>
      <c r="HV2372" s="223"/>
      <c r="HW2372" s="223"/>
      <c r="HX2372" s="223"/>
      <c r="HY2372" s="223"/>
      <c r="HZ2372" s="223"/>
      <c r="IA2372" s="223"/>
      <c r="IB2372" s="223"/>
      <c r="IC2372" s="223"/>
      <c r="ID2372" s="223"/>
      <c r="IE2372" s="223"/>
      <c r="IF2372" s="223"/>
      <c r="IG2372" s="223"/>
      <c r="IH2372" s="223"/>
      <c r="II2372" s="223"/>
      <c r="IJ2372" s="223"/>
      <c r="IK2372" s="223"/>
      <c r="IL2372" s="223"/>
      <c r="IM2372" s="223"/>
      <c r="IN2372" s="223"/>
      <c r="IO2372" s="223"/>
      <c r="IP2372" s="223"/>
      <c r="IQ2372" s="223"/>
      <c r="IR2372" s="223"/>
      <c r="IS2372" s="223"/>
      <c r="IT2372" s="223"/>
      <c r="IU2372" s="223"/>
      <c r="IV2372" s="223"/>
    </row>
    <row r="2373" spans="46:256" s="221" customFormat="1" x14ac:dyDescent="0.2">
      <c r="AT2373" s="222"/>
      <c r="AU2373" s="222"/>
      <c r="BD2373" s="223"/>
      <c r="BE2373" s="223"/>
      <c r="BF2373" s="223"/>
      <c r="BG2373" s="223"/>
      <c r="BH2373" s="223"/>
      <c r="BI2373" s="223"/>
      <c r="BJ2373" s="223"/>
      <c r="BK2373" s="223"/>
      <c r="BL2373" s="223"/>
      <c r="BM2373" s="223"/>
      <c r="BN2373" s="223"/>
      <c r="BO2373" s="223"/>
      <c r="BP2373" s="223"/>
      <c r="BQ2373" s="223"/>
      <c r="BR2373" s="223"/>
      <c r="BS2373" s="223"/>
      <c r="BT2373" s="223"/>
      <c r="BU2373" s="223"/>
      <c r="BV2373" s="223"/>
      <c r="BW2373" s="223"/>
      <c r="BX2373" s="223"/>
      <c r="BY2373" s="223"/>
      <c r="BZ2373" s="223"/>
      <c r="CA2373" s="223"/>
      <c r="CB2373" s="223"/>
      <c r="CC2373" s="223"/>
      <c r="CD2373" s="223"/>
      <c r="CE2373" s="223"/>
      <c r="CF2373" s="223"/>
      <c r="CG2373" s="223"/>
      <c r="CH2373" s="223"/>
      <c r="CI2373" s="223"/>
      <c r="CJ2373" s="223"/>
      <c r="CK2373" s="223"/>
      <c r="CL2373" s="223"/>
      <c r="CM2373" s="223"/>
      <c r="CN2373" s="223"/>
      <c r="CO2373" s="223"/>
      <c r="CP2373" s="223"/>
      <c r="CQ2373" s="223"/>
      <c r="CR2373" s="223"/>
      <c r="CS2373" s="223"/>
      <c r="CT2373" s="223"/>
      <c r="CU2373" s="223"/>
      <c r="CV2373" s="223"/>
      <c r="CW2373" s="223"/>
      <c r="CX2373" s="223"/>
      <c r="CY2373" s="223"/>
      <c r="CZ2373" s="223"/>
      <c r="DA2373" s="223"/>
      <c r="DB2373" s="223"/>
      <c r="DC2373" s="223"/>
      <c r="DD2373" s="223"/>
      <c r="DE2373" s="223"/>
      <c r="DF2373" s="223"/>
      <c r="DG2373" s="223"/>
      <c r="DH2373" s="223"/>
      <c r="DI2373" s="223"/>
      <c r="DJ2373" s="223"/>
      <c r="DK2373" s="223"/>
      <c r="DL2373" s="223"/>
      <c r="DM2373" s="223"/>
      <c r="DN2373" s="223"/>
      <c r="DO2373" s="223"/>
      <c r="DP2373" s="223"/>
      <c r="DQ2373" s="223"/>
      <c r="DR2373" s="223"/>
      <c r="DS2373" s="223"/>
      <c r="DT2373" s="223"/>
      <c r="DU2373" s="223"/>
      <c r="DV2373" s="223"/>
      <c r="DW2373" s="223"/>
      <c r="DX2373" s="223"/>
      <c r="DY2373" s="223"/>
      <c r="DZ2373" s="223"/>
      <c r="EA2373" s="223"/>
      <c r="EB2373" s="223"/>
      <c r="EC2373" s="223"/>
      <c r="ED2373" s="223"/>
      <c r="EE2373" s="223"/>
      <c r="EF2373" s="223"/>
      <c r="EG2373" s="223"/>
      <c r="EH2373" s="223"/>
      <c r="EI2373" s="223"/>
      <c r="EJ2373" s="223"/>
      <c r="EK2373" s="223"/>
      <c r="EL2373" s="223"/>
      <c r="EM2373" s="223"/>
      <c r="EN2373" s="223"/>
      <c r="EO2373" s="223"/>
      <c r="EP2373" s="223"/>
      <c r="EQ2373" s="223"/>
      <c r="ER2373" s="223"/>
      <c r="ES2373" s="223"/>
      <c r="ET2373" s="223"/>
      <c r="EU2373" s="223"/>
      <c r="EV2373" s="223"/>
      <c r="EW2373" s="223"/>
      <c r="EX2373" s="223"/>
      <c r="EY2373" s="223"/>
      <c r="EZ2373" s="223"/>
      <c r="FA2373" s="223"/>
      <c r="FB2373" s="223"/>
      <c r="FC2373" s="223"/>
      <c r="FD2373" s="223"/>
      <c r="FE2373" s="223"/>
      <c r="FF2373" s="223"/>
      <c r="FG2373" s="223"/>
      <c r="FH2373" s="223"/>
      <c r="FI2373" s="223"/>
      <c r="FJ2373" s="223"/>
      <c r="FK2373" s="223"/>
      <c r="FL2373" s="223"/>
      <c r="FM2373" s="223"/>
      <c r="FN2373" s="223"/>
      <c r="FO2373" s="223"/>
      <c r="FP2373" s="223"/>
      <c r="FQ2373" s="223"/>
      <c r="FR2373" s="223"/>
      <c r="FS2373" s="223"/>
      <c r="FT2373" s="223"/>
      <c r="FU2373" s="223"/>
      <c r="FV2373" s="223"/>
      <c r="FW2373" s="223"/>
      <c r="FX2373" s="223"/>
      <c r="FY2373" s="223"/>
      <c r="FZ2373" s="223"/>
      <c r="GA2373" s="223"/>
      <c r="GB2373" s="223"/>
      <c r="GC2373" s="223"/>
      <c r="GD2373" s="223"/>
      <c r="GE2373" s="223"/>
      <c r="GF2373" s="223"/>
      <c r="GG2373" s="223"/>
      <c r="GH2373" s="223"/>
      <c r="GI2373" s="223"/>
      <c r="GJ2373" s="223"/>
      <c r="GK2373" s="223"/>
      <c r="GL2373" s="223"/>
      <c r="GM2373" s="223"/>
      <c r="GN2373" s="223"/>
      <c r="GO2373" s="223"/>
      <c r="GP2373" s="223"/>
      <c r="GQ2373" s="223"/>
      <c r="GR2373" s="223"/>
      <c r="GS2373" s="223"/>
      <c r="GT2373" s="223"/>
      <c r="GU2373" s="223"/>
      <c r="GV2373" s="223"/>
      <c r="GW2373" s="223"/>
      <c r="GX2373" s="223"/>
      <c r="GY2373" s="223"/>
      <c r="GZ2373" s="223"/>
      <c r="HA2373" s="223"/>
      <c r="HB2373" s="223"/>
      <c r="HC2373" s="223"/>
      <c r="HD2373" s="223"/>
      <c r="HE2373" s="223"/>
      <c r="HF2373" s="223"/>
      <c r="HG2373" s="223"/>
      <c r="HH2373" s="223"/>
      <c r="HI2373" s="223"/>
      <c r="HJ2373" s="223"/>
      <c r="HK2373" s="223"/>
      <c r="HL2373" s="223"/>
      <c r="HM2373" s="223"/>
      <c r="HN2373" s="223"/>
      <c r="HO2373" s="223"/>
      <c r="HP2373" s="223"/>
      <c r="HQ2373" s="223"/>
      <c r="HR2373" s="223"/>
      <c r="HS2373" s="223"/>
      <c r="HT2373" s="223"/>
      <c r="HU2373" s="223"/>
      <c r="HV2373" s="223"/>
      <c r="HW2373" s="223"/>
      <c r="HX2373" s="223"/>
      <c r="HY2373" s="223"/>
      <c r="HZ2373" s="223"/>
      <c r="IA2373" s="223"/>
      <c r="IB2373" s="223"/>
      <c r="IC2373" s="223"/>
      <c r="ID2373" s="223"/>
      <c r="IE2373" s="223"/>
      <c r="IF2373" s="223"/>
      <c r="IG2373" s="223"/>
      <c r="IH2373" s="223"/>
      <c r="II2373" s="223"/>
      <c r="IJ2373" s="223"/>
      <c r="IK2373" s="223"/>
      <c r="IL2373" s="223"/>
      <c r="IM2373" s="223"/>
      <c r="IN2373" s="223"/>
      <c r="IO2373" s="223"/>
      <c r="IP2373" s="223"/>
      <c r="IQ2373" s="223"/>
      <c r="IR2373" s="223"/>
      <c r="IS2373" s="223"/>
      <c r="IT2373" s="223"/>
      <c r="IU2373" s="223"/>
      <c r="IV2373" s="223"/>
    </row>
    <row r="2374" spans="46:256" s="221" customFormat="1" x14ac:dyDescent="0.2">
      <c r="AT2374" s="222"/>
      <c r="AU2374" s="222"/>
      <c r="BD2374" s="223"/>
      <c r="BE2374" s="223"/>
      <c r="BF2374" s="223"/>
      <c r="BG2374" s="223"/>
      <c r="BH2374" s="223"/>
      <c r="BI2374" s="223"/>
      <c r="BJ2374" s="223"/>
      <c r="BK2374" s="223"/>
      <c r="BL2374" s="223"/>
      <c r="BM2374" s="223"/>
      <c r="BN2374" s="223"/>
      <c r="BO2374" s="223"/>
      <c r="BP2374" s="223"/>
      <c r="BQ2374" s="223"/>
      <c r="BR2374" s="223"/>
      <c r="BS2374" s="223"/>
      <c r="BT2374" s="223"/>
      <c r="BU2374" s="223"/>
      <c r="BV2374" s="223"/>
      <c r="BW2374" s="223"/>
      <c r="BX2374" s="223"/>
      <c r="BY2374" s="223"/>
      <c r="BZ2374" s="223"/>
      <c r="CA2374" s="223"/>
      <c r="CB2374" s="223"/>
      <c r="CC2374" s="223"/>
      <c r="CD2374" s="223"/>
      <c r="CE2374" s="223"/>
      <c r="CF2374" s="223"/>
      <c r="CG2374" s="223"/>
      <c r="CH2374" s="223"/>
      <c r="CI2374" s="223"/>
      <c r="CJ2374" s="223"/>
      <c r="CK2374" s="223"/>
      <c r="CL2374" s="223"/>
      <c r="CM2374" s="223"/>
      <c r="CN2374" s="223"/>
      <c r="CO2374" s="223"/>
      <c r="CP2374" s="223"/>
      <c r="CQ2374" s="223"/>
      <c r="CR2374" s="223"/>
      <c r="CS2374" s="223"/>
      <c r="CT2374" s="223"/>
      <c r="CU2374" s="223"/>
      <c r="CV2374" s="223"/>
      <c r="CW2374" s="223"/>
      <c r="CX2374" s="223"/>
      <c r="CY2374" s="223"/>
      <c r="CZ2374" s="223"/>
      <c r="DA2374" s="223"/>
      <c r="DB2374" s="223"/>
      <c r="DC2374" s="223"/>
      <c r="DD2374" s="223"/>
      <c r="DE2374" s="223"/>
      <c r="DF2374" s="223"/>
      <c r="DG2374" s="223"/>
      <c r="DH2374" s="223"/>
      <c r="DI2374" s="223"/>
      <c r="DJ2374" s="223"/>
      <c r="DK2374" s="223"/>
      <c r="DL2374" s="223"/>
      <c r="DM2374" s="223"/>
      <c r="DN2374" s="223"/>
      <c r="DO2374" s="223"/>
      <c r="DP2374" s="223"/>
      <c r="DQ2374" s="223"/>
      <c r="DR2374" s="223"/>
      <c r="DS2374" s="223"/>
      <c r="DT2374" s="223"/>
      <c r="DU2374" s="223"/>
      <c r="DV2374" s="223"/>
      <c r="DW2374" s="223"/>
      <c r="DX2374" s="223"/>
      <c r="DY2374" s="223"/>
      <c r="DZ2374" s="223"/>
      <c r="EA2374" s="223"/>
      <c r="EB2374" s="223"/>
      <c r="EC2374" s="223"/>
      <c r="ED2374" s="223"/>
      <c r="EE2374" s="223"/>
      <c r="EF2374" s="223"/>
      <c r="EG2374" s="223"/>
      <c r="EH2374" s="223"/>
      <c r="EI2374" s="223"/>
      <c r="EJ2374" s="223"/>
      <c r="EK2374" s="223"/>
      <c r="EL2374" s="223"/>
      <c r="EM2374" s="223"/>
      <c r="EN2374" s="223"/>
      <c r="EO2374" s="223"/>
      <c r="EP2374" s="223"/>
      <c r="EQ2374" s="223"/>
      <c r="ER2374" s="223"/>
      <c r="ES2374" s="223"/>
      <c r="ET2374" s="223"/>
      <c r="EU2374" s="223"/>
      <c r="EV2374" s="223"/>
      <c r="EW2374" s="223"/>
      <c r="EX2374" s="223"/>
      <c r="EY2374" s="223"/>
      <c r="EZ2374" s="223"/>
      <c r="FA2374" s="223"/>
      <c r="FB2374" s="223"/>
      <c r="FC2374" s="223"/>
      <c r="FD2374" s="223"/>
      <c r="FE2374" s="223"/>
      <c r="FF2374" s="223"/>
      <c r="FG2374" s="223"/>
      <c r="FH2374" s="223"/>
      <c r="FI2374" s="223"/>
      <c r="FJ2374" s="223"/>
      <c r="FK2374" s="223"/>
      <c r="FL2374" s="223"/>
      <c r="FM2374" s="223"/>
      <c r="FN2374" s="223"/>
      <c r="FO2374" s="223"/>
      <c r="FP2374" s="223"/>
      <c r="FQ2374" s="223"/>
      <c r="FR2374" s="223"/>
      <c r="FS2374" s="223"/>
      <c r="FT2374" s="223"/>
      <c r="FU2374" s="223"/>
      <c r="FV2374" s="223"/>
      <c r="FW2374" s="223"/>
      <c r="FX2374" s="223"/>
      <c r="FY2374" s="223"/>
      <c r="FZ2374" s="223"/>
      <c r="GA2374" s="223"/>
      <c r="GB2374" s="223"/>
      <c r="GC2374" s="223"/>
      <c r="GD2374" s="223"/>
      <c r="GE2374" s="223"/>
      <c r="GF2374" s="223"/>
      <c r="GG2374" s="223"/>
      <c r="GH2374" s="223"/>
      <c r="GI2374" s="223"/>
      <c r="GJ2374" s="223"/>
      <c r="GK2374" s="223"/>
      <c r="GL2374" s="223"/>
      <c r="GM2374" s="223"/>
      <c r="GN2374" s="223"/>
      <c r="GO2374" s="223"/>
      <c r="GP2374" s="223"/>
      <c r="GQ2374" s="223"/>
      <c r="GR2374" s="223"/>
      <c r="GS2374" s="223"/>
      <c r="GT2374" s="223"/>
      <c r="GU2374" s="223"/>
      <c r="GV2374" s="223"/>
      <c r="GW2374" s="223"/>
      <c r="GX2374" s="223"/>
      <c r="GY2374" s="223"/>
      <c r="GZ2374" s="223"/>
      <c r="HA2374" s="223"/>
      <c r="HB2374" s="223"/>
      <c r="HC2374" s="223"/>
      <c r="HD2374" s="223"/>
      <c r="HE2374" s="223"/>
      <c r="HF2374" s="223"/>
      <c r="HG2374" s="223"/>
      <c r="HH2374" s="223"/>
      <c r="HI2374" s="223"/>
      <c r="HJ2374" s="223"/>
      <c r="HK2374" s="223"/>
      <c r="HL2374" s="223"/>
      <c r="HM2374" s="223"/>
      <c r="HN2374" s="223"/>
      <c r="HO2374" s="223"/>
      <c r="HP2374" s="223"/>
      <c r="HQ2374" s="223"/>
      <c r="HR2374" s="223"/>
      <c r="HS2374" s="223"/>
      <c r="HT2374" s="223"/>
      <c r="HU2374" s="223"/>
      <c r="HV2374" s="223"/>
      <c r="HW2374" s="223"/>
      <c r="HX2374" s="223"/>
      <c r="HY2374" s="223"/>
      <c r="HZ2374" s="223"/>
      <c r="IA2374" s="223"/>
      <c r="IB2374" s="223"/>
      <c r="IC2374" s="223"/>
      <c r="ID2374" s="223"/>
      <c r="IE2374" s="223"/>
      <c r="IF2374" s="223"/>
      <c r="IG2374" s="223"/>
      <c r="IH2374" s="223"/>
      <c r="II2374" s="223"/>
      <c r="IJ2374" s="223"/>
      <c r="IK2374" s="223"/>
      <c r="IL2374" s="223"/>
      <c r="IM2374" s="223"/>
      <c r="IN2374" s="223"/>
      <c r="IO2374" s="223"/>
      <c r="IP2374" s="223"/>
      <c r="IQ2374" s="223"/>
      <c r="IR2374" s="223"/>
      <c r="IS2374" s="223"/>
      <c r="IT2374" s="223"/>
      <c r="IU2374" s="223"/>
      <c r="IV2374" s="223"/>
    </row>
    <row r="2375" spans="46:256" s="221" customFormat="1" x14ac:dyDescent="0.2">
      <c r="AT2375" s="222"/>
      <c r="AU2375" s="222"/>
      <c r="BD2375" s="223"/>
      <c r="BE2375" s="223"/>
      <c r="BF2375" s="223"/>
      <c r="BG2375" s="223"/>
      <c r="BH2375" s="223"/>
      <c r="BI2375" s="223"/>
      <c r="BJ2375" s="223"/>
      <c r="BK2375" s="223"/>
      <c r="BL2375" s="223"/>
      <c r="BM2375" s="223"/>
      <c r="BN2375" s="223"/>
      <c r="BO2375" s="223"/>
      <c r="BP2375" s="223"/>
      <c r="BQ2375" s="223"/>
      <c r="BR2375" s="223"/>
      <c r="BS2375" s="223"/>
      <c r="BT2375" s="223"/>
      <c r="BU2375" s="223"/>
      <c r="BV2375" s="223"/>
      <c r="BW2375" s="223"/>
      <c r="BX2375" s="223"/>
      <c r="BY2375" s="223"/>
      <c r="BZ2375" s="223"/>
      <c r="CA2375" s="223"/>
      <c r="CB2375" s="223"/>
      <c r="CC2375" s="223"/>
      <c r="CD2375" s="223"/>
      <c r="CE2375" s="223"/>
      <c r="CF2375" s="223"/>
      <c r="CG2375" s="223"/>
      <c r="CH2375" s="223"/>
      <c r="CI2375" s="223"/>
      <c r="CJ2375" s="223"/>
      <c r="CK2375" s="223"/>
      <c r="CL2375" s="223"/>
      <c r="CM2375" s="223"/>
      <c r="CN2375" s="223"/>
      <c r="CO2375" s="223"/>
      <c r="CP2375" s="223"/>
      <c r="CQ2375" s="223"/>
      <c r="CR2375" s="223"/>
      <c r="CS2375" s="223"/>
      <c r="CT2375" s="223"/>
      <c r="CU2375" s="223"/>
      <c r="CV2375" s="223"/>
      <c r="CW2375" s="223"/>
      <c r="CX2375" s="223"/>
      <c r="CY2375" s="223"/>
      <c r="CZ2375" s="223"/>
      <c r="DA2375" s="223"/>
      <c r="DB2375" s="223"/>
      <c r="DC2375" s="223"/>
      <c r="DD2375" s="223"/>
      <c r="DE2375" s="223"/>
      <c r="DF2375" s="223"/>
      <c r="DG2375" s="223"/>
      <c r="DH2375" s="223"/>
      <c r="DI2375" s="223"/>
      <c r="DJ2375" s="223"/>
      <c r="DK2375" s="223"/>
      <c r="DL2375" s="223"/>
      <c r="DM2375" s="223"/>
      <c r="DN2375" s="223"/>
      <c r="DO2375" s="223"/>
      <c r="DP2375" s="223"/>
      <c r="DQ2375" s="223"/>
      <c r="DR2375" s="223"/>
      <c r="DS2375" s="223"/>
      <c r="DT2375" s="223"/>
      <c r="DU2375" s="223"/>
      <c r="DV2375" s="223"/>
      <c r="DW2375" s="223"/>
      <c r="DX2375" s="223"/>
      <c r="DY2375" s="223"/>
      <c r="DZ2375" s="223"/>
      <c r="EA2375" s="223"/>
      <c r="EB2375" s="223"/>
      <c r="EC2375" s="223"/>
      <c r="ED2375" s="223"/>
      <c r="EE2375" s="223"/>
      <c r="EF2375" s="223"/>
      <c r="EG2375" s="223"/>
      <c r="EH2375" s="223"/>
      <c r="EI2375" s="223"/>
      <c r="EJ2375" s="223"/>
      <c r="EK2375" s="223"/>
      <c r="EL2375" s="223"/>
      <c r="EM2375" s="223"/>
      <c r="EN2375" s="223"/>
      <c r="EO2375" s="223"/>
      <c r="EP2375" s="223"/>
      <c r="EQ2375" s="223"/>
      <c r="ER2375" s="223"/>
      <c r="ES2375" s="223"/>
      <c r="ET2375" s="223"/>
      <c r="EU2375" s="223"/>
      <c r="EV2375" s="223"/>
      <c r="EW2375" s="223"/>
      <c r="EX2375" s="223"/>
      <c r="EY2375" s="223"/>
      <c r="EZ2375" s="223"/>
      <c r="FA2375" s="223"/>
      <c r="FB2375" s="223"/>
      <c r="FC2375" s="223"/>
      <c r="FD2375" s="223"/>
      <c r="FE2375" s="223"/>
      <c r="FF2375" s="223"/>
      <c r="FG2375" s="223"/>
      <c r="FH2375" s="223"/>
      <c r="FI2375" s="223"/>
      <c r="FJ2375" s="223"/>
      <c r="FK2375" s="223"/>
      <c r="FL2375" s="223"/>
      <c r="FM2375" s="223"/>
      <c r="FN2375" s="223"/>
      <c r="FO2375" s="223"/>
      <c r="FP2375" s="223"/>
      <c r="FQ2375" s="223"/>
      <c r="FR2375" s="223"/>
      <c r="FS2375" s="223"/>
      <c r="FT2375" s="223"/>
      <c r="FU2375" s="223"/>
      <c r="FV2375" s="223"/>
      <c r="FW2375" s="223"/>
      <c r="FX2375" s="223"/>
      <c r="FY2375" s="223"/>
      <c r="FZ2375" s="223"/>
      <c r="GA2375" s="223"/>
      <c r="GB2375" s="223"/>
      <c r="GC2375" s="223"/>
      <c r="GD2375" s="223"/>
      <c r="GE2375" s="223"/>
      <c r="GF2375" s="223"/>
      <c r="GG2375" s="223"/>
      <c r="GH2375" s="223"/>
      <c r="GI2375" s="223"/>
      <c r="GJ2375" s="223"/>
      <c r="GK2375" s="223"/>
      <c r="GL2375" s="223"/>
      <c r="GM2375" s="223"/>
      <c r="GN2375" s="223"/>
      <c r="GO2375" s="223"/>
      <c r="GP2375" s="223"/>
      <c r="GQ2375" s="223"/>
      <c r="GR2375" s="223"/>
      <c r="GS2375" s="223"/>
      <c r="GT2375" s="223"/>
      <c r="GU2375" s="223"/>
      <c r="GV2375" s="223"/>
      <c r="GW2375" s="223"/>
      <c r="GX2375" s="223"/>
      <c r="GY2375" s="223"/>
      <c r="GZ2375" s="223"/>
      <c r="HA2375" s="223"/>
      <c r="HB2375" s="223"/>
      <c r="HC2375" s="223"/>
      <c r="HD2375" s="223"/>
      <c r="HE2375" s="223"/>
      <c r="HF2375" s="223"/>
      <c r="HG2375" s="223"/>
      <c r="HH2375" s="223"/>
      <c r="HI2375" s="223"/>
      <c r="HJ2375" s="223"/>
      <c r="HK2375" s="223"/>
      <c r="HL2375" s="223"/>
      <c r="HM2375" s="223"/>
      <c r="HN2375" s="223"/>
      <c r="HO2375" s="223"/>
      <c r="HP2375" s="223"/>
      <c r="HQ2375" s="223"/>
      <c r="HR2375" s="223"/>
      <c r="HS2375" s="223"/>
      <c r="HT2375" s="223"/>
      <c r="HU2375" s="223"/>
      <c r="HV2375" s="223"/>
      <c r="HW2375" s="223"/>
      <c r="HX2375" s="223"/>
      <c r="HY2375" s="223"/>
      <c r="HZ2375" s="223"/>
      <c r="IA2375" s="223"/>
      <c r="IB2375" s="223"/>
      <c r="IC2375" s="223"/>
      <c r="ID2375" s="223"/>
      <c r="IE2375" s="223"/>
      <c r="IF2375" s="223"/>
      <c r="IG2375" s="223"/>
      <c r="IH2375" s="223"/>
      <c r="II2375" s="223"/>
      <c r="IJ2375" s="223"/>
      <c r="IK2375" s="223"/>
      <c r="IL2375" s="223"/>
      <c r="IM2375" s="223"/>
      <c r="IN2375" s="223"/>
      <c r="IO2375" s="223"/>
      <c r="IP2375" s="223"/>
      <c r="IQ2375" s="223"/>
      <c r="IR2375" s="223"/>
      <c r="IS2375" s="223"/>
      <c r="IT2375" s="223"/>
      <c r="IU2375" s="223"/>
      <c r="IV2375" s="223"/>
    </row>
    <row r="2376" spans="46:256" s="221" customFormat="1" x14ac:dyDescent="0.2">
      <c r="AT2376" s="222"/>
      <c r="AU2376" s="222"/>
      <c r="BD2376" s="223"/>
      <c r="BE2376" s="223"/>
      <c r="BF2376" s="223"/>
      <c r="BG2376" s="223"/>
      <c r="BH2376" s="223"/>
      <c r="BI2376" s="223"/>
      <c r="BJ2376" s="223"/>
      <c r="BK2376" s="223"/>
      <c r="BL2376" s="223"/>
      <c r="BM2376" s="223"/>
      <c r="BN2376" s="223"/>
      <c r="BO2376" s="223"/>
      <c r="BP2376" s="223"/>
      <c r="BQ2376" s="223"/>
      <c r="BR2376" s="223"/>
      <c r="BS2376" s="223"/>
      <c r="BT2376" s="223"/>
      <c r="BU2376" s="223"/>
      <c r="BV2376" s="223"/>
      <c r="BW2376" s="223"/>
      <c r="BX2376" s="223"/>
      <c r="BY2376" s="223"/>
      <c r="BZ2376" s="223"/>
      <c r="CA2376" s="223"/>
      <c r="CB2376" s="223"/>
      <c r="CC2376" s="223"/>
      <c r="CD2376" s="223"/>
      <c r="CE2376" s="223"/>
      <c r="CF2376" s="223"/>
      <c r="CG2376" s="223"/>
      <c r="CH2376" s="223"/>
      <c r="CI2376" s="223"/>
      <c r="CJ2376" s="223"/>
      <c r="CK2376" s="223"/>
      <c r="CL2376" s="223"/>
      <c r="CM2376" s="223"/>
      <c r="CN2376" s="223"/>
      <c r="CO2376" s="223"/>
      <c r="CP2376" s="223"/>
      <c r="CQ2376" s="223"/>
      <c r="CR2376" s="223"/>
      <c r="CS2376" s="223"/>
      <c r="CT2376" s="223"/>
      <c r="CU2376" s="223"/>
      <c r="CV2376" s="223"/>
      <c r="CW2376" s="223"/>
      <c r="CX2376" s="223"/>
      <c r="CY2376" s="223"/>
      <c r="CZ2376" s="223"/>
      <c r="DA2376" s="223"/>
      <c r="DB2376" s="223"/>
      <c r="DC2376" s="223"/>
      <c r="DD2376" s="223"/>
      <c r="DE2376" s="223"/>
      <c r="DF2376" s="223"/>
      <c r="DG2376" s="223"/>
      <c r="DH2376" s="223"/>
      <c r="DI2376" s="223"/>
      <c r="DJ2376" s="223"/>
      <c r="DK2376" s="223"/>
      <c r="DL2376" s="223"/>
      <c r="DM2376" s="223"/>
      <c r="DN2376" s="223"/>
      <c r="DO2376" s="223"/>
      <c r="DP2376" s="223"/>
      <c r="DQ2376" s="223"/>
      <c r="DR2376" s="223"/>
      <c r="DS2376" s="223"/>
      <c r="DT2376" s="223"/>
      <c r="DU2376" s="223"/>
      <c r="DV2376" s="223"/>
      <c r="DW2376" s="223"/>
      <c r="DX2376" s="223"/>
      <c r="DY2376" s="223"/>
      <c r="DZ2376" s="223"/>
      <c r="EA2376" s="223"/>
      <c r="EB2376" s="223"/>
      <c r="EC2376" s="223"/>
      <c r="ED2376" s="223"/>
      <c r="EE2376" s="223"/>
      <c r="EF2376" s="223"/>
      <c r="EG2376" s="223"/>
      <c r="EH2376" s="223"/>
      <c r="EI2376" s="223"/>
      <c r="EJ2376" s="223"/>
      <c r="EK2376" s="223"/>
      <c r="EL2376" s="223"/>
      <c r="EM2376" s="223"/>
      <c r="EN2376" s="223"/>
      <c r="EO2376" s="223"/>
      <c r="EP2376" s="223"/>
      <c r="EQ2376" s="223"/>
      <c r="ER2376" s="223"/>
      <c r="ES2376" s="223"/>
      <c r="ET2376" s="223"/>
      <c r="EU2376" s="223"/>
      <c r="EV2376" s="223"/>
      <c r="EW2376" s="223"/>
      <c r="EX2376" s="223"/>
      <c r="EY2376" s="223"/>
      <c r="EZ2376" s="223"/>
      <c r="FA2376" s="223"/>
      <c r="FB2376" s="223"/>
      <c r="FC2376" s="223"/>
      <c r="FD2376" s="223"/>
      <c r="FE2376" s="223"/>
      <c r="FF2376" s="223"/>
      <c r="FG2376" s="223"/>
      <c r="FH2376" s="223"/>
      <c r="FI2376" s="223"/>
      <c r="FJ2376" s="223"/>
      <c r="FK2376" s="223"/>
      <c r="FL2376" s="223"/>
      <c r="FM2376" s="223"/>
      <c r="FN2376" s="223"/>
      <c r="FO2376" s="223"/>
      <c r="FP2376" s="223"/>
      <c r="FQ2376" s="223"/>
      <c r="FR2376" s="223"/>
      <c r="FS2376" s="223"/>
      <c r="FT2376" s="223"/>
      <c r="FU2376" s="223"/>
      <c r="FV2376" s="223"/>
      <c r="FW2376" s="223"/>
      <c r="FX2376" s="223"/>
      <c r="FY2376" s="223"/>
      <c r="FZ2376" s="223"/>
      <c r="GA2376" s="223"/>
      <c r="GB2376" s="223"/>
      <c r="GC2376" s="223"/>
      <c r="GD2376" s="223"/>
      <c r="GE2376" s="223"/>
      <c r="GF2376" s="223"/>
      <c r="GG2376" s="223"/>
      <c r="GH2376" s="223"/>
      <c r="GI2376" s="223"/>
      <c r="GJ2376" s="223"/>
      <c r="GK2376" s="223"/>
      <c r="GL2376" s="223"/>
      <c r="GM2376" s="223"/>
      <c r="GN2376" s="223"/>
      <c r="GO2376" s="223"/>
      <c r="GP2376" s="223"/>
      <c r="GQ2376" s="223"/>
      <c r="GR2376" s="223"/>
      <c r="GS2376" s="223"/>
      <c r="GT2376" s="223"/>
      <c r="GU2376" s="223"/>
      <c r="GV2376" s="223"/>
      <c r="GW2376" s="223"/>
      <c r="GX2376" s="223"/>
      <c r="GY2376" s="223"/>
      <c r="GZ2376" s="223"/>
      <c r="HA2376" s="223"/>
      <c r="HB2376" s="223"/>
      <c r="HC2376" s="223"/>
      <c r="HD2376" s="223"/>
      <c r="HE2376" s="223"/>
      <c r="HF2376" s="223"/>
      <c r="HG2376" s="223"/>
      <c r="HH2376" s="223"/>
      <c r="HI2376" s="223"/>
      <c r="HJ2376" s="223"/>
      <c r="HK2376" s="223"/>
      <c r="HL2376" s="223"/>
      <c r="HM2376" s="223"/>
      <c r="HN2376" s="223"/>
      <c r="HO2376" s="223"/>
      <c r="HP2376" s="223"/>
      <c r="HQ2376" s="223"/>
      <c r="HR2376" s="223"/>
      <c r="HS2376" s="223"/>
      <c r="HT2376" s="223"/>
      <c r="HU2376" s="223"/>
      <c r="HV2376" s="223"/>
      <c r="HW2376" s="223"/>
      <c r="HX2376" s="223"/>
      <c r="HY2376" s="223"/>
      <c r="HZ2376" s="223"/>
      <c r="IA2376" s="223"/>
      <c r="IB2376" s="223"/>
      <c r="IC2376" s="223"/>
      <c r="ID2376" s="223"/>
      <c r="IE2376" s="223"/>
      <c r="IF2376" s="223"/>
      <c r="IG2376" s="223"/>
      <c r="IH2376" s="223"/>
      <c r="II2376" s="223"/>
      <c r="IJ2376" s="223"/>
      <c r="IK2376" s="223"/>
      <c r="IL2376" s="223"/>
      <c r="IM2376" s="223"/>
      <c r="IN2376" s="223"/>
      <c r="IO2376" s="223"/>
      <c r="IP2376" s="223"/>
      <c r="IQ2376" s="223"/>
      <c r="IR2376" s="223"/>
      <c r="IS2376" s="223"/>
      <c r="IT2376" s="223"/>
      <c r="IU2376" s="223"/>
      <c r="IV2376" s="223"/>
    </row>
    <row r="2377" spans="46:256" s="221" customFormat="1" x14ac:dyDescent="0.2">
      <c r="AT2377" s="222"/>
      <c r="AU2377" s="222"/>
      <c r="BD2377" s="223"/>
      <c r="BE2377" s="223"/>
      <c r="BF2377" s="223"/>
      <c r="BG2377" s="223"/>
      <c r="BH2377" s="223"/>
      <c r="BI2377" s="223"/>
      <c r="BJ2377" s="223"/>
      <c r="BK2377" s="223"/>
      <c r="BL2377" s="223"/>
      <c r="BM2377" s="223"/>
      <c r="BN2377" s="223"/>
      <c r="BO2377" s="223"/>
      <c r="BP2377" s="223"/>
      <c r="BQ2377" s="223"/>
      <c r="BR2377" s="223"/>
      <c r="BS2377" s="223"/>
      <c r="BT2377" s="223"/>
      <c r="BU2377" s="223"/>
      <c r="BV2377" s="223"/>
      <c r="BW2377" s="223"/>
      <c r="BX2377" s="223"/>
      <c r="BY2377" s="223"/>
      <c r="BZ2377" s="223"/>
      <c r="CA2377" s="223"/>
      <c r="CB2377" s="223"/>
      <c r="CC2377" s="223"/>
      <c r="CD2377" s="223"/>
      <c r="CE2377" s="223"/>
      <c r="CF2377" s="223"/>
      <c r="CG2377" s="223"/>
      <c r="CH2377" s="223"/>
      <c r="CI2377" s="223"/>
      <c r="CJ2377" s="223"/>
      <c r="CK2377" s="223"/>
      <c r="CL2377" s="223"/>
      <c r="CM2377" s="223"/>
      <c r="CN2377" s="223"/>
      <c r="CO2377" s="223"/>
      <c r="CP2377" s="223"/>
      <c r="CQ2377" s="223"/>
      <c r="CR2377" s="223"/>
      <c r="CS2377" s="223"/>
      <c r="CT2377" s="223"/>
      <c r="CU2377" s="223"/>
      <c r="CV2377" s="223"/>
      <c r="CW2377" s="223"/>
      <c r="CX2377" s="223"/>
      <c r="CY2377" s="223"/>
      <c r="CZ2377" s="223"/>
      <c r="DA2377" s="223"/>
      <c r="DB2377" s="223"/>
      <c r="DC2377" s="223"/>
      <c r="DD2377" s="223"/>
      <c r="DE2377" s="223"/>
      <c r="DF2377" s="223"/>
      <c r="DG2377" s="223"/>
      <c r="DH2377" s="223"/>
      <c r="DI2377" s="223"/>
      <c r="DJ2377" s="223"/>
      <c r="DK2377" s="223"/>
      <c r="DL2377" s="223"/>
      <c r="DM2377" s="223"/>
      <c r="DN2377" s="223"/>
      <c r="DO2377" s="223"/>
      <c r="DP2377" s="223"/>
      <c r="DQ2377" s="223"/>
      <c r="DR2377" s="223"/>
      <c r="DS2377" s="223"/>
      <c r="DT2377" s="223"/>
      <c r="DU2377" s="223"/>
      <c r="DV2377" s="223"/>
      <c r="DW2377" s="223"/>
      <c r="DX2377" s="223"/>
      <c r="DY2377" s="223"/>
      <c r="DZ2377" s="223"/>
      <c r="EA2377" s="223"/>
      <c r="EB2377" s="223"/>
      <c r="EC2377" s="223"/>
      <c r="ED2377" s="223"/>
      <c r="EE2377" s="223"/>
      <c r="EF2377" s="223"/>
      <c r="EG2377" s="223"/>
      <c r="EH2377" s="223"/>
      <c r="EI2377" s="223"/>
      <c r="EJ2377" s="223"/>
      <c r="EK2377" s="223"/>
      <c r="EL2377" s="223"/>
      <c r="EM2377" s="223"/>
      <c r="EN2377" s="223"/>
      <c r="EO2377" s="223"/>
      <c r="EP2377" s="223"/>
      <c r="EQ2377" s="223"/>
      <c r="ER2377" s="223"/>
      <c r="ES2377" s="223"/>
      <c r="ET2377" s="223"/>
      <c r="EU2377" s="223"/>
      <c r="EV2377" s="223"/>
      <c r="EW2377" s="223"/>
      <c r="EX2377" s="223"/>
      <c r="EY2377" s="223"/>
      <c r="EZ2377" s="223"/>
      <c r="FA2377" s="223"/>
      <c r="FB2377" s="223"/>
      <c r="FC2377" s="223"/>
      <c r="FD2377" s="223"/>
      <c r="FE2377" s="223"/>
      <c r="FF2377" s="223"/>
      <c r="FG2377" s="223"/>
      <c r="FH2377" s="223"/>
      <c r="FI2377" s="223"/>
      <c r="FJ2377" s="223"/>
      <c r="FK2377" s="223"/>
      <c r="FL2377" s="223"/>
      <c r="FM2377" s="223"/>
      <c r="FN2377" s="223"/>
      <c r="FO2377" s="223"/>
      <c r="FP2377" s="223"/>
      <c r="FQ2377" s="223"/>
      <c r="FR2377" s="223"/>
      <c r="FS2377" s="223"/>
      <c r="FT2377" s="223"/>
      <c r="FU2377" s="223"/>
      <c r="FV2377" s="223"/>
      <c r="FW2377" s="223"/>
      <c r="FX2377" s="223"/>
      <c r="FY2377" s="223"/>
      <c r="FZ2377" s="223"/>
      <c r="GA2377" s="223"/>
      <c r="GB2377" s="223"/>
      <c r="GC2377" s="223"/>
      <c r="GD2377" s="223"/>
      <c r="GE2377" s="223"/>
      <c r="GF2377" s="223"/>
      <c r="GG2377" s="223"/>
      <c r="GH2377" s="223"/>
      <c r="GI2377" s="223"/>
      <c r="GJ2377" s="223"/>
      <c r="GK2377" s="223"/>
      <c r="GL2377" s="223"/>
      <c r="GM2377" s="223"/>
      <c r="GN2377" s="223"/>
      <c r="GO2377" s="223"/>
      <c r="GP2377" s="223"/>
      <c r="GQ2377" s="223"/>
      <c r="GR2377" s="223"/>
      <c r="GS2377" s="223"/>
      <c r="GT2377" s="223"/>
      <c r="GU2377" s="223"/>
      <c r="GV2377" s="223"/>
      <c r="GW2377" s="223"/>
      <c r="GX2377" s="223"/>
      <c r="GY2377" s="223"/>
      <c r="GZ2377" s="223"/>
      <c r="HA2377" s="223"/>
      <c r="HB2377" s="223"/>
      <c r="HC2377" s="223"/>
      <c r="HD2377" s="223"/>
      <c r="HE2377" s="223"/>
      <c r="HF2377" s="223"/>
      <c r="HG2377" s="223"/>
      <c r="HH2377" s="223"/>
      <c r="HI2377" s="223"/>
      <c r="HJ2377" s="223"/>
      <c r="HK2377" s="223"/>
      <c r="HL2377" s="223"/>
      <c r="HM2377" s="223"/>
      <c r="HN2377" s="223"/>
      <c r="HO2377" s="223"/>
      <c r="HP2377" s="223"/>
      <c r="HQ2377" s="223"/>
      <c r="HR2377" s="223"/>
      <c r="HS2377" s="223"/>
      <c r="HT2377" s="223"/>
      <c r="HU2377" s="223"/>
      <c r="HV2377" s="223"/>
      <c r="HW2377" s="223"/>
      <c r="HX2377" s="223"/>
      <c r="HY2377" s="223"/>
      <c r="HZ2377" s="223"/>
      <c r="IA2377" s="223"/>
      <c r="IB2377" s="223"/>
      <c r="IC2377" s="223"/>
      <c r="ID2377" s="223"/>
      <c r="IE2377" s="223"/>
      <c r="IF2377" s="223"/>
      <c r="IG2377" s="223"/>
      <c r="IH2377" s="223"/>
      <c r="II2377" s="223"/>
      <c r="IJ2377" s="223"/>
      <c r="IK2377" s="223"/>
      <c r="IL2377" s="223"/>
      <c r="IM2377" s="223"/>
      <c r="IN2377" s="223"/>
      <c r="IO2377" s="223"/>
      <c r="IP2377" s="223"/>
      <c r="IQ2377" s="223"/>
      <c r="IR2377" s="223"/>
      <c r="IS2377" s="223"/>
      <c r="IT2377" s="223"/>
      <c r="IU2377" s="223"/>
      <c r="IV2377" s="223"/>
    </row>
    <row r="2378" spans="46:256" s="221" customFormat="1" x14ac:dyDescent="0.2">
      <c r="AT2378" s="222"/>
      <c r="AU2378" s="222"/>
      <c r="BD2378" s="223"/>
      <c r="BE2378" s="223"/>
      <c r="BF2378" s="223"/>
      <c r="BG2378" s="223"/>
      <c r="BH2378" s="223"/>
      <c r="BI2378" s="223"/>
      <c r="BJ2378" s="223"/>
      <c r="BK2378" s="223"/>
      <c r="BL2378" s="223"/>
      <c r="BM2378" s="223"/>
      <c r="BN2378" s="223"/>
      <c r="BO2378" s="223"/>
      <c r="BP2378" s="223"/>
      <c r="BQ2378" s="223"/>
      <c r="BR2378" s="223"/>
      <c r="BS2378" s="223"/>
      <c r="BT2378" s="223"/>
      <c r="BU2378" s="223"/>
      <c r="BV2378" s="223"/>
      <c r="BW2378" s="223"/>
      <c r="BX2378" s="223"/>
      <c r="BY2378" s="223"/>
      <c r="BZ2378" s="223"/>
      <c r="CA2378" s="223"/>
      <c r="CB2378" s="223"/>
      <c r="CC2378" s="223"/>
      <c r="CD2378" s="223"/>
      <c r="CE2378" s="223"/>
      <c r="CF2378" s="223"/>
      <c r="CG2378" s="223"/>
      <c r="CH2378" s="223"/>
      <c r="CI2378" s="223"/>
      <c r="CJ2378" s="223"/>
      <c r="CK2378" s="223"/>
      <c r="CL2378" s="223"/>
      <c r="CM2378" s="223"/>
      <c r="CN2378" s="223"/>
      <c r="CO2378" s="223"/>
      <c r="CP2378" s="223"/>
      <c r="CQ2378" s="223"/>
      <c r="CR2378" s="223"/>
      <c r="CS2378" s="223"/>
      <c r="CT2378" s="223"/>
      <c r="CU2378" s="223"/>
      <c r="CV2378" s="223"/>
      <c r="CW2378" s="223"/>
      <c r="CX2378" s="223"/>
      <c r="CY2378" s="223"/>
      <c r="CZ2378" s="223"/>
      <c r="DA2378" s="223"/>
      <c r="DB2378" s="223"/>
      <c r="DC2378" s="223"/>
      <c r="DD2378" s="223"/>
      <c r="DE2378" s="223"/>
      <c r="DF2378" s="223"/>
      <c r="DG2378" s="223"/>
      <c r="DH2378" s="223"/>
      <c r="DI2378" s="223"/>
      <c r="DJ2378" s="223"/>
      <c r="DK2378" s="223"/>
      <c r="DL2378" s="223"/>
      <c r="DM2378" s="223"/>
      <c r="DN2378" s="223"/>
      <c r="DO2378" s="223"/>
      <c r="DP2378" s="223"/>
      <c r="DQ2378" s="223"/>
      <c r="DR2378" s="223"/>
      <c r="DS2378" s="223"/>
      <c r="DT2378" s="223"/>
      <c r="DU2378" s="223"/>
      <c r="DV2378" s="223"/>
      <c r="DW2378" s="223"/>
      <c r="DX2378" s="223"/>
      <c r="DY2378" s="223"/>
      <c r="DZ2378" s="223"/>
      <c r="EA2378" s="223"/>
      <c r="EB2378" s="223"/>
      <c r="EC2378" s="223"/>
      <c r="ED2378" s="223"/>
      <c r="EE2378" s="223"/>
      <c r="EF2378" s="223"/>
      <c r="EG2378" s="223"/>
      <c r="EH2378" s="223"/>
      <c r="EI2378" s="223"/>
      <c r="EJ2378" s="223"/>
      <c r="EK2378" s="223"/>
      <c r="EL2378" s="223"/>
      <c r="EM2378" s="223"/>
      <c r="EN2378" s="223"/>
      <c r="EO2378" s="223"/>
      <c r="EP2378" s="223"/>
      <c r="EQ2378" s="223"/>
      <c r="ER2378" s="223"/>
      <c r="ES2378" s="223"/>
      <c r="ET2378" s="223"/>
      <c r="EU2378" s="223"/>
      <c r="EV2378" s="223"/>
      <c r="EW2378" s="223"/>
      <c r="EX2378" s="223"/>
      <c r="EY2378" s="223"/>
      <c r="EZ2378" s="223"/>
      <c r="FA2378" s="223"/>
      <c r="FB2378" s="223"/>
      <c r="FC2378" s="223"/>
      <c r="FD2378" s="223"/>
      <c r="FE2378" s="223"/>
      <c r="FF2378" s="223"/>
      <c r="FG2378" s="223"/>
      <c r="FH2378" s="223"/>
      <c r="FI2378" s="223"/>
      <c r="FJ2378" s="223"/>
      <c r="FK2378" s="223"/>
      <c r="FL2378" s="223"/>
      <c r="FM2378" s="223"/>
      <c r="FN2378" s="223"/>
      <c r="FO2378" s="223"/>
      <c r="FP2378" s="223"/>
      <c r="FQ2378" s="223"/>
      <c r="FR2378" s="223"/>
      <c r="FS2378" s="223"/>
      <c r="FT2378" s="223"/>
      <c r="FU2378" s="223"/>
      <c r="FV2378" s="223"/>
      <c r="FW2378" s="223"/>
      <c r="FX2378" s="223"/>
      <c r="FY2378" s="223"/>
      <c r="FZ2378" s="223"/>
      <c r="GA2378" s="223"/>
      <c r="GB2378" s="223"/>
      <c r="GC2378" s="223"/>
      <c r="GD2378" s="223"/>
      <c r="GE2378" s="223"/>
      <c r="GF2378" s="223"/>
      <c r="GG2378" s="223"/>
      <c r="GH2378" s="223"/>
      <c r="GI2378" s="223"/>
      <c r="GJ2378" s="223"/>
      <c r="GK2378" s="223"/>
      <c r="GL2378" s="223"/>
      <c r="GM2378" s="223"/>
      <c r="GN2378" s="223"/>
      <c r="GO2378" s="223"/>
      <c r="GP2378" s="223"/>
      <c r="GQ2378" s="223"/>
      <c r="GR2378" s="223"/>
      <c r="GS2378" s="223"/>
      <c r="GT2378" s="223"/>
      <c r="GU2378" s="223"/>
      <c r="GV2378" s="223"/>
      <c r="GW2378" s="223"/>
      <c r="GX2378" s="223"/>
      <c r="GY2378" s="223"/>
      <c r="GZ2378" s="223"/>
      <c r="HA2378" s="223"/>
      <c r="HB2378" s="223"/>
      <c r="HC2378" s="223"/>
      <c r="HD2378" s="223"/>
      <c r="HE2378" s="223"/>
      <c r="HF2378" s="223"/>
      <c r="HG2378" s="223"/>
      <c r="HH2378" s="223"/>
      <c r="HI2378" s="223"/>
      <c r="HJ2378" s="223"/>
      <c r="HK2378" s="223"/>
      <c r="HL2378" s="223"/>
      <c r="HM2378" s="223"/>
      <c r="HN2378" s="223"/>
      <c r="HO2378" s="223"/>
      <c r="HP2378" s="223"/>
      <c r="HQ2378" s="223"/>
      <c r="HR2378" s="223"/>
      <c r="HS2378" s="223"/>
      <c r="HT2378" s="223"/>
      <c r="HU2378" s="223"/>
      <c r="HV2378" s="223"/>
      <c r="HW2378" s="223"/>
      <c r="HX2378" s="223"/>
      <c r="HY2378" s="223"/>
      <c r="HZ2378" s="223"/>
      <c r="IA2378" s="223"/>
      <c r="IB2378" s="223"/>
      <c r="IC2378" s="223"/>
      <c r="ID2378" s="223"/>
      <c r="IE2378" s="223"/>
      <c r="IF2378" s="223"/>
      <c r="IG2378" s="223"/>
      <c r="IH2378" s="223"/>
      <c r="II2378" s="223"/>
      <c r="IJ2378" s="223"/>
      <c r="IK2378" s="223"/>
      <c r="IL2378" s="223"/>
      <c r="IM2378" s="223"/>
      <c r="IN2378" s="223"/>
      <c r="IO2378" s="223"/>
      <c r="IP2378" s="223"/>
      <c r="IQ2378" s="223"/>
      <c r="IR2378" s="223"/>
      <c r="IS2378" s="223"/>
      <c r="IT2378" s="223"/>
      <c r="IU2378" s="223"/>
      <c r="IV2378" s="223"/>
    </row>
    <row r="2379" spans="46:256" s="221" customFormat="1" x14ac:dyDescent="0.2">
      <c r="AT2379" s="222"/>
      <c r="AU2379" s="222"/>
      <c r="BD2379" s="223"/>
      <c r="BE2379" s="223"/>
      <c r="BF2379" s="223"/>
      <c r="BG2379" s="223"/>
      <c r="BH2379" s="223"/>
      <c r="BI2379" s="223"/>
      <c r="BJ2379" s="223"/>
      <c r="BK2379" s="223"/>
      <c r="BL2379" s="223"/>
      <c r="BM2379" s="223"/>
      <c r="BN2379" s="223"/>
      <c r="BO2379" s="223"/>
      <c r="BP2379" s="223"/>
      <c r="BQ2379" s="223"/>
      <c r="BR2379" s="223"/>
      <c r="BS2379" s="223"/>
      <c r="BT2379" s="223"/>
      <c r="BU2379" s="223"/>
      <c r="BV2379" s="223"/>
      <c r="BW2379" s="223"/>
      <c r="BX2379" s="223"/>
      <c r="BY2379" s="223"/>
      <c r="BZ2379" s="223"/>
      <c r="CA2379" s="223"/>
      <c r="CB2379" s="223"/>
      <c r="CC2379" s="223"/>
      <c r="CD2379" s="223"/>
      <c r="CE2379" s="223"/>
      <c r="CF2379" s="223"/>
      <c r="CG2379" s="223"/>
      <c r="CH2379" s="223"/>
      <c r="CI2379" s="223"/>
      <c r="CJ2379" s="223"/>
      <c r="CK2379" s="223"/>
      <c r="CL2379" s="223"/>
      <c r="CM2379" s="223"/>
      <c r="CN2379" s="223"/>
      <c r="CO2379" s="223"/>
      <c r="CP2379" s="223"/>
      <c r="CQ2379" s="223"/>
      <c r="CR2379" s="223"/>
      <c r="CS2379" s="223"/>
      <c r="CT2379" s="223"/>
      <c r="CU2379" s="223"/>
      <c r="CV2379" s="223"/>
      <c r="CW2379" s="223"/>
      <c r="CX2379" s="223"/>
      <c r="CY2379" s="223"/>
      <c r="CZ2379" s="223"/>
      <c r="DA2379" s="223"/>
      <c r="DB2379" s="223"/>
      <c r="DC2379" s="223"/>
      <c r="DD2379" s="223"/>
      <c r="DE2379" s="223"/>
      <c r="DF2379" s="223"/>
      <c r="DG2379" s="223"/>
      <c r="DH2379" s="223"/>
      <c r="DI2379" s="223"/>
      <c r="DJ2379" s="223"/>
      <c r="DK2379" s="223"/>
      <c r="DL2379" s="223"/>
      <c r="DM2379" s="223"/>
      <c r="DN2379" s="223"/>
      <c r="DO2379" s="223"/>
      <c r="DP2379" s="223"/>
      <c r="DQ2379" s="223"/>
      <c r="DR2379" s="223"/>
      <c r="DS2379" s="223"/>
      <c r="DT2379" s="223"/>
      <c r="DU2379" s="223"/>
      <c r="DV2379" s="223"/>
      <c r="DW2379" s="223"/>
      <c r="DX2379" s="223"/>
      <c r="DY2379" s="223"/>
      <c r="DZ2379" s="223"/>
      <c r="EA2379" s="223"/>
      <c r="EB2379" s="223"/>
      <c r="EC2379" s="223"/>
      <c r="ED2379" s="223"/>
      <c r="EE2379" s="223"/>
      <c r="EF2379" s="223"/>
      <c r="EG2379" s="223"/>
      <c r="EH2379" s="223"/>
      <c r="EI2379" s="223"/>
      <c r="EJ2379" s="223"/>
      <c r="EK2379" s="223"/>
      <c r="EL2379" s="223"/>
      <c r="EM2379" s="223"/>
      <c r="EN2379" s="223"/>
      <c r="EO2379" s="223"/>
      <c r="EP2379" s="223"/>
      <c r="EQ2379" s="223"/>
      <c r="ER2379" s="223"/>
      <c r="ES2379" s="223"/>
      <c r="ET2379" s="223"/>
      <c r="EU2379" s="223"/>
      <c r="EV2379" s="223"/>
      <c r="EW2379" s="223"/>
      <c r="EX2379" s="223"/>
      <c r="EY2379" s="223"/>
      <c r="EZ2379" s="223"/>
      <c r="FA2379" s="223"/>
      <c r="FB2379" s="223"/>
      <c r="FC2379" s="223"/>
      <c r="FD2379" s="223"/>
      <c r="FE2379" s="223"/>
      <c r="FF2379" s="223"/>
      <c r="FG2379" s="223"/>
      <c r="FH2379" s="223"/>
      <c r="FI2379" s="223"/>
      <c r="FJ2379" s="223"/>
      <c r="FK2379" s="223"/>
      <c r="FL2379" s="223"/>
      <c r="FM2379" s="223"/>
      <c r="FN2379" s="223"/>
      <c r="FO2379" s="223"/>
      <c r="FP2379" s="223"/>
      <c r="FQ2379" s="223"/>
      <c r="FR2379" s="223"/>
      <c r="FS2379" s="223"/>
      <c r="FT2379" s="223"/>
      <c r="FU2379" s="223"/>
      <c r="FV2379" s="223"/>
      <c r="FW2379" s="223"/>
      <c r="FX2379" s="223"/>
      <c r="FY2379" s="223"/>
      <c r="FZ2379" s="223"/>
      <c r="GA2379" s="223"/>
      <c r="GB2379" s="223"/>
      <c r="GC2379" s="223"/>
      <c r="GD2379" s="223"/>
      <c r="GE2379" s="223"/>
      <c r="GF2379" s="223"/>
      <c r="GG2379" s="223"/>
      <c r="GH2379" s="223"/>
      <c r="GI2379" s="223"/>
      <c r="GJ2379" s="223"/>
      <c r="GK2379" s="223"/>
      <c r="GL2379" s="223"/>
      <c r="GM2379" s="223"/>
      <c r="GN2379" s="223"/>
      <c r="GO2379" s="223"/>
      <c r="GP2379" s="223"/>
      <c r="GQ2379" s="223"/>
      <c r="GR2379" s="223"/>
      <c r="GS2379" s="223"/>
      <c r="GT2379" s="223"/>
      <c r="GU2379" s="223"/>
      <c r="GV2379" s="223"/>
      <c r="GW2379" s="223"/>
      <c r="GX2379" s="223"/>
      <c r="GY2379" s="223"/>
      <c r="GZ2379" s="223"/>
      <c r="HA2379" s="223"/>
      <c r="HB2379" s="223"/>
      <c r="HC2379" s="223"/>
      <c r="HD2379" s="223"/>
      <c r="HE2379" s="223"/>
      <c r="HF2379" s="223"/>
      <c r="HG2379" s="223"/>
      <c r="HH2379" s="223"/>
      <c r="HI2379" s="223"/>
      <c r="HJ2379" s="223"/>
      <c r="HK2379" s="223"/>
      <c r="HL2379" s="223"/>
      <c r="HM2379" s="223"/>
      <c r="HN2379" s="223"/>
      <c r="HO2379" s="223"/>
      <c r="HP2379" s="223"/>
      <c r="HQ2379" s="223"/>
      <c r="HR2379" s="223"/>
      <c r="HS2379" s="223"/>
      <c r="HT2379" s="223"/>
      <c r="HU2379" s="223"/>
      <c r="HV2379" s="223"/>
      <c r="HW2379" s="223"/>
      <c r="HX2379" s="223"/>
      <c r="HY2379" s="223"/>
      <c r="HZ2379" s="223"/>
      <c r="IA2379" s="223"/>
      <c r="IB2379" s="223"/>
      <c r="IC2379" s="223"/>
      <c r="ID2379" s="223"/>
      <c r="IE2379" s="223"/>
      <c r="IF2379" s="223"/>
      <c r="IG2379" s="223"/>
      <c r="IH2379" s="223"/>
      <c r="II2379" s="223"/>
      <c r="IJ2379" s="223"/>
      <c r="IK2379" s="223"/>
      <c r="IL2379" s="223"/>
      <c r="IM2379" s="223"/>
      <c r="IN2379" s="223"/>
      <c r="IO2379" s="223"/>
      <c r="IP2379" s="223"/>
      <c r="IQ2379" s="223"/>
      <c r="IR2379" s="223"/>
      <c r="IS2379" s="223"/>
      <c r="IT2379" s="223"/>
      <c r="IU2379" s="223"/>
      <c r="IV2379" s="223"/>
    </row>
    <row r="2380" spans="46:256" s="221" customFormat="1" x14ac:dyDescent="0.2">
      <c r="AT2380" s="222"/>
      <c r="AU2380" s="222"/>
      <c r="BD2380" s="223"/>
      <c r="BE2380" s="223"/>
      <c r="BF2380" s="223"/>
      <c r="BG2380" s="223"/>
      <c r="BH2380" s="223"/>
      <c r="BI2380" s="223"/>
      <c r="BJ2380" s="223"/>
      <c r="BK2380" s="223"/>
      <c r="BL2380" s="223"/>
      <c r="BM2380" s="223"/>
      <c r="BN2380" s="223"/>
      <c r="BO2380" s="223"/>
      <c r="BP2380" s="223"/>
      <c r="BQ2380" s="223"/>
      <c r="BR2380" s="223"/>
      <c r="BS2380" s="223"/>
      <c r="BT2380" s="223"/>
      <c r="BU2380" s="223"/>
      <c r="BV2380" s="223"/>
      <c r="BW2380" s="223"/>
      <c r="BX2380" s="223"/>
      <c r="BY2380" s="223"/>
      <c r="BZ2380" s="223"/>
      <c r="CA2380" s="223"/>
      <c r="CB2380" s="223"/>
      <c r="CC2380" s="223"/>
      <c r="CD2380" s="223"/>
      <c r="CE2380" s="223"/>
      <c r="CF2380" s="223"/>
      <c r="CG2380" s="223"/>
      <c r="CH2380" s="223"/>
      <c r="CI2380" s="223"/>
      <c r="CJ2380" s="223"/>
      <c r="CK2380" s="223"/>
      <c r="CL2380" s="223"/>
      <c r="CM2380" s="223"/>
      <c r="CN2380" s="223"/>
      <c r="CO2380" s="223"/>
      <c r="CP2380" s="223"/>
      <c r="CQ2380" s="223"/>
      <c r="CR2380" s="223"/>
      <c r="CS2380" s="223"/>
      <c r="CT2380" s="223"/>
      <c r="CU2380" s="223"/>
      <c r="CV2380" s="223"/>
      <c r="CW2380" s="223"/>
      <c r="CX2380" s="223"/>
      <c r="CY2380" s="223"/>
      <c r="CZ2380" s="223"/>
      <c r="DA2380" s="223"/>
      <c r="DB2380" s="223"/>
      <c r="DC2380" s="223"/>
      <c r="DD2380" s="223"/>
      <c r="DE2380" s="223"/>
      <c r="DF2380" s="223"/>
      <c r="DG2380" s="223"/>
      <c r="DH2380" s="223"/>
      <c r="DI2380" s="223"/>
      <c r="DJ2380" s="223"/>
      <c r="DK2380" s="223"/>
      <c r="DL2380" s="223"/>
      <c r="DM2380" s="223"/>
      <c r="DN2380" s="223"/>
      <c r="DO2380" s="223"/>
      <c r="DP2380" s="223"/>
      <c r="DQ2380" s="223"/>
      <c r="DR2380" s="223"/>
      <c r="DS2380" s="223"/>
      <c r="DT2380" s="223"/>
      <c r="DU2380" s="223"/>
      <c r="DV2380" s="223"/>
      <c r="DW2380" s="223"/>
      <c r="DX2380" s="223"/>
      <c r="DY2380" s="223"/>
      <c r="DZ2380" s="223"/>
      <c r="EA2380" s="223"/>
      <c r="EB2380" s="223"/>
      <c r="EC2380" s="223"/>
      <c r="ED2380" s="223"/>
      <c r="EE2380" s="223"/>
      <c r="EF2380" s="223"/>
      <c r="EG2380" s="223"/>
      <c r="EH2380" s="223"/>
      <c r="EI2380" s="223"/>
      <c r="EJ2380" s="223"/>
      <c r="EK2380" s="223"/>
      <c r="EL2380" s="223"/>
      <c r="EM2380" s="223"/>
      <c r="EN2380" s="223"/>
      <c r="EO2380" s="223"/>
      <c r="EP2380" s="223"/>
      <c r="EQ2380" s="223"/>
      <c r="ER2380" s="223"/>
      <c r="ES2380" s="223"/>
      <c r="ET2380" s="223"/>
      <c r="EU2380" s="223"/>
      <c r="EV2380" s="223"/>
      <c r="EW2380" s="223"/>
      <c r="EX2380" s="223"/>
      <c r="EY2380" s="223"/>
      <c r="EZ2380" s="223"/>
      <c r="FA2380" s="223"/>
      <c r="FB2380" s="223"/>
      <c r="FC2380" s="223"/>
      <c r="FD2380" s="223"/>
      <c r="FE2380" s="223"/>
      <c r="FF2380" s="223"/>
      <c r="FG2380" s="223"/>
      <c r="FH2380" s="223"/>
      <c r="FI2380" s="223"/>
      <c r="FJ2380" s="223"/>
      <c r="FK2380" s="223"/>
      <c r="FL2380" s="223"/>
      <c r="FM2380" s="223"/>
      <c r="FN2380" s="223"/>
      <c r="FO2380" s="223"/>
      <c r="FP2380" s="223"/>
      <c r="FQ2380" s="223"/>
      <c r="FR2380" s="223"/>
      <c r="FS2380" s="223"/>
      <c r="FT2380" s="223"/>
      <c r="FU2380" s="223"/>
      <c r="FV2380" s="223"/>
      <c r="FW2380" s="223"/>
      <c r="FX2380" s="223"/>
      <c r="FY2380" s="223"/>
      <c r="FZ2380" s="223"/>
      <c r="GA2380" s="223"/>
      <c r="GB2380" s="223"/>
      <c r="GC2380" s="223"/>
      <c r="GD2380" s="223"/>
      <c r="GE2380" s="223"/>
      <c r="GF2380" s="223"/>
      <c r="GG2380" s="223"/>
      <c r="GH2380" s="223"/>
      <c r="GI2380" s="223"/>
      <c r="GJ2380" s="223"/>
      <c r="GK2380" s="223"/>
      <c r="GL2380" s="223"/>
      <c r="GM2380" s="223"/>
      <c r="GN2380" s="223"/>
      <c r="GO2380" s="223"/>
      <c r="GP2380" s="223"/>
      <c r="GQ2380" s="223"/>
      <c r="GR2380" s="223"/>
      <c r="GS2380" s="223"/>
      <c r="GT2380" s="223"/>
      <c r="GU2380" s="223"/>
      <c r="GV2380" s="223"/>
      <c r="GW2380" s="223"/>
      <c r="GX2380" s="223"/>
      <c r="GY2380" s="223"/>
      <c r="GZ2380" s="223"/>
      <c r="HA2380" s="223"/>
      <c r="HB2380" s="223"/>
      <c r="HC2380" s="223"/>
      <c r="HD2380" s="223"/>
      <c r="HE2380" s="223"/>
      <c r="HF2380" s="223"/>
      <c r="HG2380" s="223"/>
      <c r="HH2380" s="223"/>
      <c r="HI2380" s="223"/>
      <c r="HJ2380" s="223"/>
      <c r="HK2380" s="223"/>
      <c r="HL2380" s="223"/>
      <c r="HM2380" s="223"/>
      <c r="HN2380" s="223"/>
      <c r="HO2380" s="223"/>
      <c r="HP2380" s="223"/>
      <c r="HQ2380" s="223"/>
      <c r="HR2380" s="223"/>
      <c r="HS2380" s="223"/>
      <c r="HT2380" s="223"/>
      <c r="HU2380" s="223"/>
      <c r="HV2380" s="223"/>
      <c r="HW2380" s="223"/>
      <c r="HX2380" s="223"/>
      <c r="HY2380" s="223"/>
      <c r="HZ2380" s="223"/>
      <c r="IA2380" s="223"/>
      <c r="IB2380" s="223"/>
      <c r="IC2380" s="223"/>
      <c r="ID2380" s="223"/>
      <c r="IE2380" s="223"/>
      <c r="IF2380" s="223"/>
      <c r="IG2380" s="223"/>
      <c r="IH2380" s="223"/>
      <c r="II2380" s="223"/>
      <c r="IJ2380" s="223"/>
      <c r="IK2380" s="223"/>
      <c r="IL2380" s="223"/>
      <c r="IM2380" s="223"/>
      <c r="IN2380" s="223"/>
      <c r="IO2380" s="223"/>
      <c r="IP2380" s="223"/>
      <c r="IQ2380" s="223"/>
      <c r="IR2380" s="223"/>
      <c r="IS2380" s="223"/>
      <c r="IT2380" s="223"/>
      <c r="IU2380" s="223"/>
      <c r="IV2380" s="223"/>
    </row>
    <row r="2381" spans="46:256" s="221" customFormat="1" x14ac:dyDescent="0.2">
      <c r="AT2381" s="222"/>
      <c r="AU2381" s="222"/>
      <c r="BD2381" s="223"/>
      <c r="BE2381" s="223"/>
      <c r="BF2381" s="223"/>
      <c r="BG2381" s="223"/>
      <c r="BH2381" s="223"/>
      <c r="BI2381" s="223"/>
      <c r="BJ2381" s="223"/>
      <c r="BK2381" s="223"/>
      <c r="BL2381" s="223"/>
      <c r="BM2381" s="223"/>
      <c r="BN2381" s="223"/>
      <c r="BO2381" s="223"/>
      <c r="BP2381" s="223"/>
      <c r="BQ2381" s="223"/>
      <c r="BR2381" s="223"/>
      <c r="BS2381" s="223"/>
      <c r="BT2381" s="223"/>
      <c r="BU2381" s="223"/>
      <c r="BV2381" s="223"/>
      <c r="BW2381" s="223"/>
      <c r="BX2381" s="223"/>
      <c r="BY2381" s="223"/>
      <c r="BZ2381" s="223"/>
      <c r="CA2381" s="223"/>
      <c r="CB2381" s="223"/>
      <c r="CC2381" s="223"/>
      <c r="CD2381" s="223"/>
      <c r="CE2381" s="223"/>
      <c r="CF2381" s="223"/>
      <c r="CG2381" s="223"/>
      <c r="CH2381" s="223"/>
      <c r="CI2381" s="223"/>
      <c r="CJ2381" s="223"/>
      <c r="CK2381" s="223"/>
      <c r="CL2381" s="223"/>
      <c r="CM2381" s="223"/>
      <c r="CN2381" s="223"/>
      <c r="CO2381" s="223"/>
      <c r="CP2381" s="223"/>
      <c r="CQ2381" s="223"/>
      <c r="CR2381" s="223"/>
      <c r="CS2381" s="223"/>
      <c r="CT2381" s="223"/>
      <c r="CU2381" s="223"/>
      <c r="CV2381" s="223"/>
      <c r="CW2381" s="223"/>
      <c r="CX2381" s="223"/>
      <c r="CY2381" s="223"/>
      <c r="CZ2381" s="223"/>
      <c r="DA2381" s="223"/>
      <c r="DB2381" s="223"/>
      <c r="DC2381" s="223"/>
      <c r="DD2381" s="223"/>
      <c r="DE2381" s="223"/>
      <c r="DF2381" s="223"/>
      <c r="DG2381" s="223"/>
      <c r="DH2381" s="223"/>
      <c r="DI2381" s="223"/>
      <c r="DJ2381" s="223"/>
      <c r="DK2381" s="223"/>
      <c r="DL2381" s="223"/>
      <c r="DM2381" s="223"/>
      <c r="DN2381" s="223"/>
      <c r="DO2381" s="223"/>
      <c r="DP2381" s="223"/>
      <c r="DQ2381" s="223"/>
      <c r="DR2381" s="223"/>
      <c r="DS2381" s="223"/>
      <c r="DT2381" s="223"/>
      <c r="DU2381" s="223"/>
      <c r="DV2381" s="223"/>
      <c r="DW2381" s="223"/>
      <c r="DX2381" s="223"/>
      <c r="DY2381" s="223"/>
      <c r="DZ2381" s="223"/>
      <c r="EA2381" s="223"/>
      <c r="EB2381" s="223"/>
      <c r="EC2381" s="223"/>
      <c r="ED2381" s="223"/>
      <c r="EE2381" s="223"/>
      <c r="EF2381" s="223"/>
      <c r="EG2381" s="223"/>
      <c r="EH2381" s="223"/>
      <c r="EI2381" s="223"/>
      <c r="EJ2381" s="223"/>
      <c r="EK2381" s="223"/>
      <c r="EL2381" s="223"/>
      <c r="EM2381" s="223"/>
      <c r="EN2381" s="223"/>
      <c r="EO2381" s="223"/>
      <c r="EP2381" s="223"/>
      <c r="EQ2381" s="223"/>
      <c r="ER2381" s="223"/>
      <c r="ES2381" s="223"/>
      <c r="ET2381" s="223"/>
      <c r="EU2381" s="223"/>
      <c r="EV2381" s="223"/>
      <c r="EW2381" s="223"/>
      <c r="EX2381" s="223"/>
      <c r="EY2381" s="223"/>
      <c r="EZ2381" s="223"/>
      <c r="FA2381" s="223"/>
      <c r="FB2381" s="223"/>
      <c r="FC2381" s="223"/>
      <c r="FD2381" s="223"/>
      <c r="FE2381" s="223"/>
      <c r="FF2381" s="223"/>
      <c r="FG2381" s="223"/>
      <c r="FH2381" s="223"/>
      <c r="FI2381" s="223"/>
      <c r="FJ2381" s="223"/>
      <c r="FK2381" s="223"/>
      <c r="FL2381" s="223"/>
      <c r="FM2381" s="223"/>
      <c r="FN2381" s="223"/>
      <c r="FO2381" s="223"/>
      <c r="FP2381" s="223"/>
      <c r="FQ2381" s="223"/>
      <c r="FR2381" s="223"/>
      <c r="FS2381" s="223"/>
      <c r="FT2381" s="223"/>
      <c r="FU2381" s="223"/>
      <c r="FV2381" s="223"/>
      <c r="FW2381" s="223"/>
      <c r="FX2381" s="223"/>
      <c r="FY2381" s="223"/>
      <c r="FZ2381" s="223"/>
      <c r="GA2381" s="223"/>
      <c r="GB2381" s="223"/>
      <c r="GC2381" s="223"/>
      <c r="GD2381" s="223"/>
      <c r="GE2381" s="223"/>
      <c r="GF2381" s="223"/>
      <c r="GG2381" s="223"/>
      <c r="GH2381" s="223"/>
      <c r="GI2381" s="223"/>
      <c r="GJ2381" s="223"/>
      <c r="GK2381" s="223"/>
      <c r="GL2381" s="223"/>
      <c r="GM2381" s="223"/>
      <c r="GN2381" s="223"/>
      <c r="GO2381" s="223"/>
      <c r="GP2381" s="223"/>
      <c r="GQ2381" s="223"/>
      <c r="GR2381" s="223"/>
      <c r="GS2381" s="223"/>
      <c r="GT2381" s="223"/>
      <c r="GU2381" s="223"/>
      <c r="GV2381" s="223"/>
      <c r="GW2381" s="223"/>
      <c r="GX2381" s="223"/>
      <c r="GY2381" s="223"/>
      <c r="GZ2381" s="223"/>
      <c r="HA2381" s="223"/>
      <c r="HB2381" s="223"/>
      <c r="HC2381" s="223"/>
      <c r="HD2381" s="223"/>
      <c r="HE2381" s="223"/>
      <c r="HF2381" s="223"/>
      <c r="HG2381" s="223"/>
      <c r="HH2381" s="223"/>
      <c r="HI2381" s="223"/>
      <c r="HJ2381" s="223"/>
      <c r="HK2381" s="223"/>
      <c r="HL2381" s="223"/>
      <c r="HM2381" s="223"/>
      <c r="HN2381" s="223"/>
      <c r="HO2381" s="223"/>
      <c r="HP2381" s="223"/>
      <c r="HQ2381" s="223"/>
      <c r="HR2381" s="223"/>
      <c r="HS2381" s="223"/>
      <c r="HT2381" s="223"/>
      <c r="HU2381" s="223"/>
      <c r="HV2381" s="223"/>
      <c r="HW2381" s="223"/>
      <c r="HX2381" s="223"/>
      <c r="HY2381" s="223"/>
      <c r="HZ2381" s="223"/>
      <c r="IA2381" s="223"/>
      <c r="IB2381" s="223"/>
      <c r="IC2381" s="223"/>
      <c r="ID2381" s="223"/>
      <c r="IE2381" s="223"/>
      <c r="IF2381" s="223"/>
      <c r="IG2381" s="223"/>
      <c r="IH2381" s="223"/>
      <c r="II2381" s="223"/>
      <c r="IJ2381" s="223"/>
      <c r="IK2381" s="223"/>
      <c r="IL2381" s="223"/>
      <c r="IM2381" s="223"/>
      <c r="IN2381" s="223"/>
      <c r="IO2381" s="223"/>
      <c r="IP2381" s="223"/>
      <c r="IQ2381" s="223"/>
      <c r="IR2381" s="223"/>
      <c r="IS2381" s="223"/>
      <c r="IT2381" s="223"/>
      <c r="IU2381" s="223"/>
      <c r="IV2381" s="223"/>
    </row>
    <row r="2382" spans="46:256" s="221" customFormat="1" x14ac:dyDescent="0.2">
      <c r="AT2382" s="222"/>
      <c r="AU2382" s="222"/>
      <c r="BD2382" s="223"/>
      <c r="BE2382" s="223"/>
      <c r="BF2382" s="223"/>
      <c r="BG2382" s="223"/>
      <c r="BH2382" s="223"/>
      <c r="BI2382" s="223"/>
      <c r="BJ2382" s="223"/>
      <c r="BK2382" s="223"/>
      <c r="BL2382" s="223"/>
      <c r="BM2382" s="223"/>
      <c r="BN2382" s="223"/>
      <c r="BO2382" s="223"/>
      <c r="BP2382" s="223"/>
      <c r="BQ2382" s="223"/>
      <c r="BR2382" s="223"/>
      <c r="BS2382" s="223"/>
      <c r="BT2382" s="223"/>
      <c r="BU2382" s="223"/>
      <c r="BV2382" s="223"/>
      <c r="BW2382" s="223"/>
      <c r="BX2382" s="223"/>
      <c r="BY2382" s="223"/>
      <c r="BZ2382" s="223"/>
      <c r="CA2382" s="223"/>
      <c r="CB2382" s="223"/>
      <c r="CC2382" s="223"/>
      <c r="CD2382" s="223"/>
      <c r="CE2382" s="223"/>
      <c r="CF2382" s="223"/>
      <c r="CG2382" s="223"/>
      <c r="CH2382" s="223"/>
      <c r="CI2382" s="223"/>
      <c r="CJ2382" s="223"/>
      <c r="CK2382" s="223"/>
      <c r="CL2382" s="223"/>
      <c r="CM2382" s="223"/>
      <c r="CN2382" s="223"/>
      <c r="CO2382" s="223"/>
      <c r="CP2382" s="223"/>
      <c r="CQ2382" s="223"/>
      <c r="CR2382" s="223"/>
      <c r="CS2382" s="223"/>
      <c r="CT2382" s="223"/>
      <c r="CU2382" s="223"/>
      <c r="CV2382" s="223"/>
      <c r="CW2382" s="223"/>
      <c r="CX2382" s="223"/>
      <c r="CY2382" s="223"/>
      <c r="CZ2382" s="223"/>
      <c r="DA2382" s="223"/>
      <c r="DB2382" s="223"/>
      <c r="DC2382" s="223"/>
      <c r="DD2382" s="223"/>
      <c r="DE2382" s="223"/>
      <c r="DF2382" s="223"/>
      <c r="DG2382" s="223"/>
      <c r="DH2382" s="223"/>
      <c r="DI2382" s="223"/>
      <c r="DJ2382" s="223"/>
      <c r="DK2382" s="223"/>
      <c r="DL2382" s="223"/>
      <c r="DM2382" s="223"/>
      <c r="DN2382" s="223"/>
      <c r="DO2382" s="223"/>
      <c r="DP2382" s="223"/>
      <c r="DQ2382" s="223"/>
      <c r="DR2382" s="223"/>
      <c r="DS2382" s="223"/>
      <c r="DT2382" s="223"/>
      <c r="DU2382" s="223"/>
      <c r="DV2382" s="223"/>
      <c r="DW2382" s="223"/>
      <c r="DX2382" s="223"/>
      <c r="DY2382" s="223"/>
      <c r="DZ2382" s="223"/>
      <c r="EA2382" s="223"/>
      <c r="EB2382" s="223"/>
      <c r="EC2382" s="223"/>
      <c r="ED2382" s="223"/>
      <c r="EE2382" s="223"/>
      <c r="EF2382" s="223"/>
      <c r="EG2382" s="223"/>
      <c r="EH2382" s="223"/>
      <c r="EI2382" s="223"/>
      <c r="EJ2382" s="223"/>
      <c r="EK2382" s="223"/>
      <c r="EL2382" s="223"/>
      <c r="EM2382" s="223"/>
      <c r="EN2382" s="223"/>
      <c r="EO2382" s="223"/>
      <c r="EP2382" s="223"/>
      <c r="EQ2382" s="223"/>
      <c r="ER2382" s="223"/>
      <c r="ES2382" s="223"/>
      <c r="ET2382" s="223"/>
      <c r="EU2382" s="223"/>
      <c r="EV2382" s="223"/>
      <c r="EW2382" s="223"/>
      <c r="EX2382" s="223"/>
      <c r="EY2382" s="223"/>
      <c r="EZ2382" s="223"/>
      <c r="FA2382" s="223"/>
      <c r="FB2382" s="223"/>
      <c r="FC2382" s="223"/>
      <c r="FD2382" s="223"/>
      <c r="FE2382" s="223"/>
      <c r="FF2382" s="223"/>
      <c r="FG2382" s="223"/>
      <c r="FH2382" s="223"/>
      <c r="FI2382" s="223"/>
      <c r="FJ2382" s="223"/>
      <c r="FK2382" s="223"/>
      <c r="FL2382" s="223"/>
      <c r="FM2382" s="223"/>
      <c r="FN2382" s="223"/>
      <c r="FO2382" s="223"/>
      <c r="FP2382" s="223"/>
      <c r="FQ2382" s="223"/>
      <c r="FR2382" s="223"/>
      <c r="FS2382" s="223"/>
      <c r="FT2382" s="223"/>
      <c r="FU2382" s="223"/>
      <c r="FV2382" s="223"/>
      <c r="FW2382" s="223"/>
      <c r="FX2382" s="223"/>
      <c r="FY2382" s="223"/>
      <c r="FZ2382" s="223"/>
      <c r="GA2382" s="223"/>
      <c r="GB2382" s="223"/>
      <c r="GC2382" s="223"/>
      <c r="GD2382" s="223"/>
      <c r="GE2382" s="223"/>
      <c r="GF2382" s="223"/>
      <c r="GG2382" s="223"/>
      <c r="GH2382" s="223"/>
      <c r="GI2382" s="223"/>
      <c r="GJ2382" s="223"/>
      <c r="GK2382" s="223"/>
      <c r="GL2382" s="223"/>
      <c r="GM2382" s="223"/>
      <c r="GN2382" s="223"/>
      <c r="GO2382" s="223"/>
      <c r="GP2382" s="223"/>
      <c r="GQ2382" s="223"/>
      <c r="GR2382" s="223"/>
      <c r="GS2382" s="223"/>
      <c r="GT2382" s="223"/>
      <c r="GU2382" s="223"/>
      <c r="GV2382" s="223"/>
      <c r="GW2382" s="223"/>
      <c r="GX2382" s="223"/>
      <c r="GY2382" s="223"/>
      <c r="GZ2382" s="223"/>
      <c r="HA2382" s="223"/>
      <c r="HB2382" s="223"/>
      <c r="HC2382" s="223"/>
      <c r="HD2382" s="223"/>
      <c r="HE2382" s="223"/>
      <c r="HF2382" s="223"/>
      <c r="HG2382" s="223"/>
      <c r="HH2382" s="223"/>
      <c r="HI2382" s="223"/>
      <c r="HJ2382" s="223"/>
      <c r="HK2382" s="223"/>
      <c r="HL2382" s="223"/>
      <c r="HM2382" s="223"/>
      <c r="HN2382" s="223"/>
      <c r="HO2382" s="223"/>
      <c r="HP2382" s="223"/>
      <c r="HQ2382" s="223"/>
      <c r="HR2382" s="223"/>
      <c r="HS2382" s="223"/>
      <c r="HT2382" s="223"/>
      <c r="HU2382" s="223"/>
      <c r="HV2382" s="223"/>
      <c r="HW2382" s="223"/>
      <c r="HX2382" s="223"/>
      <c r="HY2382" s="223"/>
      <c r="HZ2382" s="223"/>
      <c r="IA2382" s="223"/>
      <c r="IB2382" s="223"/>
      <c r="IC2382" s="223"/>
      <c r="ID2382" s="223"/>
      <c r="IE2382" s="223"/>
      <c r="IF2382" s="223"/>
      <c r="IG2382" s="223"/>
      <c r="IH2382" s="223"/>
      <c r="II2382" s="223"/>
      <c r="IJ2382" s="223"/>
      <c r="IK2382" s="223"/>
      <c r="IL2382" s="223"/>
      <c r="IM2382" s="223"/>
      <c r="IN2382" s="223"/>
      <c r="IO2382" s="223"/>
      <c r="IP2382" s="223"/>
      <c r="IQ2382" s="223"/>
      <c r="IR2382" s="223"/>
      <c r="IS2382" s="223"/>
      <c r="IT2382" s="223"/>
      <c r="IU2382" s="223"/>
      <c r="IV2382" s="223"/>
    </row>
    <row r="2383" spans="46:256" s="221" customFormat="1" x14ac:dyDescent="0.2">
      <c r="AT2383" s="222"/>
      <c r="AU2383" s="222"/>
      <c r="BD2383" s="223"/>
      <c r="BE2383" s="223"/>
      <c r="BF2383" s="223"/>
      <c r="BG2383" s="223"/>
      <c r="BH2383" s="223"/>
      <c r="BI2383" s="223"/>
      <c r="BJ2383" s="223"/>
      <c r="BK2383" s="223"/>
      <c r="BL2383" s="223"/>
      <c r="BM2383" s="223"/>
      <c r="BN2383" s="223"/>
      <c r="BO2383" s="223"/>
      <c r="BP2383" s="223"/>
      <c r="BQ2383" s="223"/>
      <c r="BR2383" s="223"/>
      <c r="BS2383" s="223"/>
      <c r="BT2383" s="223"/>
      <c r="BU2383" s="223"/>
      <c r="BV2383" s="223"/>
      <c r="BW2383" s="223"/>
      <c r="BX2383" s="223"/>
      <c r="BY2383" s="223"/>
      <c r="BZ2383" s="223"/>
      <c r="CA2383" s="223"/>
      <c r="CB2383" s="223"/>
      <c r="CC2383" s="223"/>
      <c r="CD2383" s="223"/>
      <c r="CE2383" s="223"/>
      <c r="CF2383" s="223"/>
      <c r="CG2383" s="223"/>
      <c r="CH2383" s="223"/>
      <c r="CI2383" s="223"/>
      <c r="CJ2383" s="223"/>
      <c r="CK2383" s="223"/>
      <c r="CL2383" s="223"/>
      <c r="CM2383" s="223"/>
      <c r="CN2383" s="223"/>
      <c r="CO2383" s="223"/>
      <c r="CP2383" s="223"/>
      <c r="CQ2383" s="223"/>
      <c r="CR2383" s="223"/>
      <c r="CS2383" s="223"/>
      <c r="CT2383" s="223"/>
      <c r="CU2383" s="223"/>
      <c r="CV2383" s="223"/>
      <c r="CW2383" s="223"/>
      <c r="CX2383" s="223"/>
      <c r="CY2383" s="223"/>
      <c r="CZ2383" s="223"/>
      <c r="DA2383" s="223"/>
      <c r="DB2383" s="223"/>
      <c r="DC2383" s="223"/>
      <c r="DD2383" s="223"/>
      <c r="DE2383" s="223"/>
      <c r="DF2383" s="223"/>
      <c r="DG2383" s="223"/>
      <c r="DH2383" s="223"/>
      <c r="DI2383" s="223"/>
      <c r="DJ2383" s="223"/>
      <c r="DK2383" s="223"/>
      <c r="DL2383" s="223"/>
      <c r="DM2383" s="223"/>
      <c r="DN2383" s="223"/>
      <c r="DO2383" s="223"/>
      <c r="DP2383" s="223"/>
      <c r="DQ2383" s="223"/>
      <c r="DR2383" s="223"/>
      <c r="DS2383" s="223"/>
      <c r="DT2383" s="223"/>
      <c r="DU2383" s="223"/>
      <c r="DV2383" s="223"/>
      <c r="DW2383" s="223"/>
      <c r="DX2383" s="223"/>
      <c r="DY2383" s="223"/>
      <c r="DZ2383" s="223"/>
      <c r="EA2383" s="223"/>
      <c r="EB2383" s="223"/>
      <c r="EC2383" s="223"/>
      <c r="ED2383" s="223"/>
      <c r="EE2383" s="223"/>
      <c r="EF2383" s="223"/>
      <c r="EG2383" s="223"/>
      <c r="EH2383" s="223"/>
      <c r="EI2383" s="223"/>
      <c r="EJ2383" s="223"/>
      <c r="EK2383" s="223"/>
      <c r="EL2383" s="223"/>
      <c r="EM2383" s="223"/>
      <c r="EN2383" s="223"/>
      <c r="EO2383" s="223"/>
      <c r="EP2383" s="223"/>
      <c r="EQ2383" s="223"/>
      <c r="ER2383" s="223"/>
      <c r="ES2383" s="223"/>
      <c r="ET2383" s="223"/>
      <c r="EU2383" s="223"/>
      <c r="EV2383" s="223"/>
      <c r="EW2383" s="223"/>
      <c r="EX2383" s="223"/>
      <c r="EY2383" s="223"/>
      <c r="EZ2383" s="223"/>
      <c r="FA2383" s="223"/>
      <c r="FB2383" s="223"/>
      <c r="FC2383" s="223"/>
      <c r="FD2383" s="223"/>
      <c r="FE2383" s="223"/>
      <c r="FF2383" s="223"/>
      <c r="FG2383" s="223"/>
      <c r="FH2383" s="223"/>
      <c r="FI2383" s="223"/>
      <c r="FJ2383" s="223"/>
      <c r="FK2383" s="223"/>
      <c r="FL2383" s="223"/>
      <c r="FM2383" s="223"/>
      <c r="FN2383" s="223"/>
      <c r="FO2383" s="223"/>
      <c r="FP2383" s="223"/>
      <c r="FQ2383" s="223"/>
      <c r="FR2383" s="223"/>
      <c r="FS2383" s="223"/>
      <c r="FT2383" s="223"/>
      <c r="FU2383" s="223"/>
      <c r="FV2383" s="223"/>
      <c r="FW2383" s="223"/>
      <c r="FX2383" s="223"/>
      <c r="FY2383" s="223"/>
      <c r="FZ2383" s="223"/>
      <c r="GA2383" s="223"/>
      <c r="GB2383" s="223"/>
      <c r="GC2383" s="223"/>
      <c r="GD2383" s="223"/>
      <c r="GE2383" s="223"/>
      <c r="GF2383" s="223"/>
      <c r="GG2383" s="223"/>
      <c r="GH2383" s="223"/>
      <c r="GI2383" s="223"/>
      <c r="GJ2383" s="223"/>
      <c r="GK2383" s="223"/>
      <c r="GL2383" s="223"/>
      <c r="GM2383" s="223"/>
      <c r="GN2383" s="223"/>
      <c r="GO2383" s="223"/>
      <c r="GP2383" s="223"/>
      <c r="GQ2383" s="223"/>
      <c r="GR2383" s="223"/>
      <c r="GS2383" s="223"/>
      <c r="GT2383" s="223"/>
      <c r="GU2383" s="223"/>
      <c r="GV2383" s="223"/>
      <c r="GW2383" s="223"/>
      <c r="GX2383" s="223"/>
      <c r="GY2383" s="223"/>
      <c r="GZ2383" s="223"/>
      <c r="HA2383" s="223"/>
      <c r="HB2383" s="223"/>
      <c r="HC2383" s="223"/>
      <c r="HD2383" s="223"/>
      <c r="HE2383" s="223"/>
      <c r="HF2383" s="223"/>
      <c r="HG2383" s="223"/>
      <c r="HH2383" s="223"/>
      <c r="HI2383" s="223"/>
      <c r="HJ2383" s="223"/>
      <c r="HK2383" s="223"/>
      <c r="HL2383" s="223"/>
      <c r="HM2383" s="223"/>
      <c r="HN2383" s="223"/>
      <c r="HO2383" s="223"/>
      <c r="HP2383" s="223"/>
      <c r="HQ2383" s="223"/>
      <c r="HR2383" s="223"/>
      <c r="HS2383" s="223"/>
      <c r="HT2383" s="223"/>
      <c r="HU2383" s="223"/>
      <c r="HV2383" s="223"/>
      <c r="HW2383" s="223"/>
      <c r="HX2383" s="223"/>
      <c r="HY2383" s="223"/>
      <c r="HZ2383" s="223"/>
      <c r="IA2383" s="223"/>
      <c r="IB2383" s="223"/>
      <c r="IC2383" s="223"/>
      <c r="ID2383" s="223"/>
      <c r="IE2383" s="223"/>
      <c r="IF2383" s="223"/>
      <c r="IG2383" s="223"/>
      <c r="IH2383" s="223"/>
      <c r="II2383" s="223"/>
      <c r="IJ2383" s="223"/>
      <c r="IK2383" s="223"/>
      <c r="IL2383" s="223"/>
      <c r="IM2383" s="223"/>
      <c r="IN2383" s="223"/>
      <c r="IO2383" s="223"/>
      <c r="IP2383" s="223"/>
      <c r="IQ2383" s="223"/>
      <c r="IR2383" s="223"/>
      <c r="IS2383" s="223"/>
      <c r="IT2383" s="223"/>
      <c r="IU2383" s="223"/>
      <c r="IV2383" s="223"/>
    </row>
    <row r="2384" spans="46:256" s="221" customFormat="1" x14ac:dyDescent="0.2">
      <c r="AT2384" s="222"/>
      <c r="AU2384" s="222"/>
      <c r="BD2384" s="223"/>
      <c r="BE2384" s="223"/>
      <c r="BF2384" s="223"/>
      <c r="BG2384" s="223"/>
      <c r="BH2384" s="223"/>
      <c r="BI2384" s="223"/>
      <c r="BJ2384" s="223"/>
      <c r="BK2384" s="223"/>
      <c r="BL2384" s="223"/>
      <c r="BM2384" s="223"/>
      <c r="BN2384" s="223"/>
      <c r="BO2384" s="223"/>
      <c r="BP2384" s="223"/>
      <c r="BQ2384" s="223"/>
      <c r="BR2384" s="223"/>
      <c r="BS2384" s="223"/>
      <c r="BT2384" s="223"/>
      <c r="BU2384" s="223"/>
      <c r="BV2384" s="223"/>
      <c r="BW2384" s="223"/>
      <c r="BX2384" s="223"/>
      <c r="BY2384" s="223"/>
      <c r="BZ2384" s="223"/>
      <c r="CA2384" s="223"/>
      <c r="CB2384" s="223"/>
      <c r="CC2384" s="223"/>
      <c r="CD2384" s="223"/>
      <c r="CE2384" s="223"/>
      <c r="CF2384" s="223"/>
      <c r="CG2384" s="223"/>
      <c r="CH2384" s="223"/>
      <c r="CI2384" s="223"/>
      <c r="CJ2384" s="223"/>
      <c r="CK2384" s="223"/>
      <c r="CL2384" s="223"/>
      <c r="CM2384" s="223"/>
      <c r="CN2384" s="223"/>
      <c r="CO2384" s="223"/>
      <c r="CP2384" s="223"/>
      <c r="CQ2384" s="223"/>
      <c r="CR2384" s="223"/>
      <c r="CS2384" s="223"/>
      <c r="CT2384" s="223"/>
      <c r="CU2384" s="223"/>
      <c r="CV2384" s="223"/>
      <c r="CW2384" s="223"/>
      <c r="CX2384" s="223"/>
      <c r="CY2384" s="223"/>
      <c r="CZ2384" s="223"/>
      <c r="DA2384" s="223"/>
      <c r="DB2384" s="223"/>
      <c r="DC2384" s="223"/>
      <c r="DD2384" s="223"/>
      <c r="DE2384" s="223"/>
      <c r="DF2384" s="223"/>
      <c r="DG2384" s="223"/>
      <c r="DH2384" s="223"/>
      <c r="DI2384" s="223"/>
      <c r="DJ2384" s="223"/>
      <c r="DK2384" s="223"/>
      <c r="DL2384" s="223"/>
      <c r="DM2384" s="223"/>
      <c r="DN2384" s="223"/>
      <c r="DO2384" s="223"/>
      <c r="DP2384" s="223"/>
      <c r="DQ2384" s="223"/>
      <c r="DR2384" s="223"/>
      <c r="DS2384" s="223"/>
      <c r="DT2384" s="223"/>
      <c r="DU2384" s="223"/>
      <c r="DV2384" s="223"/>
      <c r="DW2384" s="223"/>
      <c r="DX2384" s="223"/>
      <c r="DY2384" s="223"/>
      <c r="DZ2384" s="223"/>
      <c r="EA2384" s="223"/>
      <c r="EB2384" s="223"/>
      <c r="EC2384" s="223"/>
      <c r="ED2384" s="223"/>
      <c r="EE2384" s="223"/>
      <c r="EF2384" s="223"/>
      <c r="EG2384" s="223"/>
      <c r="EH2384" s="223"/>
      <c r="EI2384" s="223"/>
      <c r="EJ2384" s="223"/>
      <c r="EK2384" s="223"/>
      <c r="EL2384" s="223"/>
      <c r="EM2384" s="223"/>
      <c r="EN2384" s="223"/>
      <c r="EO2384" s="223"/>
      <c r="EP2384" s="223"/>
      <c r="EQ2384" s="223"/>
      <c r="ER2384" s="223"/>
      <c r="ES2384" s="223"/>
      <c r="ET2384" s="223"/>
      <c r="EU2384" s="223"/>
      <c r="EV2384" s="223"/>
      <c r="EW2384" s="223"/>
      <c r="EX2384" s="223"/>
      <c r="EY2384" s="223"/>
      <c r="EZ2384" s="223"/>
      <c r="FA2384" s="223"/>
      <c r="FB2384" s="223"/>
      <c r="FC2384" s="223"/>
      <c r="FD2384" s="223"/>
      <c r="FE2384" s="223"/>
      <c r="FF2384" s="223"/>
      <c r="FG2384" s="223"/>
      <c r="FH2384" s="223"/>
      <c r="FI2384" s="223"/>
      <c r="FJ2384" s="223"/>
      <c r="FK2384" s="223"/>
      <c r="FL2384" s="223"/>
      <c r="FM2384" s="223"/>
      <c r="FN2384" s="223"/>
      <c r="FO2384" s="223"/>
      <c r="FP2384" s="223"/>
      <c r="FQ2384" s="223"/>
      <c r="FR2384" s="223"/>
      <c r="FS2384" s="223"/>
      <c r="FT2384" s="223"/>
      <c r="FU2384" s="223"/>
      <c r="FV2384" s="223"/>
      <c r="FW2384" s="223"/>
      <c r="FX2384" s="223"/>
      <c r="FY2384" s="223"/>
      <c r="FZ2384" s="223"/>
      <c r="GA2384" s="223"/>
      <c r="GB2384" s="223"/>
      <c r="GC2384" s="223"/>
      <c r="GD2384" s="223"/>
      <c r="GE2384" s="223"/>
      <c r="GF2384" s="223"/>
      <c r="GG2384" s="223"/>
      <c r="GH2384" s="223"/>
      <c r="GI2384" s="223"/>
      <c r="GJ2384" s="223"/>
      <c r="GK2384" s="223"/>
      <c r="GL2384" s="223"/>
      <c r="GM2384" s="223"/>
      <c r="GN2384" s="223"/>
      <c r="GO2384" s="223"/>
      <c r="GP2384" s="223"/>
      <c r="GQ2384" s="223"/>
      <c r="GR2384" s="223"/>
      <c r="GS2384" s="223"/>
      <c r="GT2384" s="223"/>
      <c r="GU2384" s="223"/>
      <c r="GV2384" s="223"/>
      <c r="GW2384" s="223"/>
      <c r="GX2384" s="223"/>
      <c r="GY2384" s="223"/>
      <c r="GZ2384" s="223"/>
      <c r="HA2384" s="223"/>
      <c r="HB2384" s="223"/>
      <c r="HC2384" s="223"/>
      <c r="HD2384" s="223"/>
      <c r="HE2384" s="223"/>
      <c r="HF2384" s="223"/>
      <c r="HG2384" s="223"/>
      <c r="HH2384" s="223"/>
      <c r="HI2384" s="223"/>
      <c r="HJ2384" s="223"/>
      <c r="HK2384" s="223"/>
      <c r="HL2384" s="223"/>
      <c r="HM2384" s="223"/>
      <c r="HN2384" s="223"/>
      <c r="HO2384" s="223"/>
      <c r="HP2384" s="223"/>
      <c r="HQ2384" s="223"/>
      <c r="HR2384" s="223"/>
      <c r="HS2384" s="223"/>
      <c r="HT2384" s="223"/>
      <c r="HU2384" s="223"/>
      <c r="HV2384" s="223"/>
      <c r="HW2384" s="223"/>
      <c r="HX2384" s="223"/>
      <c r="HY2384" s="223"/>
      <c r="HZ2384" s="223"/>
      <c r="IA2384" s="223"/>
      <c r="IB2384" s="223"/>
      <c r="IC2384" s="223"/>
      <c r="ID2384" s="223"/>
      <c r="IE2384" s="223"/>
      <c r="IF2384" s="223"/>
      <c r="IG2384" s="223"/>
      <c r="IH2384" s="223"/>
      <c r="II2384" s="223"/>
      <c r="IJ2384" s="223"/>
      <c r="IK2384" s="223"/>
      <c r="IL2384" s="223"/>
      <c r="IM2384" s="223"/>
      <c r="IN2384" s="223"/>
      <c r="IO2384" s="223"/>
      <c r="IP2384" s="223"/>
      <c r="IQ2384" s="223"/>
      <c r="IR2384" s="223"/>
      <c r="IS2384" s="223"/>
      <c r="IT2384" s="223"/>
      <c r="IU2384" s="223"/>
      <c r="IV2384" s="223"/>
    </row>
    <row r="2385" spans="46:256" s="221" customFormat="1" x14ac:dyDescent="0.2">
      <c r="AT2385" s="222"/>
      <c r="AU2385" s="222"/>
      <c r="BD2385" s="223"/>
      <c r="BE2385" s="223"/>
      <c r="BF2385" s="223"/>
      <c r="BG2385" s="223"/>
      <c r="BH2385" s="223"/>
      <c r="BI2385" s="223"/>
      <c r="BJ2385" s="223"/>
      <c r="BK2385" s="223"/>
      <c r="BL2385" s="223"/>
      <c r="BM2385" s="223"/>
      <c r="BN2385" s="223"/>
      <c r="BO2385" s="223"/>
      <c r="BP2385" s="223"/>
      <c r="BQ2385" s="223"/>
      <c r="BR2385" s="223"/>
      <c r="BS2385" s="223"/>
      <c r="BT2385" s="223"/>
      <c r="BU2385" s="223"/>
      <c r="BV2385" s="223"/>
      <c r="BW2385" s="223"/>
      <c r="BX2385" s="223"/>
      <c r="BY2385" s="223"/>
      <c r="BZ2385" s="223"/>
      <c r="CA2385" s="223"/>
      <c r="CB2385" s="223"/>
      <c r="CC2385" s="223"/>
      <c r="CD2385" s="223"/>
      <c r="CE2385" s="223"/>
      <c r="CF2385" s="223"/>
      <c r="CG2385" s="223"/>
      <c r="CH2385" s="223"/>
      <c r="CI2385" s="223"/>
      <c r="CJ2385" s="223"/>
      <c r="CK2385" s="223"/>
      <c r="CL2385" s="223"/>
      <c r="CM2385" s="223"/>
      <c r="CN2385" s="223"/>
      <c r="CO2385" s="223"/>
      <c r="CP2385" s="223"/>
      <c r="CQ2385" s="223"/>
      <c r="CR2385" s="223"/>
      <c r="CS2385" s="223"/>
      <c r="CT2385" s="223"/>
      <c r="CU2385" s="223"/>
      <c r="CV2385" s="223"/>
      <c r="CW2385" s="223"/>
      <c r="CX2385" s="223"/>
      <c r="CY2385" s="223"/>
      <c r="CZ2385" s="223"/>
      <c r="DA2385" s="223"/>
      <c r="DB2385" s="223"/>
      <c r="DC2385" s="223"/>
      <c r="DD2385" s="223"/>
      <c r="DE2385" s="223"/>
      <c r="DF2385" s="223"/>
      <c r="DG2385" s="223"/>
      <c r="DH2385" s="223"/>
      <c r="DI2385" s="223"/>
      <c r="DJ2385" s="223"/>
      <c r="DK2385" s="223"/>
      <c r="DL2385" s="223"/>
      <c r="DM2385" s="223"/>
      <c r="DN2385" s="223"/>
      <c r="DO2385" s="223"/>
      <c r="DP2385" s="223"/>
      <c r="DQ2385" s="223"/>
      <c r="DR2385" s="223"/>
      <c r="DS2385" s="223"/>
      <c r="DT2385" s="223"/>
      <c r="DU2385" s="223"/>
      <c r="DV2385" s="223"/>
      <c r="DW2385" s="223"/>
      <c r="DX2385" s="223"/>
      <c r="DY2385" s="223"/>
      <c r="DZ2385" s="223"/>
      <c r="EA2385" s="223"/>
      <c r="EB2385" s="223"/>
      <c r="EC2385" s="223"/>
      <c r="ED2385" s="223"/>
      <c r="EE2385" s="223"/>
      <c r="EF2385" s="223"/>
      <c r="EG2385" s="223"/>
      <c r="EH2385" s="223"/>
      <c r="EI2385" s="223"/>
      <c r="EJ2385" s="223"/>
      <c r="EK2385" s="223"/>
      <c r="EL2385" s="223"/>
      <c r="EM2385" s="223"/>
      <c r="EN2385" s="223"/>
      <c r="EO2385" s="223"/>
      <c r="EP2385" s="223"/>
      <c r="EQ2385" s="223"/>
      <c r="ER2385" s="223"/>
      <c r="ES2385" s="223"/>
      <c r="ET2385" s="223"/>
      <c r="EU2385" s="223"/>
      <c r="EV2385" s="223"/>
      <c r="EW2385" s="223"/>
      <c r="EX2385" s="223"/>
      <c r="EY2385" s="223"/>
      <c r="EZ2385" s="223"/>
      <c r="FA2385" s="223"/>
      <c r="FB2385" s="223"/>
      <c r="FC2385" s="223"/>
      <c r="FD2385" s="223"/>
      <c r="FE2385" s="223"/>
      <c r="FF2385" s="223"/>
      <c r="FG2385" s="223"/>
      <c r="FH2385" s="223"/>
      <c r="FI2385" s="223"/>
      <c r="FJ2385" s="223"/>
      <c r="FK2385" s="223"/>
      <c r="FL2385" s="223"/>
      <c r="FM2385" s="223"/>
      <c r="FN2385" s="223"/>
      <c r="FO2385" s="223"/>
      <c r="FP2385" s="223"/>
      <c r="FQ2385" s="223"/>
      <c r="FR2385" s="223"/>
      <c r="FS2385" s="223"/>
      <c r="FT2385" s="223"/>
      <c r="FU2385" s="223"/>
      <c r="FV2385" s="223"/>
      <c r="FW2385" s="223"/>
      <c r="FX2385" s="223"/>
      <c r="FY2385" s="223"/>
      <c r="FZ2385" s="223"/>
      <c r="GA2385" s="223"/>
      <c r="GB2385" s="223"/>
      <c r="GC2385" s="223"/>
      <c r="GD2385" s="223"/>
      <c r="GE2385" s="223"/>
      <c r="GF2385" s="223"/>
      <c r="GG2385" s="223"/>
      <c r="GH2385" s="223"/>
      <c r="GI2385" s="223"/>
      <c r="GJ2385" s="223"/>
      <c r="GK2385" s="223"/>
      <c r="GL2385" s="223"/>
      <c r="GM2385" s="223"/>
      <c r="GN2385" s="223"/>
      <c r="GO2385" s="223"/>
      <c r="GP2385" s="223"/>
      <c r="GQ2385" s="223"/>
      <c r="GR2385" s="223"/>
      <c r="GS2385" s="223"/>
      <c r="GT2385" s="223"/>
      <c r="GU2385" s="223"/>
      <c r="GV2385" s="223"/>
      <c r="GW2385" s="223"/>
      <c r="GX2385" s="223"/>
      <c r="GY2385" s="223"/>
      <c r="GZ2385" s="223"/>
      <c r="HA2385" s="223"/>
      <c r="HB2385" s="223"/>
      <c r="HC2385" s="223"/>
      <c r="HD2385" s="223"/>
      <c r="HE2385" s="223"/>
      <c r="HF2385" s="223"/>
      <c r="HG2385" s="223"/>
      <c r="HH2385" s="223"/>
      <c r="HI2385" s="223"/>
      <c r="HJ2385" s="223"/>
      <c r="HK2385" s="223"/>
      <c r="HL2385" s="223"/>
      <c r="HM2385" s="223"/>
      <c r="HN2385" s="223"/>
      <c r="HO2385" s="223"/>
      <c r="HP2385" s="223"/>
      <c r="HQ2385" s="223"/>
      <c r="HR2385" s="223"/>
      <c r="HS2385" s="223"/>
      <c r="HT2385" s="223"/>
      <c r="HU2385" s="223"/>
      <c r="HV2385" s="223"/>
      <c r="HW2385" s="223"/>
      <c r="HX2385" s="223"/>
      <c r="HY2385" s="223"/>
      <c r="HZ2385" s="223"/>
      <c r="IA2385" s="223"/>
      <c r="IB2385" s="223"/>
      <c r="IC2385" s="223"/>
      <c r="ID2385" s="223"/>
      <c r="IE2385" s="223"/>
      <c r="IF2385" s="223"/>
      <c r="IG2385" s="223"/>
      <c r="IH2385" s="223"/>
      <c r="II2385" s="223"/>
      <c r="IJ2385" s="223"/>
      <c r="IK2385" s="223"/>
      <c r="IL2385" s="223"/>
      <c r="IM2385" s="223"/>
      <c r="IN2385" s="223"/>
      <c r="IO2385" s="223"/>
      <c r="IP2385" s="223"/>
      <c r="IQ2385" s="223"/>
      <c r="IR2385" s="223"/>
      <c r="IS2385" s="223"/>
      <c r="IT2385" s="223"/>
      <c r="IU2385" s="223"/>
      <c r="IV2385" s="223"/>
    </row>
    <row r="2386" spans="46:256" s="221" customFormat="1" x14ac:dyDescent="0.2">
      <c r="AT2386" s="222"/>
      <c r="AU2386" s="222"/>
      <c r="BD2386" s="223"/>
      <c r="BE2386" s="223"/>
      <c r="BF2386" s="223"/>
      <c r="BG2386" s="223"/>
      <c r="BH2386" s="223"/>
      <c r="BI2386" s="223"/>
      <c r="BJ2386" s="223"/>
      <c r="BK2386" s="223"/>
      <c r="BL2386" s="223"/>
      <c r="BM2386" s="223"/>
      <c r="BN2386" s="223"/>
      <c r="BO2386" s="223"/>
      <c r="BP2386" s="223"/>
      <c r="BQ2386" s="223"/>
      <c r="BR2386" s="223"/>
      <c r="BS2386" s="223"/>
      <c r="BT2386" s="223"/>
      <c r="BU2386" s="223"/>
      <c r="BV2386" s="223"/>
      <c r="BW2386" s="223"/>
      <c r="BX2386" s="223"/>
      <c r="BY2386" s="223"/>
      <c r="BZ2386" s="223"/>
      <c r="CA2386" s="223"/>
      <c r="CB2386" s="223"/>
      <c r="CC2386" s="223"/>
      <c r="CD2386" s="223"/>
      <c r="CE2386" s="223"/>
      <c r="CF2386" s="223"/>
      <c r="CG2386" s="223"/>
      <c r="CH2386" s="223"/>
      <c r="CI2386" s="223"/>
      <c r="CJ2386" s="223"/>
      <c r="CK2386" s="223"/>
      <c r="CL2386" s="223"/>
      <c r="CM2386" s="223"/>
      <c r="CN2386" s="223"/>
      <c r="CO2386" s="223"/>
      <c r="CP2386" s="223"/>
      <c r="CQ2386" s="223"/>
      <c r="CR2386" s="223"/>
      <c r="CS2386" s="223"/>
      <c r="CT2386" s="223"/>
      <c r="CU2386" s="223"/>
      <c r="CV2386" s="223"/>
      <c r="CW2386" s="223"/>
      <c r="CX2386" s="223"/>
      <c r="CY2386" s="223"/>
      <c r="CZ2386" s="223"/>
      <c r="DA2386" s="223"/>
      <c r="DB2386" s="223"/>
      <c r="DC2386" s="223"/>
      <c r="DD2386" s="223"/>
      <c r="DE2386" s="223"/>
      <c r="DF2386" s="223"/>
      <c r="DG2386" s="223"/>
      <c r="DH2386" s="223"/>
      <c r="DI2386" s="223"/>
      <c r="DJ2386" s="223"/>
      <c r="DK2386" s="223"/>
      <c r="DL2386" s="223"/>
      <c r="DM2386" s="223"/>
      <c r="DN2386" s="223"/>
      <c r="DO2386" s="223"/>
      <c r="DP2386" s="223"/>
      <c r="DQ2386" s="223"/>
      <c r="DR2386" s="223"/>
      <c r="DS2386" s="223"/>
      <c r="DT2386" s="223"/>
      <c r="DU2386" s="223"/>
      <c r="DV2386" s="223"/>
      <c r="DW2386" s="223"/>
      <c r="DX2386" s="223"/>
      <c r="DY2386" s="223"/>
      <c r="DZ2386" s="223"/>
      <c r="EA2386" s="223"/>
      <c r="EB2386" s="223"/>
      <c r="EC2386" s="223"/>
      <c r="ED2386" s="223"/>
      <c r="EE2386" s="223"/>
      <c r="EF2386" s="223"/>
      <c r="EG2386" s="223"/>
      <c r="EH2386" s="223"/>
      <c r="EI2386" s="223"/>
      <c r="EJ2386" s="223"/>
      <c r="EK2386" s="223"/>
      <c r="EL2386" s="223"/>
      <c r="EM2386" s="223"/>
      <c r="EN2386" s="223"/>
      <c r="EO2386" s="223"/>
      <c r="EP2386" s="223"/>
      <c r="EQ2386" s="223"/>
      <c r="ER2386" s="223"/>
      <c r="ES2386" s="223"/>
      <c r="ET2386" s="223"/>
      <c r="EU2386" s="223"/>
      <c r="EV2386" s="223"/>
      <c r="EW2386" s="223"/>
      <c r="EX2386" s="223"/>
      <c r="EY2386" s="223"/>
      <c r="EZ2386" s="223"/>
      <c r="FA2386" s="223"/>
      <c r="FB2386" s="223"/>
      <c r="FC2386" s="223"/>
      <c r="FD2386" s="223"/>
      <c r="FE2386" s="223"/>
      <c r="FF2386" s="223"/>
      <c r="FG2386" s="223"/>
      <c r="FH2386" s="223"/>
      <c r="FI2386" s="223"/>
      <c r="FJ2386" s="223"/>
      <c r="FK2386" s="223"/>
      <c r="FL2386" s="223"/>
      <c r="FM2386" s="223"/>
      <c r="FN2386" s="223"/>
      <c r="FO2386" s="223"/>
      <c r="FP2386" s="223"/>
      <c r="FQ2386" s="223"/>
      <c r="FR2386" s="223"/>
      <c r="FS2386" s="223"/>
      <c r="FT2386" s="223"/>
      <c r="FU2386" s="223"/>
      <c r="FV2386" s="223"/>
      <c r="FW2386" s="223"/>
      <c r="FX2386" s="223"/>
      <c r="FY2386" s="223"/>
      <c r="FZ2386" s="223"/>
      <c r="GA2386" s="223"/>
      <c r="GB2386" s="223"/>
      <c r="GC2386" s="223"/>
      <c r="GD2386" s="223"/>
      <c r="GE2386" s="223"/>
      <c r="GF2386" s="223"/>
      <c r="GG2386" s="223"/>
      <c r="GH2386" s="223"/>
      <c r="GI2386" s="223"/>
      <c r="GJ2386" s="223"/>
      <c r="GK2386" s="223"/>
      <c r="GL2386" s="223"/>
      <c r="GM2386" s="223"/>
      <c r="GN2386" s="223"/>
      <c r="GO2386" s="223"/>
      <c r="GP2386" s="223"/>
      <c r="GQ2386" s="223"/>
      <c r="GR2386" s="223"/>
      <c r="GS2386" s="223"/>
      <c r="GT2386" s="223"/>
      <c r="GU2386" s="223"/>
      <c r="GV2386" s="223"/>
      <c r="GW2386" s="223"/>
      <c r="GX2386" s="223"/>
      <c r="GY2386" s="223"/>
      <c r="GZ2386" s="223"/>
      <c r="HA2386" s="223"/>
      <c r="HB2386" s="223"/>
      <c r="HC2386" s="223"/>
      <c r="HD2386" s="223"/>
      <c r="HE2386" s="223"/>
      <c r="HF2386" s="223"/>
      <c r="HG2386" s="223"/>
      <c r="HH2386" s="223"/>
      <c r="HI2386" s="223"/>
      <c r="HJ2386" s="223"/>
      <c r="HK2386" s="223"/>
      <c r="HL2386" s="223"/>
      <c r="HM2386" s="223"/>
      <c r="HN2386" s="223"/>
      <c r="HO2386" s="223"/>
      <c r="HP2386" s="223"/>
      <c r="HQ2386" s="223"/>
      <c r="HR2386" s="223"/>
      <c r="HS2386" s="223"/>
      <c r="HT2386" s="223"/>
      <c r="HU2386" s="223"/>
      <c r="HV2386" s="223"/>
      <c r="HW2386" s="223"/>
      <c r="HX2386" s="223"/>
      <c r="HY2386" s="223"/>
      <c r="HZ2386" s="223"/>
      <c r="IA2386" s="223"/>
      <c r="IB2386" s="223"/>
      <c r="IC2386" s="223"/>
      <c r="ID2386" s="223"/>
      <c r="IE2386" s="223"/>
      <c r="IF2386" s="223"/>
      <c r="IG2386" s="223"/>
      <c r="IH2386" s="223"/>
      <c r="II2386" s="223"/>
      <c r="IJ2386" s="223"/>
      <c r="IK2386" s="223"/>
      <c r="IL2386" s="223"/>
      <c r="IM2386" s="223"/>
      <c r="IN2386" s="223"/>
      <c r="IO2386" s="223"/>
      <c r="IP2386" s="223"/>
      <c r="IQ2386" s="223"/>
      <c r="IR2386" s="223"/>
      <c r="IS2386" s="223"/>
      <c r="IT2386" s="223"/>
      <c r="IU2386" s="223"/>
      <c r="IV2386" s="223"/>
    </row>
    <row r="2387" spans="46:256" s="221" customFormat="1" x14ac:dyDescent="0.2">
      <c r="AT2387" s="222"/>
      <c r="AU2387" s="222"/>
      <c r="BD2387" s="223"/>
      <c r="BE2387" s="223"/>
      <c r="BF2387" s="223"/>
      <c r="BG2387" s="223"/>
      <c r="BH2387" s="223"/>
      <c r="BI2387" s="223"/>
      <c r="BJ2387" s="223"/>
      <c r="BK2387" s="223"/>
      <c r="BL2387" s="223"/>
      <c r="BM2387" s="223"/>
      <c r="BN2387" s="223"/>
      <c r="BO2387" s="223"/>
      <c r="BP2387" s="223"/>
      <c r="BQ2387" s="223"/>
      <c r="BR2387" s="223"/>
      <c r="BS2387" s="223"/>
      <c r="BT2387" s="223"/>
      <c r="BU2387" s="223"/>
      <c r="BV2387" s="223"/>
      <c r="BW2387" s="223"/>
      <c r="BX2387" s="223"/>
      <c r="BY2387" s="223"/>
      <c r="BZ2387" s="223"/>
      <c r="CA2387" s="223"/>
      <c r="CB2387" s="223"/>
      <c r="CC2387" s="223"/>
      <c r="CD2387" s="223"/>
      <c r="CE2387" s="223"/>
      <c r="CF2387" s="223"/>
      <c r="CG2387" s="223"/>
      <c r="CH2387" s="223"/>
      <c r="CI2387" s="223"/>
      <c r="CJ2387" s="223"/>
      <c r="CK2387" s="223"/>
      <c r="CL2387" s="223"/>
      <c r="CM2387" s="223"/>
      <c r="CN2387" s="223"/>
      <c r="CO2387" s="223"/>
      <c r="CP2387" s="223"/>
      <c r="CQ2387" s="223"/>
      <c r="CR2387" s="223"/>
      <c r="CS2387" s="223"/>
      <c r="CT2387" s="223"/>
      <c r="CU2387" s="223"/>
      <c r="CV2387" s="223"/>
      <c r="CW2387" s="223"/>
      <c r="CX2387" s="223"/>
      <c r="CY2387" s="223"/>
      <c r="CZ2387" s="223"/>
      <c r="DA2387" s="223"/>
      <c r="DB2387" s="223"/>
      <c r="DC2387" s="223"/>
      <c r="DD2387" s="223"/>
      <c r="DE2387" s="223"/>
      <c r="DF2387" s="223"/>
      <c r="DG2387" s="223"/>
      <c r="DH2387" s="223"/>
      <c r="DI2387" s="223"/>
      <c r="DJ2387" s="223"/>
      <c r="DK2387" s="223"/>
      <c r="DL2387" s="223"/>
      <c r="DM2387" s="223"/>
      <c r="DN2387" s="223"/>
      <c r="DO2387" s="223"/>
      <c r="DP2387" s="223"/>
      <c r="DQ2387" s="223"/>
      <c r="DR2387" s="223"/>
      <c r="DS2387" s="223"/>
      <c r="DT2387" s="223"/>
      <c r="DU2387" s="223"/>
      <c r="DV2387" s="223"/>
      <c r="DW2387" s="223"/>
      <c r="DX2387" s="223"/>
      <c r="DY2387" s="223"/>
      <c r="DZ2387" s="223"/>
      <c r="EA2387" s="223"/>
      <c r="EB2387" s="223"/>
      <c r="EC2387" s="223"/>
      <c r="ED2387" s="223"/>
      <c r="EE2387" s="223"/>
      <c r="EF2387" s="223"/>
      <c r="EG2387" s="223"/>
      <c r="EH2387" s="223"/>
      <c r="EI2387" s="223"/>
      <c r="EJ2387" s="223"/>
      <c r="EK2387" s="223"/>
      <c r="EL2387" s="223"/>
      <c r="EM2387" s="223"/>
      <c r="EN2387" s="223"/>
      <c r="EO2387" s="223"/>
      <c r="EP2387" s="223"/>
      <c r="EQ2387" s="223"/>
      <c r="ER2387" s="223"/>
      <c r="ES2387" s="223"/>
      <c r="ET2387" s="223"/>
      <c r="EU2387" s="223"/>
      <c r="EV2387" s="223"/>
      <c r="EW2387" s="223"/>
      <c r="EX2387" s="223"/>
      <c r="EY2387" s="223"/>
      <c r="EZ2387" s="223"/>
      <c r="FA2387" s="223"/>
      <c r="FB2387" s="223"/>
      <c r="FC2387" s="223"/>
      <c r="FD2387" s="223"/>
      <c r="FE2387" s="223"/>
      <c r="FF2387" s="223"/>
      <c r="FG2387" s="223"/>
      <c r="FH2387" s="223"/>
      <c r="FI2387" s="223"/>
      <c r="FJ2387" s="223"/>
      <c r="FK2387" s="223"/>
      <c r="FL2387" s="223"/>
      <c r="FM2387" s="223"/>
      <c r="FN2387" s="223"/>
      <c r="FO2387" s="223"/>
      <c r="FP2387" s="223"/>
      <c r="FQ2387" s="223"/>
      <c r="FR2387" s="223"/>
      <c r="FS2387" s="223"/>
      <c r="FT2387" s="223"/>
      <c r="FU2387" s="223"/>
      <c r="FV2387" s="223"/>
      <c r="FW2387" s="223"/>
      <c r="FX2387" s="223"/>
      <c r="FY2387" s="223"/>
      <c r="FZ2387" s="223"/>
      <c r="GA2387" s="223"/>
      <c r="GB2387" s="223"/>
      <c r="GC2387" s="223"/>
      <c r="GD2387" s="223"/>
      <c r="GE2387" s="223"/>
      <c r="GF2387" s="223"/>
      <c r="GG2387" s="223"/>
      <c r="GH2387" s="223"/>
      <c r="GI2387" s="223"/>
      <c r="GJ2387" s="223"/>
      <c r="GK2387" s="223"/>
      <c r="GL2387" s="223"/>
      <c r="GM2387" s="223"/>
      <c r="GN2387" s="223"/>
      <c r="GO2387" s="223"/>
      <c r="GP2387" s="223"/>
      <c r="GQ2387" s="223"/>
      <c r="GR2387" s="223"/>
      <c r="GS2387" s="223"/>
      <c r="GT2387" s="223"/>
      <c r="GU2387" s="223"/>
      <c r="GV2387" s="223"/>
      <c r="GW2387" s="223"/>
      <c r="GX2387" s="223"/>
      <c r="GY2387" s="223"/>
      <c r="GZ2387" s="223"/>
      <c r="HA2387" s="223"/>
      <c r="HB2387" s="223"/>
      <c r="HC2387" s="223"/>
      <c r="HD2387" s="223"/>
      <c r="HE2387" s="223"/>
      <c r="HF2387" s="223"/>
      <c r="HG2387" s="223"/>
      <c r="HH2387" s="223"/>
      <c r="HI2387" s="223"/>
      <c r="HJ2387" s="223"/>
      <c r="HK2387" s="223"/>
      <c r="HL2387" s="223"/>
      <c r="HM2387" s="223"/>
      <c r="HN2387" s="223"/>
      <c r="HO2387" s="223"/>
      <c r="HP2387" s="223"/>
      <c r="HQ2387" s="223"/>
      <c r="HR2387" s="223"/>
      <c r="HS2387" s="223"/>
      <c r="HT2387" s="223"/>
      <c r="HU2387" s="223"/>
      <c r="HV2387" s="223"/>
      <c r="HW2387" s="223"/>
      <c r="HX2387" s="223"/>
      <c r="HY2387" s="223"/>
      <c r="HZ2387" s="223"/>
      <c r="IA2387" s="223"/>
      <c r="IB2387" s="223"/>
      <c r="IC2387" s="223"/>
      <c r="ID2387" s="223"/>
      <c r="IE2387" s="223"/>
      <c r="IF2387" s="223"/>
      <c r="IG2387" s="223"/>
      <c r="IH2387" s="223"/>
      <c r="II2387" s="223"/>
      <c r="IJ2387" s="223"/>
      <c r="IK2387" s="223"/>
      <c r="IL2387" s="223"/>
      <c r="IM2387" s="223"/>
      <c r="IN2387" s="223"/>
      <c r="IO2387" s="223"/>
      <c r="IP2387" s="223"/>
      <c r="IQ2387" s="223"/>
      <c r="IR2387" s="223"/>
      <c r="IS2387" s="223"/>
      <c r="IT2387" s="223"/>
      <c r="IU2387" s="223"/>
      <c r="IV2387" s="223"/>
    </row>
    <row r="2388" spans="46:256" s="221" customFormat="1" x14ac:dyDescent="0.2">
      <c r="AT2388" s="222"/>
      <c r="AU2388" s="222"/>
      <c r="BD2388" s="223"/>
      <c r="BE2388" s="223"/>
      <c r="BF2388" s="223"/>
      <c r="BG2388" s="223"/>
      <c r="BH2388" s="223"/>
      <c r="BI2388" s="223"/>
      <c r="BJ2388" s="223"/>
      <c r="BK2388" s="223"/>
      <c r="BL2388" s="223"/>
      <c r="BM2388" s="223"/>
      <c r="BN2388" s="223"/>
      <c r="BO2388" s="223"/>
      <c r="BP2388" s="223"/>
      <c r="BQ2388" s="223"/>
      <c r="BR2388" s="223"/>
      <c r="BS2388" s="223"/>
      <c r="BT2388" s="223"/>
      <c r="BU2388" s="223"/>
      <c r="BV2388" s="223"/>
      <c r="BW2388" s="223"/>
      <c r="BX2388" s="223"/>
      <c r="BY2388" s="223"/>
      <c r="BZ2388" s="223"/>
      <c r="CA2388" s="223"/>
      <c r="CB2388" s="223"/>
      <c r="CC2388" s="223"/>
      <c r="CD2388" s="223"/>
      <c r="CE2388" s="223"/>
      <c r="CF2388" s="223"/>
      <c r="CG2388" s="223"/>
      <c r="CH2388" s="223"/>
      <c r="CI2388" s="223"/>
      <c r="CJ2388" s="223"/>
      <c r="CK2388" s="223"/>
      <c r="CL2388" s="223"/>
      <c r="CM2388" s="223"/>
      <c r="CN2388" s="223"/>
      <c r="CO2388" s="223"/>
      <c r="CP2388" s="223"/>
      <c r="CQ2388" s="223"/>
      <c r="CR2388" s="223"/>
      <c r="CS2388" s="223"/>
      <c r="CT2388" s="223"/>
      <c r="CU2388" s="223"/>
      <c r="CV2388" s="223"/>
      <c r="CW2388" s="223"/>
      <c r="CX2388" s="223"/>
      <c r="CY2388" s="223"/>
      <c r="CZ2388" s="223"/>
      <c r="DA2388" s="223"/>
      <c r="DB2388" s="223"/>
      <c r="DC2388" s="223"/>
      <c r="DD2388" s="223"/>
      <c r="DE2388" s="223"/>
      <c r="DF2388" s="223"/>
      <c r="DG2388" s="223"/>
      <c r="DH2388" s="223"/>
      <c r="DI2388" s="223"/>
      <c r="DJ2388" s="223"/>
      <c r="DK2388" s="223"/>
      <c r="DL2388" s="223"/>
      <c r="DM2388" s="223"/>
      <c r="DN2388" s="223"/>
      <c r="DO2388" s="223"/>
      <c r="DP2388" s="223"/>
      <c r="DQ2388" s="223"/>
      <c r="DR2388" s="223"/>
      <c r="DS2388" s="223"/>
      <c r="DT2388" s="223"/>
      <c r="DU2388" s="223"/>
      <c r="DV2388" s="223"/>
      <c r="DW2388" s="223"/>
      <c r="DX2388" s="223"/>
      <c r="DY2388" s="223"/>
      <c r="DZ2388" s="223"/>
      <c r="EA2388" s="223"/>
      <c r="EB2388" s="223"/>
      <c r="EC2388" s="223"/>
      <c r="ED2388" s="223"/>
      <c r="EE2388" s="223"/>
      <c r="EF2388" s="223"/>
      <c r="EG2388" s="223"/>
      <c r="EH2388" s="223"/>
      <c r="EI2388" s="223"/>
      <c r="EJ2388" s="223"/>
      <c r="EK2388" s="223"/>
      <c r="EL2388" s="223"/>
      <c r="EM2388" s="223"/>
      <c r="EN2388" s="223"/>
      <c r="EO2388" s="223"/>
      <c r="EP2388" s="223"/>
      <c r="EQ2388" s="223"/>
      <c r="ER2388" s="223"/>
      <c r="ES2388" s="223"/>
      <c r="ET2388" s="223"/>
      <c r="EU2388" s="223"/>
      <c r="EV2388" s="223"/>
      <c r="EW2388" s="223"/>
      <c r="EX2388" s="223"/>
      <c r="EY2388" s="223"/>
      <c r="EZ2388" s="223"/>
      <c r="FA2388" s="223"/>
      <c r="FB2388" s="223"/>
      <c r="FC2388" s="223"/>
      <c r="FD2388" s="223"/>
      <c r="FE2388" s="223"/>
      <c r="FF2388" s="223"/>
      <c r="FG2388" s="223"/>
      <c r="FH2388" s="223"/>
      <c r="FI2388" s="223"/>
      <c r="FJ2388" s="223"/>
      <c r="FK2388" s="223"/>
      <c r="FL2388" s="223"/>
      <c r="FM2388" s="223"/>
      <c r="FN2388" s="223"/>
      <c r="FO2388" s="223"/>
      <c r="FP2388" s="223"/>
      <c r="FQ2388" s="223"/>
      <c r="FR2388" s="223"/>
      <c r="FS2388" s="223"/>
      <c r="FT2388" s="223"/>
      <c r="FU2388" s="223"/>
      <c r="FV2388" s="223"/>
      <c r="FW2388" s="223"/>
      <c r="FX2388" s="223"/>
      <c r="FY2388" s="223"/>
      <c r="FZ2388" s="223"/>
      <c r="GA2388" s="223"/>
      <c r="GB2388" s="223"/>
      <c r="GC2388" s="223"/>
      <c r="GD2388" s="223"/>
      <c r="GE2388" s="223"/>
      <c r="GF2388" s="223"/>
      <c r="GG2388" s="223"/>
      <c r="GH2388" s="223"/>
      <c r="GI2388" s="223"/>
      <c r="GJ2388" s="223"/>
      <c r="GK2388" s="223"/>
      <c r="GL2388" s="223"/>
      <c r="GM2388" s="223"/>
      <c r="GN2388" s="223"/>
      <c r="GO2388" s="223"/>
      <c r="GP2388" s="223"/>
      <c r="GQ2388" s="223"/>
      <c r="GR2388" s="223"/>
      <c r="GS2388" s="223"/>
      <c r="GT2388" s="223"/>
      <c r="GU2388" s="223"/>
      <c r="GV2388" s="223"/>
      <c r="GW2388" s="223"/>
      <c r="GX2388" s="223"/>
      <c r="GY2388" s="223"/>
      <c r="GZ2388" s="223"/>
      <c r="HA2388" s="223"/>
      <c r="HB2388" s="223"/>
      <c r="HC2388" s="223"/>
      <c r="HD2388" s="223"/>
      <c r="HE2388" s="223"/>
      <c r="HF2388" s="223"/>
      <c r="HG2388" s="223"/>
      <c r="HH2388" s="223"/>
      <c r="HI2388" s="223"/>
      <c r="HJ2388" s="223"/>
      <c r="HK2388" s="223"/>
      <c r="HL2388" s="223"/>
      <c r="HM2388" s="223"/>
      <c r="HN2388" s="223"/>
      <c r="HO2388" s="223"/>
      <c r="HP2388" s="223"/>
      <c r="HQ2388" s="223"/>
      <c r="HR2388" s="223"/>
      <c r="HS2388" s="223"/>
      <c r="HT2388" s="223"/>
      <c r="HU2388" s="223"/>
      <c r="HV2388" s="223"/>
      <c r="HW2388" s="223"/>
      <c r="HX2388" s="223"/>
      <c r="HY2388" s="223"/>
      <c r="HZ2388" s="223"/>
      <c r="IA2388" s="223"/>
      <c r="IB2388" s="223"/>
      <c r="IC2388" s="223"/>
      <c r="ID2388" s="223"/>
      <c r="IE2388" s="223"/>
      <c r="IF2388" s="223"/>
      <c r="IG2388" s="223"/>
      <c r="IH2388" s="223"/>
      <c r="II2388" s="223"/>
      <c r="IJ2388" s="223"/>
      <c r="IK2388" s="223"/>
      <c r="IL2388" s="223"/>
      <c r="IM2388" s="223"/>
      <c r="IN2388" s="223"/>
      <c r="IO2388" s="223"/>
      <c r="IP2388" s="223"/>
      <c r="IQ2388" s="223"/>
      <c r="IR2388" s="223"/>
      <c r="IS2388" s="223"/>
      <c r="IT2388" s="223"/>
      <c r="IU2388" s="223"/>
      <c r="IV2388" s="223"/>
    </row>
    <row r="2389" spans="46:256" s="221" customFormat="1" x14ac:dyDescent="0.2">
      <c r="AT2389" s="222"/>
      <c r="AU2389" s="222"/>
      <c r="BD2389" s="223"/>
      <c r="BE2389" s="223"/>
      <c r="BF2389" s="223"/>
      <c r="BG2389" s="223"/>
      <c r="BH2389" s="223"/>
      <c r="BI2389" s="223"/>
      <c r="BJ2389" s="223"/>
      <c r="BK2389" s="223"/>
      <c r="BL2389" s="223"/>
      <c r="BM2389" s="223"/>
      <c r="BN2389" s="223"/>
      <c r="BO2389" s="223"/>
      <c r="BP2389" s="223"/>
      <c r="BQ2389" s="223"/>
      <c r="BR2389" s="223"/>
      <c r="BS2389" s="223"/>
      <c r="BT2389" s="223"/>
      <c r="BU2389" s="223"/>
      <c r="BV2389" s="223"/>
      <c r="BW2389" s="223"/>
      <c r="BX2389" s="223"/>
      <c r="BY2389" s="223"/>
      <c r="BZ2389" s="223"/>
      <c r="CA2389" s="223"/>
      <c r="CB2389" s="223"/>
      <c r="CC2389" s="223"/>
      <c r="CD2389" s="223"/>
      <c r="CE2389" s="223"/>
      <c r="CF2389" s="223"/>
      <c r="CG2389" s="223"/>
      <c r="CH2389" s="223"/>
      <c r="CI2389" s="223"/>
      <c r="CJ2389" s="223"/>
      <c r="CK2389" s="223"/>
      <c r="CL2389" s="223"/>
      <c r="CM2389" s="223"/>
      <c r="CN2389" s="223"/>
      <c r="CO2389" s="223"/>
      <c r="CP2389" s="223"/>
      <c r="CQ2389" s="223"/>
      <c r="CR2389" s="223"/>
      <c r="CS2389" s="223"/>
      <c r="CT2389" s="223"/>
      <c r="CU2389" s="223"/>
      <c r="CV2389" s="223"/>
      <c r="CW2389" s="223"/>
      <c r="CX2389" s="223"/>
      <c r="CY2389" s="223"/>
      <c r="CZ2389" s="223"/>
      <c r="DA2389" s="223"/>
      <c r="DB2389" s="223"/>
      <c r="DC2389" s="223"/>
      <c r="DD2389" s="223"/>
      <c r="DE2389" s="223"/>
      <c r="DF2389" s="223"/>
      <c r="DG2389" s="223"/>
      <c r="DH2389" s="223"/>
      <c r="DI2389" s="223"/>
      <c r="DJ2389" s="223"/>
      <c r="DK2389" s="223"/>
      <c r="DL2389" s="223"/>
      <c r="DM2389" s="223"/>
      <c r="DN2389" s="223"/>
      <c r="DO2389" s="223"/>
      <c r="DP2389" s="223"/>
      <c r="DQ2389" s="223"/>
      <c r="DR2389" s="223"/>
      <c r="DS2389" s="223"/>
      <c r="DT2389" s="223"/>
      <c r="DU2389" s="223"/>
      <c r="DV2389" s="223"/>
      <c r="DW2389" s="223"/>
      <c r="DX2389" s="223"/>
      <c r="DY2389" s="223"/>
      <c r="DZ2389" s="223"/>
      <c r="EA2389" s="223"/>
      <c r="EB2389" s="223"/>
      <c r="EC2389" s="223"/>
      <c r="ED2389" s="223"/>
      <c r="EE2389" s="223"/>
      <c r="EF2389" s="223"/>
      <c r="EG2389" s="223"/>
      <c r="EH2389" s="223"/>
      <c r="EI2389" s="223"/>
      <c r="EJ2389" s="223"/>
      <c r="EK2389" s="223"/>
      <c r="EL2389" s="223"/>
      <c r="EM2389" s="223"/>
      <c r="EN2389" s="223"/>
      <c r="EO2389" s="223"/>
      <c r="EP2389" s="223"/>
      <c r="EQ2389" s="223"/>
      <c r="ER2389" s="223"/>
      <c r="ES2389" s="223"/>
      <c r="ET2389" s="223"/>
      <c r="EU2389" s="223"/>
      <c r="EV2389" s="223"/>
      <c r="EW2389" s="223"/>
      <c r="EX2389" s="223"/>
      <c r="EY2389" s="223"/>
      <c r="EZ2389" s="223"/>
      <c r="FA2389" s="223"/>
      <c r="FB2389" s="223"/>
      <c r="FC2389" s="223"/>
      <c r="FD2389" s="223"/>
      <c r="FE2389" s="223"/>
      <c r="FF2389" s="223"/>
      <c r="FG2389" s="223"/>
      <c r="FH2389" s="223"/>
      <c r="FI2389" s="223"/>
      <c r="FJ2389" s="223"/>
      <c r="FK2389" s="223"/>
      <c r="FL2389" s="223"/>
      <c r="FM2389" s="223"/>
      <c r="FN2389" s="223"/>
      <c r="FO2389" s="223"/>
      <c r="FP2389" s="223"/>
      <c r="FQ2389" s="223"/>
      <c r="FR2389" s="223"/>
      <c r="FS2389" s="223"/>
      <c r="FT2389" s="223"/>
      <c r="FU2389" s="223"/>
      <c r="FV2389" s="223"/>
      <c r="FW2389" s="223"/>
      <c r="FX2389" s="223"/>
      <c r="FY2389" s="223"/>
      <c r="FZ2389" s="223"/>
      <c r="GA2389" s="223"/>
      <c r="GB2389" s="223"/>
      <c r="GC2389" s="223"/>
      <c r="GD2389" s="223"/>
      <c r="GE2389" s="223"/>
      <c r="GF2389" s="223"/>
      <c r="GG2389" s="223"/>
      <c r="GH2389" s="223"/>
      <c r="GI2389" s="223"/>
      <c r="GJ2389" s="223"/>
      <c r="GK2389" s="223"/>
      <c r="GL2389" s="223"/>
      <c r="GM2389" s="223"/>
      <c r="GN2389" s="223"/>
      <c r="GO2389" s="223"/>
      <c r="GP2389" s="223"/>
      <c r="GQ2389" s="223"/>
      <c r="GR2389" s="223"/>
      <c r="GS2389" s="223"/>
      <c r="GT2389" s="223"/>
      <c r="GU2389" s="223"/>
      <c r="GV2389" s="223"/>
      <c r="GW2389" s="223"/>
      <c r="GX2389" s="223"/>
      <c r="GY2389" s="223"/>
      <c r="GZ2389" s="223"/>
      <c r="HA2389" s="223"/>
      <c r="HB2389" s="223"/>
      <c r="HC2389" s="223"/>
      <c r="HD2389" s="223"/>
      <c r="HE2389" s="223"/>
      <c r="HF2389" s="223"/>
      <c r="HG2389" s="223"/>
      <c r="HH2389" s="223"/>
      <c r="HI2389" s="223"/>
      <c r="HJ2389" s="223"/>
      <c r="HK2389" s="223"/>
      <c r="HL2389" s="223"/>
      <c r="HM2389" s="223"/>
      <c r="HN2389" s="223"/>
      <c r="HO2389" s="223"/>
      <c r="HP2389" s="223"/>
      <c r="HQ2389" s="223"/>
      <c r="HR2389" s="223"/>
      <c r="HS2389" s="223"/>
      <c r="HT2389" s="223"/>
      <c r="HU2389" s="223"/>
      <c r="HV2389" s="223"/>
      <c r="HW2389" s="223"/>
      <c r="HX2389" s="223"/>
      <c r="HY2389" s="223"/>
      <c r="HZ2389" s="223"/>
      <c r="IA2389" s="223"/>
      <c r="IB2389" s="223"/>
      <c r="IC2389" s="223"/>
      <c r="ID2389" s="223"/>
      <c r="IE2389" s="223"/>
      <c r="IF2389" s="223"/>
      <c r="IG2389" s="223"/>
      <c r="IH2389" s="223"/>
      <c r="II2389" s="223"/>
      <c r="IJ2389" s="223"/>
      <c r="IK2389" s="223"/>
      <c r="IL2389" s="223"/>
      <c r="IM2389" s="223"/>
      <c r="IN2389" s="223"/>
      <c r="IO2389" s="223"/>
      <c r="IP2389" s="223"/>
      <c r="IQ2389" s="223"/>
      <c r="IR2389" s="223"/>
      <c r="IS2389" s="223"/>
      <c r="IT2389" s="223"/>
      <c r="IU2389" s="223"/>
      <c r="IV2389" s="223"/>
    </row>
    <row r="2390" spans="46:256" s="221" customFormat="1" x14ac:dyDescent="0.2">
      <c r="AT2390" s="222"/>
      <c r="AU2390" s="222"/>
      <c r="BD2390" s="223"/>
      <c r="BE2390" s="223"/>
      <c r="BF2390" s="223"/>
      <c r="BG2390" s="223"/>
      <c r="BH2390" s="223"/>
      <c r="BI2390" s="223"/>
      <c r="BJ2390" s="223"/>
      <c r="BK2390" s="223"/>
      <c r="BL2390" s="223"/>
      <c r="BM2390" s="223"/>
      <c r="BN2390" s="223"/>
      <c r="BO2390" s="223"/>
      <c r="BP2390" s="223"/>
      <c r="BQ2390" s="223"/>
      <c r="BR2390" s="223"/>
      <c r="BS2390" s="223"/>
      <c r="BT2390" s="223"/>
      <c r="BU2390" s="223"/>
      <c r="BV2390" s="223"/>
      <c r="BW2390" s="223"/>
      <c r="BX2390" s="223"/>
      <c r="BY2390" s="223"/>
      <c r="BZ2390" s="223"/>
      <c r="CA2390" s="223"/>
      <c r="CB2390" s="223"/>
      <c r="CC2390" s="223"/>
      <c r="CD2390" s="223"/>
      <c r="CE2390" s="223"/>
      <c r="CF2390" s="223"/>
      <c r="CG2390" s="223"/>
      <c r="CH2390" s="223"/>
      <c r="CI2390" s="223"/>
      <c r="CJ2390" s="223"/>
      <c r="CK2390" s="223"/>
      <c r="CL2390" s="223"/>
      <c r="CM2390" s="223"/>
      <c r="CN2390" s="223"/>
      <c r="CO2390" s="223"/>
      <c r="CP2390" s="223"/>
      <c r="CQ2390" s="223"/>
      <c r="CR2390" s="223"/>
      <c r="CS2390" s="223"/>
      <c r="CT2390" s="223"/>
      <c r="CU2390" s="223"/>
      <c r="CV2390" s="223"/>
      <c r="CW2390" s="223"/>
      <c r="CX2390" s="223"/>
      <c r="CY2390" s="223"/>
      <c r="CZ2390" s="223"/>
      <c r="DA2390" s="223"/>
      <c r="DB2390" s="223"/>
      <c r="DC2390" s="223"/>
      <c r="DD2390" s="223"/>
      <c r="DE2390" s="223"/>
      <c r="DF2390" s="223"/>
      <c r="DG2390" s="223"/>
      <c r="DH2390" s="223"/>
      <c r="DI2390" s="223"/>
      <c r="DJ2390" s="223"/>
      <c r="DK2390" s="223"/>
      <c r="DL2390" s="223"/>
      <c r="DM2390" s="223"/>
      <c r="DN2390" s="223"/>
      <c r="DO2390" s="223"/>
      <c r="DP2390" s="223"/>
      <c r="DQ2390" s="223"/>
      <c r="DR2390" s="223"/>
      <c r="DS2390" s="223"/>
      <c r="DT2390" s="223"/>
      <c r="DU2390" s="223"/>
      <c r="DV2390" s="223"/>
      <c r="DW2390" s="223"/>
      <c r="DX2390" s="223"/>
      <c r="DY2390" s="223"/>
      <c r="DZ2390" s="223"/>
      <c r="EA2390" s="223"/>
      <c r="EB2390" s="223"/>
      <c r="EC2390" s="223"/>
      <c r="ED2390" s="223"/>
      <c r="EE2390" s="223"/>
      <c r="EF2390" s="223"/>
      <c r="EG2390" s="223"/>
      <c r="EH2390" s="223"/>
      <c r="EI2390" s="223"/>
      <c r="EJ2390" s="223"/>
      <c r="EK2390" s="223"/>
      <c r="EL2390" s="223"/>
      <c r="EM2390" s="223"/>
      <c r="EN2390" s="223"/>
      <c r="EO2390" s="223"/>
      <c r="EP2390" s="223"/>
      <c r="EQ2390" s="223"/>
      <c r="ER2390" s="223"/>
      <c r="ES2390" s="223"/>
      <c r="ET2390" s="223"/>
      <c r="EU2390" s="223"/>
      <c r="EV2390" s="223"/>
      <c r="EW2390" s="223"/>
      <c r="EX2390" s="223"/>
      <c r="EY2390" s="223"/>
      <c r="EZ2390" s="223"/>
      <c r="FA2390" s="223"/>
      <c r="FB2390" s="223"/>
      <c r="FC2390" s="223"/>
      <c r="FD2390" s="223"/>
      <c r="FE2390" s="223"/>
      <c r="FF2390" s="223"/>
      <c r="FG2390" s="223"/>
      <c r="FH2390" s="223"/>
      <c r="FI2390" s="223"/>
      <c r="FJ2390" s="223"/>
      <c r="FK2390" s="223"/>
      <c r="FL2390" s="223"/>
      <c r="FM2390" s="223"/>
      <c r="FN2390" s="223"/>
      <c r="FO2390" s="223"/>
      <c r="FP2390" s="223"/>
      <c r="FQ2390" s="223"/>
      <c r="FR2390" s="223"/>
      <c r="FS2390" s="223"/>
      <c r="FT2390" s="223"/>
      <c r="FU2390" s="223"/>
      <c r="FV2390" s="223"/>
      <c r="FW2390" s="223"/>
      <c r="FX2390" s="223"/>
      <c r="FY2390" s="223"/>
      <c r="FZ2390" s="223"/>
      <c r="GA2390" s="223"/>
      <c r="GB2390" s="223"/>
      <c r="GC2390" s="223"/>
      <c r="GD2390" s="223"/>
      <c r="GE2390" s="223"/>
      <c r="GF2390" s="223"/>
      <c r="GG2390" s="223"/>
      <c r="GH2390" s="223"/>
      <c r="GI2390" s="223"/>
      <c r="GJ2390" s="223"/>
      <c r="GK2390" s="223"/>
      <c r="GL2390" s="223"/>
      <c r="GM2390" s="223"/>
      <c r="GN2390" s="223"/>
      <c r="GO2390" s="223"/>
      <c r="GP2390" s="223"/>
      <c r="GQ2390" s="223"/>
      <c r="GR2390" s="223"/>
      <c r="GS2390" s="223"/>
      <c r="GT2390" s="223"/>
      <c r="GU2390" s="223"/>
      <c r="GV2390" s="223"/>
      <c r="GW2390" s="223"/>
      <c r="GX2390" s="223"/>
      <c r="GY2390" s="223"/>
      <c r="GZ2390" s="223"/>
      <c r="HA2390" s="223"/>
      <c r="HB2390" s="223"/>
      <c r="HC2390" s="223"/>
      <c r="HD2390" s="223"/>
      <c r="HE2390" s="223"/>
      <c r="HF2390" s="223"/>
      <c r="HG2390" s="223"/>
      <c r="HH2390" s="223"/>
      <c r="HI2390" s="223"/>
      <c r="HJ2390" s="223"/>
      <c r="HK2390" s="223"/>
      <c r="HL2390" s="223"/>
      <c r="HM2390" s="223"/>
      <c r="HN2390" s="223"/>
      <c r="HO2390" s="223"/>
      <c r="HP2390" s="223"/>
      <c r="HQ2390" s="223"/>
      <c r="HR2390" s="223"/>
      <c r="HS2390" s="223"/>
      <c r="HT2390" s="223"/>
      <c r="HU2390" s="223"/>
      <c r="HV2390" s="223"/>
      <c r="HW2390" s="223"/>
      <c r="HX2390" s="223"/>
      <c r="HY2390" s="223"/>
      <c r="HZ2390" s="223"/>
      <c r="IA2390" s="223"/>
      <c r="IB2390" s="223"/>
      <c r="IC2390" s="223"/>
      <c r="ID2390" s="223"/>
      <c r="IE2390" s="223"/>
      <c r="IF2390" s="223"/>
      <c r="IG2390" s="223"/>
      <c r="IH2390" s="223"/>
      <c r="II2390" s="223"/>
      <c r="IJ2390" s="223"/>
      <c r="IK2390" s="223"/>
      <c r="IL2390" s="223"/>
      <c r="IM2390" s="223"/>
      <c r="IN2390" s="223"/>
      <c r="IO2390" s="223"/>
      <c r="IP2390" s="223"/>
      <c r="IQ2390" s="223"/>
      <c r="IR2390" s="223"/>
      <c r="IS2390" s="223"/>
      <c r="IT2390" s="223"/>
      <c r="IU2390" s="223"/>
      <c r="IV2390" s="223"/>
    </row>
    <row r="2391" spans="46:256" s="221" customFormat="1" x14ac:dyDescent="0.2">
      <c r="AT2391" s="222"/>
      <c r="AU2391" s="222"/>
      <c r="BD2391" s="223"/>
      <c r="BE2391" s="223"/>
      <c r="BF2391" s="223"/>
      <c r="BG2391" s="223"/>
      <c r="BH2391" s="223"/>
      <c r="BI2391" s="223"/>
      <c r="BJ2391" s="223"/>
      <c r="BK2391" s="223"/>
      <c r="BL2391" s="223"/>
      <c r="BM2391" s="223"/>
      <c r="BN2391" s="223"/>
      <c r="BO2391" s="223"/>
      <c r="BP2391" s="223"/>
      <c r="BQ2391" s="223"/>
      <c r="BR2391" s="223"/>
      <c r="BS2391" s="223"/>
      <c r="BT2391" s="223"/>
      <c r="BU2391" s="223"/>
      <c r="BV2391" s="223"/>
      <c r="BW2391" s="223"/>
      <c r="BX2391" s="223"/>
      <c r="BY2391" s="223"/>
      <c r="BZ2391" s="223"/>
      <c r="CA2391" s="223"/>
      <c r="CB2391" s="223"/>
      <c r="CC2391" s="223"/>
      <c r="CD2391" s="223"/>
      <c r="CE2391" s="223"/>
      <c r="CF2391" s="223"/>
      <c r="CG2391" s="223"/>
      <c r="CH2391" s="223"/>
      <c r="CI2391" s="223"/>
      <c r="CJ2391" s="223"/>
      <c r="CK2391" s="223"/>
      <c r="CL2391" s="223"/>
      <c r="CM2391" s="223"/>
      <c r="CN2391" s="223"/>
      <c r="CO2391" s="223"/>
      <c r="CP2391" s="223"/>
      <c r="CQ2391" s="223"/>
      <c r="CR2391" s="223"/>
      <c r="CS2391" s="223"/>
      <c r="CT2391" s="223"/>
      <c r="CU2391" s="223"/>
      <c r="CV2391" s="223"/>
      <c r="CW2391" s="223"/>
      <c r="CX2391" s="223"/>
      <c r="CY2391" s="223"/>
      <c r="CZ2391" s="223"/>
      <c r="DA2391" s="223"/>
      <c r="DB2391" s="223"/>
      <c r="DC2391" s="223"/>
      <c r="DD2391" s="223"/>
      <c r="DE2391" s="223"/>
      <c r="DF2391" s="223"/>
      <c r="DG2391" s="223"/>
      <c r="DH2391" s="223"/>
      <c r="DI2391" s="223"/>
      <c r="DJ2391" s="223"/>
      <c r="DK2391" s="223"/>
      <c r="DL2391" s="223"/>
      <c r="DM2391" s="223"/>
      <c r="DN2391" s="223"/>
      <c r="DO2391" s="223"/>
      <c r="DP2391" s="223"/>
      <c r="DQ2391" s="223"/>
      <c r="DR2391" s="223"/>
      <c r="DS2391" s="223"/>
      <c r="DT2391" s="223"/>
      <c r="DU2391" s="223"/>
      <c r="DV2391" s="223"/>
      <c r="DW2391" s="223"/>
      <c r="DX2391" s="223"/>
      <c r="DY2391" s="223"/>
      <c r="DZ2391" s="223"/>
      <c r="EA2391" s="223"/>
      <c r="EB2391" s="223"/>
      <c r="EC2391" s="223"/>
      <c r="ED2391" s="223"/>
      <c r="EE2391" s="223"/>
      <c r="EF2391" s="223"/>
      <c r="EG2391" s="223"/>
      <c r="EH2391" s="223"/>
      <c r="EI2391" s="223"/>
      <c r="EJ2391" s="223"/>
      <c r="EK2391" s="223"/>
      <c r="EL2391" s="223"/>
      <c r="EM2391" s="223"/>
      <c r="EN2391" s="223"/>
      <c r="EO2391" s="223"/>
      <c r="EP2391" s="223"/>
      <c r="EQ2391" s="223"/>
      <c r="ER2391" s="223"/>
      <c r="ES2391" s="223"/>
      <c r="ET2391" s="223"/>
      <c r="EU2391" s="223"/>
      <c r="EV2391" s="223"/>
      <c r="EW2391" s="223"/>
      <c r="EX2391" s="223"/>
      <c r="EY2391" s="223"/>
      <c r="EZ2391" s="223"/>
      <c r="FA2391" s="223"/>
      <c r="FB2391" s="223"/>
      <c r="FC2391" s="223"/>
      <c r="FD2391" s="223"/>
      <c r="FE2391" s="223"/>
      <c r="FF2391" s="223"/>
      <c r="FG2391" s="223"/>
      <c r="FH2391" s="223"/>
      <c r="FI2391" s="223"/>
      <c r="FJ2391" s="223"/>
      <c r="FK2391" s="223"/>
      <c r="FL2391" s="223"/>
      <c r="FM2391" s="223"/>
      <c r="FN2391" s="223"/>
      <c r="FO2391" s="223"/>
      <c r="FP2391" s="223"/>
      <c r="FQ2391" s="223"/>
      <c r="FR2391" s="223"/>
      <c r="FS2391" s="223"/>
      <c r="FT2391" s="223"/>
      <c r="FU2391" s="223"/>
      <c r="FV2391" s="223"/>
      <c r="FW2391" s="223"/>
      <c r="FX2391" s="223"/>
      <c r="FY2391" s="223"/>
      <c r="FZ2391" s="223"/>
      <c r="GA2391" s="223"/>
      <c r="GB2391" s="223"/>
      <c r="GC2391" s="223"/>
      <c r="GD2391" s="223"/>
      <c r="GE2391" s="223"/>
      <c r="GF2391" s="223"/>
      <c r="GG2391" s="223"/>
      <c r="GH2391" s="223"/>
      <c r="GI2391" s="223"/>
      <c r="GJ2391" s="223"/>
      <c r="GK2391" s="223"/>
      <c r="GL2391" s="223"/>
      <c r="GM2391" s="223"/>
      <c r="GN2391" s="223"/>
      <c r="GO2391" s="223"/>
      <c r="GP2391" s="223"/>
      <c r="GQ2391" s="223"/>
      <c r="GR2391" s="223"/>
      <c r="GS2391" s="223"/>
      <c r="GT2391" s="223"/>
      <c r="GU2391" s="223"/>
      <c r="GV2391" s="223"/>
      <c r="GW2391" s="223"/>
      <c r="GX2391" s="223"/>
      <c r="GY2391" s="223"/>
      <c r="GZ2391" s="223"/>
      <c r="HA2391" s="223"/>
      <c r="HB2391" s="223"/>
      <c r="HC2391" s="223"/>
      <c r="HD2391" s="223"/>
      <c r="HE2391" s="223"/>
      <c r="HF2391" s="223"/>
      <c r="HG2391" s="223"/>
      <c r="HH2391" s="223"/>
      <c r="HI2391" s="223"/>
      <c r="HJ2391" s="223"/>
      <c r="HK2391" s="223"/>
      <c r="HL2391" s="223"/>
      <c r="HM2391" s="223"/>
      <c r="HN2391" s="223"/>
      <c r="HO2391" s="223"/>
      <c r="HP2391" s="223"/>
      <c r="HQ2391" s="223"/>
      <c r="HR2391" s="223"/>
      <c r="HS2391" s="223"/>
      <c r="HT2391" s="223"/>
      <c r="HU2391" s="223"/>
      <c r="HV2391" s="223"/>
      <c r="HW2391" s="223"/>
      <c r="HX2391" s="223"/>
      <c r="HY2391" s="223"/>
      <c r="HZ2391" s="223"/>
      <c r="IA2391" s="223"/>
      <c r="IB2391" s="223"/>
      <c r="IC2391" s="223"/>
      <c r="ID2391" s="223"/>
      <c r="IE2391" s="223"/>
      <c r="IF2391" s="223"/>
      <c r="IG2391" s="223"/>
      <c r="IH2391" s="223"/>
      <c r="II2391" s="223"/>
      <c r="IJ2391" s="223"/>
      <c r="IK2391" s="223"/>
      <c r="IL2391" s="223"/>
      <c r="IM2391" s="223"/>
      <c r="IN2391" s="223"/>
      <c r="IO2391" s="223"/>
      <c r="IP2391" s="223"/>
      <c r="IQ2391" s="223"/>
      <c r="IR2391" s="223"/>
      <c r="IS2391" s="223"/>
      <c r="IT2391" s="223"/>
      <c r="IU2391" s="223"/>
      <c r="IV2391" s="223"/>
    </row>
    <row r="2392" spans="46:256" s="221" customFormat="1" x14ac:dyDescent="0.2">
      <c r="AT2392" s="222"/>
      <c r="AU2392" s="222"/>
      <c r="BD2392" s="223"/>
      <c r="BE2392" s="223"/>
      <c r="BF2392" s="223"/>
      <c r="BG2392" s="223"/>
      <c r="BH2392" s="223"/>
      <c r="BI2392" s="223"/>
      <c r="BJ2392" s="223"/>
      <c r="BK2392" s="223"/>
      <c r="BL2392" s="223"/>
      <c r="BM2392" s="223"/>
      <c r="BN2392" s="223"/>
      <c r="BO2392" s="223"/>
      <c r="BP2392" s="223"/>
      <c r="BQ2392" s="223"/>
      <c r="BR2392" s="223"/>
      <c r="BS2392" s="223"/>
      <c r="BT2392" s="223"/>
      <c r="BU2392" s="223"/>
      <c r="BV2392" s="223"/>
      <c r="BW2392" s="223"/>
      <c r="BX2392" s="223"/>
      <c r="BY2392" s="223"/>
      <c r="BZ2392" s="223"/>
      <c r="CA2392" s="223"/>
      <c r="CB2392" s="223"/>
      <c r="CC2392" s="223"/>
      <c r="CD2392" s="223"/>
      <c r="CE2392" s="223"/>
      <c r="CF2392" s="223"/>
      <c r="CG2392" s="223"/>
      <c r="CH2392" s="223"/>
      <c r="CI2392" s="223"/>
      <c r="CJ2392" s="223"/>
      <c r="CK2392" s="223"/>
      <c r="CL2392" s="223"/>
      <c r="CM2392" s="223"/>
      <c r="CN2392" s="223"/>
      <c r="CO2392" s="223"/>
      <c r="CP2392" s="223"/>
      <c r="CQ2392" s="223"/>
      <c r="CR2392" s="223"/>
      <c r="CS2392" s="223"/>
      <c r="CT2392" s="223"/>
      <c r="CU2392" s="223"/>
      <c r="CV2392" s="223"/>
      <c r="CW2392" s="223"/>
      <c r="CX2392" s="223"/>
      <c r="CY2392" s="223"/>
      <c r="CZ2392" s="223"/>
      <c r="DA2392" s="223"/>
      <c r="DB2392" s="223"/>
      <c r="DC2392" s="223"/>
      <c r="DD2392" s="223"/>
      <c r="DE2392" s="223"/>
      <c r="DF2392" s="223"/>
      <c r="DG2392" s="223"/>
      <c r="DH2392" s="223"/>
      <c r="DI2392" s="223"/>
      <c r="DJ2392" s="223"/>
      <c r="DK2392" s="223"/>
      <c r="DL2392" s="223"/>
      <c r="DM2392" s="223"/>
      <c r="DN2392" s="223"/>
      <c r="DO2392" s="223"/>
      <c r="DP2392" s="223"/>
      <c r="DQ2392" s="223"/>
      <c r="DR2392" s="223"/>
      <c r="DS2392" s="223"/>
      <c r="DT2392" s="223"/>
      <c r="DU2392" s="223"/>
      <c r="DV2392" s="223"/>
      <c r="DW2392" s="223"/>
      <c r="DX2392" s="223"/>
      <c r="DY2392" s="223"/>
      <c r="DZ2392" s="223"/>
      <c r="EA2392" s="223"/>
      <c r="EB2392" s="223"/>
      <c r="EC2392" s="223"/>
      <c r="ED2392" s="223"/>
      <c r="EE2392" s="223"/>
      <c r="EF2392" s="223"/>
      <c r="EG2392" s="223"/>
      <c r="EH2392" s="223"/>
      <c r="EI2392" s="223"/>
      <c r="EJ2392" s="223"/>
      <c r="EK2392" s="223"/>
      <c r="EL2392" s="223"/>
      <c r="EM2392" s="223"/>
      <c r="EN2392" s="223"/>
      <c r="EO2392" s="223"/>
      <c r="EP2392" s="223"/>
      <c r="EQ2392" s="223"/>
      <c r="ER2392" s="223"/>
      <c r="ES2392" s="223"/>
      <c r="ET2392" s="223"/>
      <c r="EU2392" s="223"/>
      <c r="EV2392" s="223"/>
      <c r="EW2392" s="223"/>
      <c r="EX2392" s="223"/>
      <c r="EY2392" s="223"/>
      <c r="EZ2392" s="223"/>
      <c r="FA2392" s="223"/>
      <c r="FB2392" s="223"/>
      <c r="FC2392" s="223"/>
      <c r="FD2392" s="223"/>
      <c r="FE2392" s="223"/>
      <c r="FF2392" s="223"/>
      <c r="FG2392" s="223"/>
      <c r="FH2392" s="223"/>
      <c r="FI2392" s="223"/>
      <c r="FJ2392" s="223"/>
      <c r="FK2392" s="223"/>
      <c r="FL2392" s="223"/>
      <c r="FM2392" s="223"/>
      <c r="FN2392" s="223"/>
      <c r="FO2392" s="223"/>
      <c r="FP2392" s="223"/>
      <c r="FQ2392" s="223"/>
      <c r="FR2392" s="223"/>
      <c r="FS2392" s="223"/>
      <c r="FT2392" s="223"/>
      <c r="FU2392" s="223"/>
      <c r="FV2392" s="223"/>
      <c r="FW2392" s="223"/>
      <c r="FX2392" s="223"/>
      <c r="FY2392" s="223"/>
      <c r="FZ2392" s="223"/>
      <c r="GA2392" s="223"/>
      <c r="GB2392" s="223"/>
      <c r="GC2392" s="223"/>
      <c r="GD2392" s="223"/>
      <c r="GE2392" s="223"/>
      <c r="GF2392" s="223"/>
      <c r="GG2392" s="223"/>
      <c r="GH2392" s="223"/>
      <c r="GI2392" s="223"/>
      <c r="GJ2392" s="223"/>
      <c r="GK2392" s="223"/>
      <c r="GL2392" s="223"/>
      <c r="GM2392" s="223"/>
      <c r="GN2392" s="223"/>
      <c r="GO2392" s="223"/>
      <c r="GP2392" s="223"/>
      <c r="GQ2392" s="223"/>
      <c r="GR2392" s="223"/>
      <c r="GS2392" s="223"/>
      <c r="GT2392" s="223"/>
      <c r="GU2392" s="223"/>
      <c r="GV2392" s="223"/>
      <c r="GW2392" s="223"/>
      <c r="GX2392" s="223"/>
      <c r="GY2392" s="223"/>
      <c r="GZ2392" s="223"/>
      <c r="HA2392" s="223"/>
      <c r="HB2392" s="223"/>
      <c r="HC2392" s="223"/>
      <c r="HD2392" s="223"/>
      <c r="HE2392" s="223"/>
      <c r="HF2392" s="223"/>
      <c r="HG2392" s="223"/>
      <c r="HH2392" s="223"/>
      <c r="HI2392" s="223"/>
      <c r="HJ2392" s="223"/>
      <c r="HK2392" s="223"/>
      <c r="HL2392" s="223"/>
      <c r="HM2392" s="223"/>
      <c r="HN2392" s="223"/>
      <c r="HO2392" s="223"/>
      <c r="HP2392" s="223"/>
      <c r="HQ2392" s="223"/>
      <c r="HR2392" s="223"/>
      <c r="HS2392" s="223"/>
      <c r="HT2392" s="223"/>
      <c r="HU2392" s="223"/>
      <c r="HV2392" s="223"/>
      <c r="HW2392" s="223"/>
      <c r="HX2392" s="223"/>
      <c r="HY2392" s="223"/>
      <c r="HZ2392" s="223"/>
      <c r="IA2392" s="223"/>
      <c r="IB2392" s="223"/>
      <c r="IC2392" s="223"/>
      <c r="ID2392" s="223"/>
      <c r="IE2392" s="223"/>
      <c r="IF2392" s="223"/>
      <c r="IG2392" s="223"/>
      <c r="IH2392" s="223"/>
      <c r="II2392" s="223"/>
      <c r="IJ2392" s="223"/>
      <c r="IK2392" s="223"/>
      <c r="IL2392" s="223"/>
      <c r="IM2392" s="223"/>
      <c r="IN2392" s="223"/>
      <c r="IO2392" s="223"/>
      <c r="IP2392" s="223"/>
      <c r="IQ2392" s="223"/>
      <c r="IR2392" s="223"/>
      <c r="IS2392" s="223"/>
      <c r="IT2392" s="223"/>
      <c r="IU2392" s="223"/>
      <c r="IV2392" s="223"/>
    </row>
    <row r="2393" spans="46:256" s="221" customFormat="1" x14ac:dyDescent="0.2">
      <c r="AT2393" s="222"/>
      <c r="AU2393" s="222"/>
      <c r="BD2393" s="223"/>
      <c r="BE2393" s="223"/>
      <c r="BF2393" s="223"/>
      <c r="BG2393" s="223"/>
      <c r="BH2393" s="223"/>
      <c r="BI2393" s="223"/>
      <c r="BJ2393" s="223"/>
      <c r="BK2393" s="223"/>
      <c r="BL2393" s="223"/>
      <c r="BM2393" s="223"/>
      <c r="BN2393" s="223"/>
      <c r="BO2393" s="223"/>
      <c r="BP2393" s="223"/>
      <c r="BQ2393" s="223"/>
      <c r="BR2393" s="223"/>
      <c r="BS2393" s="223"/>
      <c r="BT2393" s="223"/>
      <c r="BU2393" s="223"/>
      <c r="BV2393" s="223"/>
      <c r="BW2393" s="223"/>
      <c r="BX2393" s="223"/>
      <c r="BY2393" s="223"/>
      <c r="BZ2393" s="223"/>
      <c r="CA2393" s="223"/>
      <c r="CB2393" s="223"/>
      <c r="CC2393" s="223"/>
      <c r="CD2393" s="223"/>
      <c r="CE2393" s="223"/>
      <c r="CF2393" s="223"/>
      <c r="CG2393" s="223"/>
      <c r="CH2393" s="223"/>
      <c r="CI2393" s="223"/>
      <c r="CJ2393" s="223"/>
      <c r="CK2393" s="223"/>
      <c r="CL2393" s="223"/>
      <c r="CM2393" s="223"/>
      <c r="CN2393" s="223"/>
      <c r="CO2393" s="223"/>
      <c r="CP2393" s="223"/>
      <c r="CQ2393" s="223"/>
      <c r="CR2393" s="223"/>
      <c r="CS2393" s="223"/>
      <c r="CT2393" s="223"/>
      <c r="CU2393" s="223"/>
      <c r="CV2393" s="223"/>
      <c r="CW2393" s="223"/>
      <c r="CX2393" s="223"/>
      <c r="CY2393" s="223"/>
      <c r="CZ2393" s="223"/>
      <c r="DA2393" s="223"/>
      <c r="DB2393" s="223"/>
      <c r="DC2393" s="223"/>
      <c r="DD2393" s="223"/>
      <c r="DE2393" s="223"/>
      <c r="DF2393" s="223"/>
      <c r="DG2393" s="223"/>
      <c r="DH2393" s="223"/>
      <c r="DI2393" s="223"/>
      <c r="DJ2393" s="223"/>
      <c r="DK2393" s="223"/>
      <c r="DL2393" s="223"/>
      <c r="DM2393" s="223"/>
      <c r="DN2393" s="223"/>
      <c r="DO2393" s="223"/>
      <c r="DP2393" s="223"/>
      <c r="DQ2393" s="223"/>
      <c r="DR2393" s="223"/>
      <c r="DS2393" s="223"/>
      <c r="DT2393" s="223"/>
      <c r="DU2393" s="223"/>
      <c r="DV2393" s="223"/>
      <c r="DW2393" s="223"/>
      <c r="DX2393" s="223"/>
      <c r="DY2393" s="223"/>
      <c r="DZ2393" s="223"/>
      <c r="EA2393" s="223"/>
      <c r="EB2393" s="223"/>
      <c r="EC2393" s="223"/>
      <c r="ED2393" s="223"/>
      <c r="EE2393" s="223"/>
      <c r="EF2393" s="223"/>
      <c r="EG2393" s="223"/>
      <c r="EH2393" s="223"/>
      <c r="EI2393" s="223"/>
      <c r="EJ2393" s="223"/>
      <c r="EK2393" s="223"/>
      <c r="EL2393" s="223"/>
      <c r="EM2393" s="223"/>
      <c r="EN2393" s="223"/>
      <c r="EO2393" s="223"/>
      <c r="EP2393" s="223"/>
      <c r="EQ2393" s="223"/>
      <c r="ER2393" s="223"/>
      <c r="ES2393" s="223"/>
      <c r="ET2393" s="223"/>
      <c r="EU2393" s="223"/>
      <c r="EV2393" s="223"/>
      <c r="EW2393" s="223"/>
      <c r="EX2393" s="223"/>
      <c r="EY2393" s="223"/>
      <c r="EZ2393" s="223"/>
      <c r="FA2393" s="223"/>
      <c r="FB2393" s="223"/>
      <c r="FC2393" s="223"/>
      <c r="FD2393" s="223"/>
      <c r="FE2393" s="223"/>
      <c r="FF2393" s="223"/>
      <c r="FG2393" s="223"/>
      <c r="FH2393" s="223"/>
      <c r="FI2393" s="223"/>
      <c r="FJ2393" s="223"/>
      <c r="FK2393" s="223"/>
      <c r="FL2393" s="223"/>
      <c r="FM2393" s="223"/>
      <c r="FN2393" s="223"/>
      <c r="FO2393" s="223"/>
      <c r="FP2393" s="223"/>
      <c r="FQ2393" s="223"/>
      <c r="FR2393" s="223"/>
      <c r="FS2393" s="223"/>
      <c r="FT2393" s="223"/>
      <c r="FU2393" s="223"/>
      <c r="FV2393" s="223"/>
      <c r="FW2393" s="223"/>
      <c r="FX2393" s="223"/>
      <c r="FY2393" s="223"/>
      <c r="FZ2393" s="223"/>
      <c r="GA2393" s="223"/>
      <c r="GB2393" s="223"/>
      <c r="GC2393" s="223"/>
      <c r="GD2393" s="223"/>
      <c r="GE2393" s="223"/>
      <c r="GF2393" s="223"/>
      <c r="GG2393" s="223"/>
      <c r="GH2393" s="223"/>
      <c r="GI2393" s="223"/>
      <c r="GJ2393" s="223"/>
      <c r="GK2393" s="223"/>
      <c r="GL2393" s="223"/>
      <c r="GM2393" s="223"/>
      <c r="GN2393" s="223"/>
      <c r="GO2393" s="223"/>
      <c r="GP2393" s="223"/>
      <c r="GQ2393" s="223"/>
      <c r="GR2393" s="223"/>
      <c r="GS2393" s="223"/>
      <c r="GT2393" s="223"/>
      <c r="GU2393" s="223"/>
      <c r="GV2393" s="223"/>
      <c r="GW2393" s="223"/>
      <c r="GX2393" s="223"/>
      <c r="GY2393" s="223"/>
      <c r="GZ2393" s="223"/>
      <c r="HA2393" s="223"/>
      <c r="HB2393" s="223"/>
      <c r="HC2393" s="223"/>
      <c r="HD2393" s="223"/>
      <c r="HE2393" s="223"/>
      <c r="HF2393" s="223"/>
      <c r="HG2393" s="223"/>
      <c r="HH2393" s="223"/>
      <c r="HI2393" s="223"/>
      <c r="HJ2393" s="223"/>
      <c r="HK2393" s="223"/>
      <c r="HL2393" s="223"/>
      <c r="HM2393" s="223"/>
      <c r="HN2393" s="223"/>
      <c r="HO2393" s="223"/>
      <c r="HP2393" s="223"/>
      <c r="HQ2393" s="223"/>
      <c r="HR2393" s="223"/>
      <c r="HS2393" s="223"/>
      <c r="HT2393" s="223"/>
      <c r="HU2393" s="223"/>
      <c r="HV2393" s="223"/>
      <c r="HW2393" s="223"/>
      <c r="HX2393" s="223"/>
      <c r="HY2393" s="223"/>
      <c r="HZ2393" s="223"/>
      <c r="IA2393" s="223"/>
      <c r="IB2393" s="223"/>
      <c r="IC2393" s="223"/>
      <c r="ID2393" s="223"/>
      <c r="IE2393" s="223"/>
      <c r="IF2393" s="223"/>
      <c r="IG2393" s="223"/>
      <c r="IH2393" s="223"/>
      <c r="II2393" s="223"/>
      <c r="IJ2393" s="223"/>
      <c r="IK2393" s="223"/>
      <c r="IL2393" s="223"/>
      <c r="IM2393" s="223"/>
      <c r="IN2393" s="223"/>
      <c r="IO2393" s="223"/>
      <c r="IP2393" s="223"/>
      <c r="IQ2393" s="223"/>
      <c r="IR2393" s="223"/>
      <c r="IS2393" s="223"/>
      <c r="IT2393" s="223"/>
      <c r="IU2393" s="223"/>
      <c r="IV2393" s="223"/>
    </row>
    <row r="2394" spans="46:256" s="221" customFormat="1" x14ac:dyDescent="0.2">
      <c r="AT2394" s="222"/>
      <c r="AU2394" s="222"/>
      <c r="BD2394" s="223"/>
      <c r="BE2394" s="223"/>
      <c r="BF2394" s="223"/>
      <c r="BG2394" s="223"/>
      <c r="BH2394" s="223"/>
      <c r="BI2394" s="223"/>
      <c r="BJ2394" s="223"/>
      <c r="BK2394" s="223"/>
      <c r="BL2394" s="223"/>
      <c r="BM2394" s="223"/>
      <c r="BN2394" s="223"/>
      <c r="BO2394" s="223"/>
      <c r="BP2394" s="223"/>
      <c r="BQ2394" s="223"/>
      <c r="BR2394" s="223"/>
      <c r="BS2394" s="223"/>
      <c r="BT2394" s="223"/>
      <c r="BU2394" s="223"/>
      <c r="BV2394" s="223"/>
      <c r="BW2394" s="223"/>
      <c r="BX2394" s="223"/>
      <c r="BY2394" s="223"/>
      <c r="BZ2394" s="223"/>
      <c r="CA2394" s="223"/>
      <c r="CB2394" s="223"/>
      <c r="CC2394" s="223"/>
      <c r="CD2394" s="223"/>
      <c r="CE2394" s="223"/>
      <c r="CF2394" s="223"/>
      <c r="CG2394" s="223"/>
      <c r="CH2394" s="223"/>
      <c r="CI2394" s="223"/>
      <c r="CJ2394" s="223"/>
      <c r="CK2394" s="223"/>
      <c r="CL2394" s="223"/>
      <c r="CM2394" s="223"/>
      <c r="CN2394" s="223"/>
      <c r="CO2394" s="223"/>
      <c r="CP2394" s="223"/>
      <c r="CQ2394" s="223"/>
      <c r="CR2394" s="223"/>
      <c r="CS2394" s="223"/>
      <c r="CT2394" s="223"/>
      <c r="CU2394" s="223"/>
      <c r="CV2394" s="223"/>
      <c r="CW2394" s="223"/>
      <c r="CX2394" s="223"/>
      <c r="CY2394" s="223"/>
      <c r="CZ2394" s="223"/>
      <c r="DA2394" s="223"/>
      <c r="DB2394" s="223"/>
      <c r="DC2394" s="223"/>
      <c r="DD2394" s="223"/>
      <c r="DE2394" s="223"/>
      <c r="DF2394" s="223"/>
      <c r="DG2394" s="223"/>
      <c r="DH2394" s="223"/>
      <c r="DI2394" s="223"/>
      <c r="DJ2394" s="223"/>
      <c r="DK2394" s="223"/>
      <c r="DL2394" s="223"/>
      <c r="DM2394" s="223"/>
      <c r="DN2394" s="223"/>
      <c r="DO2394" s="223"/>
      <c r="DP2394" s="223"/>
      <c r="DQ2394" s="223"/>
      <c r="DR2394" s="223"/>
      <c r="DS2394" s="223"/>
      <c r="DT2394" s="223"/>
      <c r="DU2394" s="223"/>
      <c r="DV2394" s="223"/>
      <c r="DW2394" s="223"/>
      <c r="DX2394" s="223"/>
      <c r="DY2394" s="223"/>
      <c r="DZ2394" s="223"/>
      <c r="EA2394" s="223"/>
      <c r="EB2394" s="223"/>
      <c r="EC2394" s="223"/>
      <c r="ED2394" s="223"/>
      <c r="EE2394" s="223"/>
      <c r="EF2394" s="223"/>
      <c r="EG2394" s="223"/>
      <c r="EH2394" s="223"/>
      <c r="EI2394" s="223"/>
      <c r="EJ2394" s="223"/>
      <c r="EK2394" s="223"/>
      <c r="EL2394" s="223"/>
      <c r="EM2394" s="223"/>
      <c r="EN2394" s="223"/>
      <c r="EO2394" s="223"/>
      <c r="EP2394" s="223"/>
      <c r="EQ2394" s="223"/>
      <c r="ER2394" s="223"/>
      <c r="ES2394" s="223"/>
      <c r="ET2394" s="223"/>
      <c r="EU2394" s="223"/>
      <c r="EV2394" s="223"/>
      <c r="EW2394" s="223"/>
      <c r="EX2394" s="223"/>
      <c r="EY2394" s="223"/>
      <c r="EZ2394" s="223"/>
      <c r="FA2394" s="223"/>
      <c r="FB2394" s="223"/>
      <c r="FC2394" s="223"/>
      <c r="FD2394" s="223"/>
      <c r="FE2394" s="223"/>
      <c r="FF2394" s="223"/>
      <c r="FG2394" s="223"/>
      <c r="FH2394" s="223"/>
      <c r="FI2394" s="223"/>
      <c r="FJ2394" s="223"/>
      <c r="FK2394" s="223"/>
      <c r="FL2394" s="223"/>
      <c r="FM2394" s="223"/>
      <c r="FN2394" s="223"/>
      <c r="FO2394" s="223"/>
      <c r="FP2394" s="223"/>
      <c r="FQ2394" s="223"/>
      <c r="FR2394" s="223"/>
      <c r="FS2394" s="223"/>
      <c r="FT2394" s="223"/>
      <c r="FU2394" s="223"/>
      <c r="FV2394" s="223"/>
      <c r="FW2394" s="223"/>
      <c r="FX2394" s="223"/>
      <c r="FY2394" s="223"/>
      <c r="FZ2394" s="223"/>
      <c r="GA2394" s="223"/>
      <c r="GB2394" s="223"/>
      <c r="GC2394" s="223"/>
      <c r="GD2394" s="223"/>
      <c r="GE2394" s="223"/>
      <c r="GF2394" s="223"/>
      <c r="GG2394" s="223"/>
      <c r="GH2394" s="223"/>
      <c r="GI2394" s="223"/>
      <c r="GJ2394" s="223"/>
      <c r="GK2394" s="223"/>
      <c r="GL2394" s="223"/>
      <c r="GM2394" s="223"/>
      <c r="GN2394" s="223"/>
      <c r="GO2394" s="223"/>
      <c r="GP2394" s="223"/>
      <c r="GQ2394" s="223"/>
      <c r="GR2394" s="223"/>
      <c r="GS2394" s="223"/>
      <c r="GT2394" s="223"/>
      <c r="GU2394" s="223"/>
      <c r="GV2394" s="223"/>
      <c r="GW2394" s="223"/>
      <c r="GX2394" s="223"/>
      <c r="GY2394" s="223"/>
      <c r="GZ2394" s="223"/>
      <c r="HA2394" s="223"/>
      <c r="HB2394" s="223"/>
      <c r="HC2394" s="223"/>
      <c r="HD2394" s="223"/>
      <c r="HE2394" s="223"/>
      <c r="HF2394" s="223"/>
      <c r="HG2394" s="223"/>
      <c r="HH2394" s="223"/>
      <c r="HI2394" s="223"/>
      <c r="HJ2394" s="223"/>
      <c r="HK2394" s="223"/>
      <c r="HL2394" s="223"/>
      <c r="HM2394" s="223"/>
      <c r="HN2394" s="223"/>
      <c r="HO2394" s="223"/>
      <c r="HP2394" s="223"/>
      <c r="HQ2394" s="223"/>
      <c r="HR2394" s="223"/>
      <c r="HS2394" s="223"/>
      <c r="HT2394" s="223"/>
      <c r="HU2394" s="223"/>
      <c r="HV2394" s="223"/>
      <c r="HW2394" s="223"/>
      <c r="HX2394" s="223"/>
      <c r="HY2394" s="223"/>
      <c r="HZ2394" s="223"/>
      <c r="IA2394" s="223"/>
      <c r="IB2394" s="223"/>
      <c r="IC2394" s="223"/>
      <c r="ID2394" s="223"/>
      <c r="IE2394" s="223"/>
      <c r="IF2394" s="223"/>
      <c r="IG2394" s="223"/>
      <c r="IH2394" s="223"/>
      <c r="II2394" s="223"/>
      <c r="IJ2394" s="223"/>
      <c r="IK2394" s="223"/>
      <c r="IL2394" s="223"/>
      <c r="IM2394" s="223"/>
      <c r="IN2394" s="223"/>
      <c r="IO2394" s="223"/>
      <c r="IP2394" s="223"/>
      <c r="IQ2394" s="223"/>
      <c r="IR2394" s="223"/>
      <c r="IS2394" s="223"/>
      <c r="IT2394" s="223"/>
      <c r="IU2394" s="223"/>
      <c r="IV2394" s="223"/>
    </row>
    <row r="2395" spans="46:256" s="221" customFormat="1" x14ac:dyDescent="0.2">
      <c r="AT2395" s="222"/>
      <c r="AU2395" s="222"/>
      <c r="BD2395" s="223"/>
      <c r="BE2395" s="223"/>
      <c r="BF2395" s="223"/>
      <c r="BG2395" s="223"/>
      <c r="BH2395" s="223"/>
      <c r="BI2395" s="223"/>
      <c r="BJ2395" s="223"/>
      <c r="BK2395" s="223"/>
      <c r="BL2395" s="223"/>
      <c r="BM2395" s="223"/>
      <c r="BN2395" s="223"/>
      <c r="BO2395" s="223"/>
      <c r="BP2395" s="223"/>
      <c r="BQ2395" s="223"/>
      <c r="BR2395" s="223"/>
      <c r="BS2395" s="223"/>
      <c r="BT2395" s="223"/>
      <c r="BU2395" s="223"/>
      <c r="BV2395" s="223"/>
      <c r="BW2395" s="223"/>
      <c r="BX2395" s="223"/>
      <c r="BY2395" s="223"/>
      <c r="BZ2395" s="223"/>
      <c r="CA2395" s="223"/>
      <c r="CB2395" s="223"/>
      <c r="CC2395" s="223"/>
      <c r="CD2395" s="223"/>
      <c r="CE2395" s="223"/>
      <c r="CF2395" s="223"/>
      <c r="CG2395" s="223"/>
      <c r="CH2395" s="223"/>
      <c r="CI2395" s="223"/>
      <c r="CJ2395" s="223"/>
      <c r="CK2395" s="223"/>
      <c r="CL2395" s="223"/>
      <c r="CM2395" s="223"/>
      <c r="CN2395" s="223"/>
      <c r="CO2395" s="223"/>
      <c r="CP2395" s="223"/>
      <c r="CQ2395" s="223"/>
      <c r="CR2395" s="223"/>
      <c r="CS2395" s="223"/>
      <c r="CT2395" s="223"/>
      <c r="CU2395" s="223"/>
      <c r="CV2395" s="223"/>
      <c r="CW2395" s="223"/>
      <c r="CX2395" s="223"/>
      <c r="CY2395" s="223"/>
      <c r="CZ2395" s="223"/>
      <c r="DA2395" s="223"/>
      <c r="DB2395" s="223"/>
      <c r="DC2395" s="223"/>
      <c r="DD2395" s="223"/>
      <c r="DE2395" s="223"/>
      <c r="DF2395" s="223"/>
      <c r="DG2395" s="223"/>
      <c r="DH2395" s="223"/>
      <c r="DI2395" s="223"/>
      <c r="DJ2395" s="223"/>
      <c r="DK2395" s="223"/>
      <c r="DL2395" s="223"/>
      <c r="DM2395" s="223"/>
      <c r="DN2395" s="223"/>
      <c r="DO2395" s="223"/>
      <c r="DP2395" s="223"/>
      <c r="DQ2395" s="223"/>
      <c r="DR2395" s="223"/>
      <c r="DS2395" s="223"/>
      <c r="DT2395" s="223"/>
      <c r="DU2395" s="223"/>
      <c r="DV2395" s="223"/>
      <c r="DW2395" s="223"/>
      <c r="DX2395" s="223"/>
      <c r="DY2395" s="223"/>
      <c r="DZ2395" s="223"/>
      <c r="EA2395" s="223"/>
      <c r="EB2395" s="223"/>
      <c r="EC2395" s="223"/>
      <c r="ED2395" s="223"/>
      <c r="EE2395" s="223"/>
      <c r="EF2395" s="223"/>
      <c r="EG2395" s="223"/>
      <c r="EH2395" s="223"/>
      <c r="EI2395" s="223"/>
      <c r="EJ2395" s="223"/>
      <c r="EK2395" s="223"/>
      <c r="EL2395" s="223"/>
      <c r="EM2395" s="223"/>
      <c r="EN2395" s="223"/>
      <c r="EO2395" s="223"/>
      <c r="EP2395" s="223"/>
      <c r="EQ2395" s="223"/>
      <c r="ER2395" s="223"/>
      <c r="ES2395" s="223"/>
      <c r="ET2395" s="223"/>
      <c r="EU2395" s="223"/>
      <c r="EV2395" s="223"/>
      <c r="EW2395" s="223"/>
      <c r="EX2395" s="223"/>
      <c r="EY2395" s="223"/>
      <c r="EZ2395" s="223"/>
      <c r="FA2395" s="223"/>
      <c r="FB2395" s="223"/>
      <c r="FC2395" s="223"/>
      <c r="FD2395" s="223"/>
      <c r="FE2395" s="223"/>
      <c r="FF2395" s="223"/>
      <c r="FG2395" s="223"/>
      <c r="FH2395" s="223"/>
      <c r="FI2395" s="223"/>
      <c r="FJ2395" s="223"/>
      <c r="FK2395" s="223"/>
      <c r="FL2395" s="223"/>
      <c r="FM2395" s="223"/>
      <c r="FN2395" s="223"/>
      <c r="FO2395" s="223"/>
      <c r="FP2395" s="223"/>
      <c r="FQ2395" s="223"/>
      <c r="FR2395" s="223"/>
      <c r="FS2395" s="223"/>
      <c r="FT2395" s="223"/>
      <c r="FU2395" s="223"/>
      <c r="FV2395" s="223"/>
      <c r="FW2395" s="223"/>
      <c r="FX2395" s="223"/>
      <c r="FY2395" s="223"/>
      <c r="FZ2395" s="223"/>
      <c r="GA2395" s="223"/>
      <c r="GB2395" s="223"/>
      <c r="GC2395" s="223"/>
      <c r="GD2395" s="223"/>
      <c r="GE2395" s="223"/>
      <c r="GF2395" s="223"/>
      <c r="GG2395" s="223"/>
      <c r="GH2395" s="223"/>
      <c r="GI2395" s="223"/>
      <c r="GJ2395" s="223"/>
      <c r="GK2395" s="223"/>
      <c r="GL2395" s="223"/>
      <c r="GM2395" s="223"/>
      <c r="GN2395" s="223"/>
      <c r="GO2395" s="223"/>
      <c r="GP2395" s="223"/>
      <c r="GQ2395" s="223"/>
      <c r="GR2395" s="223"/>
      <c r="GS2395" s="223"/>
      <c r="GT2395" s="223"/>
      <c r="GU2395" s="223"/>
      <c r="GV2395" s="223"/>
      <c r="GW2395" s="223"/>
      <c r="GX2395" s="223"/>
      <c r="GY2395" s="223"/>
      <c r="GZ2395" s="223"/>
      <c r="HA2395" s="223"/>
      <c r="HB2395" s="223"/>
      <c r="HC2395" s="223"/>
      <c r="HD2395" s="223"/>
      <c r="HE2395" s="223"/>
      <c r="HF2395" s="223"/>
      <c r="HG2395" s="223"/>
      <c r="HH2395" s="223"/>
      <c r="HI2395" s="223"/>
      <c r="HJ2395" s="223"/>
      <c r="HK2395" s="223"/>
      <c r="HL2395" s="223"/>
      <c r="HM2395" s="223"/>
      <c r="HN2395" s="223"/>
      <c r="HO2395" s="223"/>
      <c r="HP2395" s="223"/>
      <c r="HQ2395" s="223"/>
      <c r="HR2395" s="223"/>
      <c r="HS2395" s="223"/>
      <c r="HT2395" s="223"/>
      <c r="HU2395" s="223"/>
      <c r="HV2395" s="223"/>
      <c r="HW2395" s="223"/>
      <c r="HX2395" s="223"/>
      <c r="HY2395" s="223"/>
      <c r="HZ2395" s="223"/>
      <c r="IA2395" s="223"/>
      <c r="IB2395" s="223"/>
      <c r="IC2395" s="223"/>
      <c r="ID2395" s="223"/>
      <c r="IE2395" s="223"/>
      <c r="IF2395" s="223"/>
      <c r="IG2395" s="223"/>
      <c r="IH2395" s="223"/>
      <c r="II2395" s="223"/>
      <c r="IJ2395" s="223"/>
      <c r="IK2395" s="223"/>
      <c r="IL2395" s="223"/>
      <c r="IM2395" s="223"/>
      <c r="IN2395" s="223"/>
      <c r="IO2395" s="223"/>
      <c r="IP2395" s="223"/>
      <c r="IQ2395" s="223"/>
      <c r="IR2395" s="223"/>
      <c r="IS2395" s="223"/>
      <c r="IT2395" s="223"/>
      <c r="IU2395" s="223"/>
      <c r="IV2395" s="223"/>
    </row>
    <row r="2396" spans="46:256" s="221" customFormat="1" x14ac:dyDescent="0.2">
      <c r="AT2396" s="222"/>
      <c r="AU2396" s="222"/>
      <c r="BD2396" s="223"/>
      <c r="BE2396" s="223"/>
      <c r="BF2396" s="223"/>
      <c r="BG2396" s="223"/>
      <c r="BH2396" s="223"/>
      <c r="BI2396" s="223"/>
      <c r="BJ2396" s="223"/>
      <c r="BK2396" s="223"/>
      <c r="BL2396" s="223"/>
      <c r="BM2396" s="223"/>
      <c r="BN2396" s="223"/>
      <c r="BO2396" s="223"/>
      <c r="BP2396" s="223"/>
      <c r="BQ2396" s="223"/>
      <c r="BR2396" s="223"/>
      <c r="BS2396" s="223"/>
      <c r="BT2396" s="223"/>
      <c r="BU2396" s="223"/>
      <c r="BV2396" s="223"/>
      <c r="BW2396" s="223"/>
      <c r="BX2396" s="223"/>
      <c r="BY2396" s="223"/>
      <c r="BZ2396" s="223"/>
      <c r="CA2396" s="223"/>
      <c r="CB2396" s="223"/>
      <c r="CC2396" s="223"/>
      <c r="CD2396" s="223"/>
      <c r="CE2396" s="223"/>
      <c r="CF2396" s="223"/>
      <c r="CG2396" s="223"/>
      <c r="CH2396" s="223"/>
      <c r="CI2396" s="223"/>
      <c r="CJ2396" s="223"/>
      <c r="CK2396" s="223"/>
      <c r="CL2396" s="223"/>
      <c r="CM2396" s="223"/>
      <c r="CN2396" s="223"/>
      <c r="CO2396" s="223"/>
      <c r="CP2396" s="223"/>
      <c r="CQ2396" s="223"/>
      <c r="CR2396" s="223"/>
      <c r="CS2396" s="223"/>
      <c r="CT2396" s="223"/>
      <c r="CU2396" s="223"/>
      <c r="CV2396" s="223"/>
      <c r="CW2396" s="223"/>
      <c r="CX2396" s="223"/>
      <c r="CY2396" s="223"/>
      <c r="CZ2396" s="223"/>
      <c r="DA2396" s="223"/>
      <c r="DB2396" s="223"/>
      <c r="DC2396" s="223"/>
      <c r="DD2396" s="223"/>
      <c r="DE2396" s="223"/>
      <c r="DF2396" s="223"/>
      <c r="DG2396" s="223"/>
      <c r="DH2396" s="223"/>
      <c r="DI2396" s="223"/>
      <c r="DJ2396" s="223"/>
      <c r="DK2396" s="223"/>
      <c r="DL2396" s="223"/>
      <c r="DM2396" s="223"/>
      <c r="DN2396" s="223"/>
      <c r="DO2396" s="223"/>
      <c r="DP2396" s="223"/>
      <c r="DQ2396" s="223"/>
      <c r="DR2396" s="223"/>
      <c r="DS2396" s="223"/>
      <c r="DT2396" s="223"/>
      <c r="DU2396" s="223"/>
      <c r="DV2396" s="223"/>
      <c r="DW2396" s="223"/>
      <c r="DX2396" s="223"/>
      <c r="DY2396" s="223"/>
      <c r="DZ2396" s="223"/>
      <c r="EA2396" s="223"/>
      <c r="EB2396" s="223"/>
      <c r="EC2396" s="223"/>
      <c r="ED2396" s="223"/>
      <c r="EE2396" s="223"/>
      <c r="EF2396" s="223"/>
      <c r="EG2396" s="223"/>
      <c r="EH2396" s="223"/>
      <c r="EI2396" s="223"/>
      <c r="EJ2396" s="223"/>
      <c r="EK2396" s="223"/>
      <c r="EL2396" s="223"/>
      <c r="EM2396" s="223"/>
      <c r="EN2396" s="223"/>
      <c r="EO2396" s="223"/>
      <c r="EP2396" s="223"/>
      <c r="EQ2396" s="223"/>
      <c r="ER2396" s="223"/>
      <c r="ES2396" s="223"/>
      <c r="ET2396" s="223"/>
      <c r="EU2396" s="223"/>
      <c r="EV2396" s="223"/>
      <c r="EW2396" s="223"/>
      <c r="EX2396" s="223"/>
      <c r="EY2396" s="223"/>
      <c r="EZ2396" s="223"/>
      <c r="FA2396" s="223"/>
      <c r="FB2396" s="223"/>
      <c r="FC2396" s="223"/>
      <c r="FD2396" s="223"/>
      <c r="FE2396" s="223"/>
      <c r="FF2396" s="223"/>
      <c r="FG2396" s="223"/>
      <c r="FH2396" s="223"/>
      <c r="FI2396" s="223"/>
      <c r="FJ2396" s="223"/>
      <c r="FK2396" s="223"/>
      <c r="FL2396" s="223"/>
      <c r="FM2396" s="223"/>
      <c r="FN2396" s="223"/>
      <c r="FO2396" s="223"/>
      <c r="FP2396" s="223"/>
      <c r="FQ2396" s="223"/>
      <c r="FR2396" s="223"/>
      <c r="FS2396" s="223"/>
      <c r="FT2396" s="223"/>
      <c r="FU2396" s="223"/>
      <c r="FV2396" s="223"/>
      <c r="FW2396" s="223"/>
      <c r="FX2396" s="223"/>
      <c r="FY2396" s="223"/>
      <c r="FZ2396" s="223"/>
      <c r="GA2396" s="223"/>
      <c r="GB2396" s="223"/>
      <c r="GC2396" s="223"/>
      <c r="GD2396" s="223"/>
      <c r="GE2396" s="223"/>
      <c r="GF2396" s="223"/>
      <c r="GG2396" s="223"/>
      <c r="GH2396" s="223"/>
      <c r="GI2396" s="223"/>
      <c r="GJ2396" s="223"/>
      <c r="GK2396" s="223"/>
      <c r="GL2396" s="223"/>
      <c r="GM2396" s="223"/>
      <c r="GN2396" s="223"/>
      <c r="GO2396" s="223"/>
      <c r="GP2396" s="223"/>
      <c r="GQ2396" s="223"/>
      <c r="GR2396" s="223"/>
      <c r="GS2396" s="223"/>
      <c r="GT2396" s="223"/>
      <c r="GU2396" s="223"/>
      <c r="GV2396" s="223"/>
      <c r="GW2396" s="223"/>
      <c r="GX2396" s="223"/>
      <c r="GY2396" s="223"/>
      <c r="GZ2396" s="223"/>
      <c r="HA2396" s="223"/>
      <c r="HB2396" s="223"/>
      <c r="HC2396" s="223"/>
      <c r="HD2396" s="223"/>
      <c r="HE2396" s="223"/>
      <c r="HF2396" s="223"/>
      <c r="HG2396" s="223"/>
      <c r="HH2396" s="223"/>
      <c r="HI2396" s="223"/>
      <c r="HJ2396" s="223"/>
      <c r="HK2396" s="223"/>
      <c r="HL2396" s="223"/>
      <c r="HM2396" s="223"/>
      <c r="HN2396" s="223"/>
      <c r="HO2396" s="223"/>
      <c r="HP2396" s="223"/>
      <c r="HQ2396" s="223"/>
      <c r="HR2396" s="223"/>
      <c r="HS2396" s="223"/>
      <c r="HT2396" s="223"/>
      <c r="HU2396" s="223"/>
      <c r="HV2396" s="223"/>
      <c r="HW2396" s="223"/>
      <c r="HX2396" s="223"/>
      <c r="HY2396" s="223"/>
      <c r="HZ2396" s="223"/>
      <c r="IA2396" s="223"/>
      <c r="IB2396" s="223"/>
      <c r="IC2396" s="223"/>
      <c r="ID2396" s="223"/>
      <c r="IE2396" s="223"/>
      <c r="IF2396" s="223"/>
      <c r="IG2396" s="223"/>
      <c r="IH2396" s="223"/>
      <c r="II2396" s="223"/>
      <c r="IJ2396" s="223"/>
      <c r="IK2396" s="223"/>
      <c r="IL2396" s="223"/>
      <c r="IM2396" s="223"/>
      <c r="IN2396" s="223"/>
      <c r="IO2396" s="223"/>
      <c r="IP2396" s="223"/>
      <c r="IQ2396" s="223"/>
      <c r="IR2396" s="223"/>
      <c r="IS2396" s="223"/>
      <c r="IT2396" s="223"/>
      <c r="IU2396" s="223"/>
      <c r="IV2396" s="223"/>
    </row>
    <row r="2397" spans="46:256" s="221" customFormat="1" x14ac:dyDescent="0.2">
      <c r="AT2397" s="222"/>
      <c r="AU2397" s="222"/>
      <c r="BD2397" s="223"/>
      <c r="BE2397" s="223"/>
      <c r="BF2397" s="223"/>
      <c r="BG2397" s="223"/>
      <c r="BH2397" s="223"/>
      <c r="BI2397" s="223"/>
      <c r="BJ2397" s="223"/>
      <c r="BK2397" s="223"/>
      <c r="BL2397" s="223"/>
      <c r="BM2397" s="223"/>
      <c r="BN2397" s="223"/>
      <c r="BO2397" s="223"/>
      <c r="BP2397" s="223"/>
      <c r="BQ2397" s="223"/>
      <c r="BR2397" s="223"/>
      <c r="BS2397" s="223"/>
      <c r="BT2397" s="223"/>
      <c r="BU2397" s="223"/>
      <c r="BV2397" s="223"/>
      <c r="BW2397" s="223"/>
      <c r="BX2397" s="223"/>
      <c r="BY2397" s="223"/>
      <c r="BZ2397" s="223"/>
      <c r="CA2397" s="223"/>
      <c r="CB2397" s="223"/>
      <c r="CC2397" s="223"/>
      <c r="CD2397" s="223"/>
      <c r="CE2397" s="223"/>
      <c r="CF2397" s="223"/>
      <c r="CG2397" s="223"/>
      <c r="CH2397" s="223"/>
      <c r="CI2397" s="223"/>
      <c r="CJ2397" s="223"/>
      <c r="CK2397" s="223"/>
      <c r="CL2397" s="223"/>
      <c r="CM2397" s="223"/>
      <c r="CN2397" s="223"/>
      <c r="CO2397" s="223"/>
      <c r="CP2397" s="223"/>
      <c r="CQ2397" s="223"/>
      <c r="CR2397" s="223"/>
      <c r="CS2397" s="223"/>
      <c r="CT2397" s="223"/>
      <c r="CU2397" s="223"/>
      <c r="CV2397" s="223"/>
      <c r="CW2397" s="223"/>
      <c r="CX2397" s="223"/>
      <c r="CY2397" s="223"/>
      <c r="CZ2397" s="223"/>
      <c r="DA2397" s="223"/>
      <c r="DB2397" s="223"/>
      <c r="DC2397" s="223"/>
      <c r="DD2397" s="223"/>
      <c r="DE2397" s="223"/>
      <c r="DF2397" s="223"/>
      <c r="DG2397" s="223"/>
      <c r="DH2397" s="223"/>
      <c r="DI2397" s="223"/>
      <c r="DJ2397" s="223"/>
      <c r="DK2397" s="223"/>
      <c r="DL2397" s="223"/>
      <c r="DM2397" s="223"/>
      <c r="DN2397" s="223"/>
      <c r="DO2397" s="223"/>
      <c r="DP2397" s="223"/>
      <c r="DQ2397" s="223"/>
      <c r="DR2397" s="223"/>
      <c r="DS2397" s="223"/>
      <c r="DT2397" s="223"/>
      <c r="DU2397" s="223"/>
      <c r="DV2397" s="223"/>
      <c r="DW2397" s="223"/>
      <c r="DX2397" s="223"/>
      <c r="DY2397" s="223"/>
      <c r="DZ2397" s="223"/>
      <c r="EA2397" s="223"/>
      <c r="EB2397" s="223"/>
      <c r="EC2397" s="223"/>
      <c r="ED2397" s="223"/>
      <c r="EE2397" s="223"/>
      <c r="EF2397" s="223"/>
      <c r="EG2397" s="223"/>
      <c r="EH2397" s="223"/>
      <c r="EI2397" s="223"/>
      <c r="EJ2397" s="223"/>
      <c r="EK2397" s="223"/>
      <c r="EL2397" s="223"/>
      <c r="EM2397" s="223"/>
      <c r="EN2397" s="223"/>
      <c r="EO2397" s="223"/>
      <c r="EP2397" s="223"/>
      <c r="EQ2397" s="223"/>
      <c r="ER2397" s="223"/>
      <c r="ES2397" s="223"/>
      <c r="ET2397" s="223"/>
      <c r="EU2397" s="223"/>
      <c r="EV2397" s="223"/>
      <c r="EW2397" s="223"/>
      <c r="EX2397" s="223"/>
      <c r="EY2397" s="223"/>
      <c r="EZ2397" s="223"/>
      <c r="FA2397" s="223"/>
      <c r="FB2397" s="223"/>
      <c r="FC2397" s="223"/>
      <c r="FD2397" s="223"/>
      <c r="FE2397" s="223"/>
      <c r="FF2397" s="223"/>
      <c r="FG2397" s="223"/>
      <c r="FH2397" s="223"/>
      <c r="FI2397" s="223"/>
      <c r="FJ2397" s="223"/>
      <c r="FK2397" s="223"/>
      <c r="FL2397" s="223"/>
      <c r="FM2397" s="223"/>
      <c r="FN2397" s="223"/>
      <c r="FO2397" s="223"/>
      <c r="FP2397" s="223"/>
      <c r="FQ2397" s="223"/>
      <c r="FR2397" s="223"/>
      <c r="FS2397" s="223"/>
      <c r="FT2397" s="223"/>
      <c r="FU2397" s="223"/>
      <c r="FV2397" s="223"/>
      <c r="FW2397" s="223"/>
      <c r="FX2397" s="223"/>
      <c r="FY2397" s="223"/>
      <c r="FZ2397" s="223"/>
      <c r="GA2397" s="223"/>
      <c r="GB2397" s="223"/>
      <c r="GC2397" s="223"/>
      <c r="GD2397" s="223"/>
      <c r="GE2397" s="223"/>
      <c r="GF2397" s="223"/>
      <c r="GG2397" s="223"/>
      <c r="GH2397" s="223"/>
      <c r="GI2397" s="223"/>
      <c r="GJ2397" s="223"/>
      <c r="GK2397" s="223"/>
      <c r="GL2397" s="223"/>
      <c r="GM2397" s="223"/>
      <c r="GN2397" s="223"/>
      <c r="GO2397" s="223"/>
      <c r="GP2397" s="223"/>
      <c r="GQ2397" s="223"/>
      <c r="GR2397" s="223"/>
      <c r="GS2397" s="223"/>
      <c r="GT2397" s="223"/>
      <c r="GU2397" s="223"/>
      <c r="GV2397" s="223"/>
      <c r="GW2397" s="223"/>
      <c r="GX2397" s="223"/>
      <c r="GY2397" s="223"/>
      <c r="GZ2397" s="223"/>
      <c r="HA2397" s="223"/>
      <c r="HB2397" s="223"/>
      <c r="HC2397" s="223"/>
      <c r="HD2397" s="223"/>
      <c r="HE2397" s="223"/>
      <c r="HF2397" s="223"/>
      <c r="HG2397" s="223"/>
      <c r="HH2397" s="223"/>
      <c r="HI2397" s="223"/>
      <c r="HJ2397" s="223"/>
      <c r="HK2397" s="223"/>
      <c r="HL2397" s="223"/>
      <c r="HM2397" s="223"/>
      <c r="HN2397" s="223"/>
      <c r="HO2397" s="223"/>
      <c r="HP2397" s="223"/>
      <c r="HQ2397" s="223"/>
      <c r="HR2397" s="223"/>
      <c r="HS2397" s="223"/>
      <c r="HT2397" s="223"/>
      <c r="HU2397" s="223"/>
      <c r="HV2397" s="223"/>
      <c r="HW2397" s="223"/>
      <c r="HX2397" s="223"/>
      <c r="HY2397" s="223"/>
      <c r="HZ2397" s="223"/>
      <c r="IA2397" s="223"/>
      <c r="IB2397" s="223"/>
      <c r="IC2397" s="223"/>
      <c r="ID2397" s="223"/>
      <c r="IE2397" s="223"/>
      <c r="IF2397" s="223"/>
      <c r="IG2397" s="223"/>
      <c r="IH2397" s="223"/>
      <c r="II2397" s="223"/>
      <c r="IJ2397" s="223"/>
      <c r="IK2397" s="223"/>
      <c r="IL2397" s="223"/>
      <c r="IM2397" s="223"/>
      <c r="IN2397" s="223"/>
      <c r="IO2397" s="223"/>
      <c r="IP2397" s="223"/>
      <c r="IQ2397" s="223"/>
      <c r="IR2397" s="223"/>
      <c r="IS2397" s="223"/>
      <c r="IT2397" s="223"/>
      <c r="IU2397" s="223"/>
      <c r="IV2397" s="223"/>
    </row>
    <row r="2398" spans="46:256" s="221" customFormat="1" x14ac:dyDescent="0.2">
      <c r="AT2398" s="222"/>
      <c r="AU2398" s="222"/>
      <c r="BD2398" s="223"/>
      <c r="BE2398" s="223"/>
      <c r="BF2398" s="223"/>
      <c r="BG2398" s="223"/>
      <c r="BH2398" s="223"/>
      <c r="BI2398" s="223"/>
      <c r="BJ2398" s="223"/>
      <c r="BK2398" s="223"/>
      <c r="BL2398" s="223"/>
      <c r="BM2398" s="223"/>
      <c r="BN2398" s="223"/>
      <c r="BO2398" s="223"/>
      <c r="BP2398" s="223"/>
      <c r="BQ2398" s="223"/>
      <c r="BR2398" s="223"/>
      <c r="BS2398" s="223"/>
      <c r="BT2398" s="223"/>
      <c r="BU2398" s="223"/>
      <c r="BV2398" s="223"/>
      <c r="BW2398" s="223"/>
      <c r="BX2398" s="223"/>
      <c r="BY2398" s="223"/>
      <c r="BZ2398" s="223"/>
      <c r="CA2398" s="223"/>
      <c r="CB2398" s="223"/>
      <c r="CC2398" s="223"/>
      <c r="CD2398" s="223"/>
      <c r="CE2398" s="223"/>
      <c r="CF2398" s="223"/>
      <c r="CG2398" s="223"/>
      <c r="CH2398" s="223"/>
      <c r="CI2398" s="223"/>
      <c r="CJ2398" s="223"/>
      <c r="CK2398" s="223"/>
      <c r="CL2398" s="223"/>
      <c r="CM2398" s="223"/>
      <c r="CN2398" s="223"/>
      <c r="CO2398" s="223"/>
      <c r="CP2398" s="223"/>
      <c r="CQ2398" s="223"/>
      <c r="CR2398" s="223"/>
      <c r="CS2398" s="223"/>
      <c r="CT2398" s="223"/>
      <c r="CU2398" s="223"/>
      <c r="CV2398" s="223"/>
      <c r="CW2398" s="223"/>
      <c r="CX2398" s="223"/>
      <c r="CY2398" s="223"/>
      <c r="CZ2398" s="223"/>
      <c r="DA2398" s="223"/>
      <c r="DB2398" s="223"/>
      <c r="DC2398" s="223"/>
      <c r="DD2398" s="223"/>
      <c r="DE2398" s="223"/>
      <c r="DF2398" s="223"/>
      <c r="DG2398" s="223"/>
      <c r="DH2398" s="223"/>
      <c r="DI2398" s="223"/>
      <c r="DJ2398" s="223"/>
      <c r="DK2398" s="223"/>
      <c r="DL2398" s="223"/>
      <c r="DM2398" s="223"/>
      <c r="DN2398" s="223"/>
      <c r="DO2398" s="223"/>
      <c r="DP2398" s="223"/>
      <c r="DQ2398" s="223"/>
      <c r="DR2398" s="223"/>
      <c r="DS2398" s="223"/>
      <c r="DT2398" s="223"/>
      <c r="DU2398" s="223"/>
      <c r="DV2398" s="223"/>
      <c r="DW2398" s="223"/>
      <c r="DX2398" s="223"/>
      <c r="DY2398" s="223"/>
      <c r="DZ2398" s="223"/>
      <c r="EA2398" s="223"/>
      <c r="EB2398" s="223"/>
      <c r="EC2398" s="223"/>
      <c r="ED2398" s="223"/>
      <c r="EE2398" s="223"/>
      <c r="EF2398" s="223"/>
      <c r="EG2398" s="223"/>
      <c r="EH2398" s="223"/>
      <c r="EI2398" s="223"/>
      <c r="EJ2398" s="223"/>
      <c r="EK2398" s="223"/>
      <c r="EL2398" s="223"/>
      <c r="EM2398" s="223"/>
      <c r="EN2398" s="223"/>
      <c r="EO2398" s="223"/>
      <c r="EP2398" s="223"/>
      <c r="EQ2398" s="223"/>
      <c r="ER2398" s="223"/>
      <c r="ES2398" s="223"/>
      <c r="ET2398" s="223"/>
      <c r="EU2398" s="223"/>
      <c r="EV2398" s="223"/>
      <c r="EW2398" s="223"/>
      <c r="EX2398" s="223"/>
      <c r="EY2398" s="223"/>
      <c r="EZ2398" s="223"/>
      <c r="FA2398" s="223"/>
      <c r="FB2398" s="223"/>
      <c r="FC2398" s="223"/>
      <c r="FD2398" s="223"/>
      <c r="FE2398" s="223"/>
      <c r="FF2398" s="223"/>
      <c r="FG2398" s="223"/>
      <c r="FH2398" s="223"/>
      <c r="FI2398" s="223"/>
      <c r="FJ2398" s="223"/>
      <c r="FK2398" s="223"/>
      <c r="FL2398" s="223"/>
      <c r="FM2398" s="223"/>
      <c r="FN2398" s="223"/>
      <c r="FO2398" s="223"/>
      <c r="FP2398" s="223"/>
      <c r="FQ2398" s="223"/>
      <c r="FR2398" s="223"/>
      <c r="FS2398" s="223"/>
      <c r="FT2398" s="223"/>
      <c r="FU2398" s="223"/>
      <c r="FV2398" s="223"/>
      <c r="FW2398" s="223"/>
      <c r="FX2398" s="223"/>
      <c r="FY2398" s="223"/>
      <c r="FZ2398" s="223"/>
      <c r="GA2398" s="223"/>
      <c r="GB2398" s="223"/>
      <c r="GC2398" s="223"/>
      <c r="GD2398" s="223"/>
      <c r="GE2398" s="223"/>
      <c r="GF2398" s="223"/>
      <c r="GG2398" s="223"/>
      <c r="GH2398" s="223"/>
      <c r="GI2398" s="223"/>
      <c r="GJ2398" s="223"/>
      <c r="GK2398" s="223"/>
      <c r="GL2398" s="223"/>
      <c r="GM2398" s="223"/>
      <c r="GN2398" s="223"/>
      <c r="GO2398" s="223"/>
      <c r="GP2398" s="223"/>
      <c r="GQ2398" s="223"/>
      <c r="GR2398" s="223"/>
      <c r="GS2398" s="223"/>
      <c r="GT2398" s="223"/>
      <c r="GU2398" s="223"/>
      <c r="GV2398" s="223"/>
      <c r="GW2398" s="223"/>
      <c r="GX2398" s="223"/>
      <c r="GY2398" s="223"/>
      <c r="GZ2398" s="223"/>
      <c r="HA2398" s="223"/>
      <c r="HB2398" s="223"/>
      <c r="HC2398" s="223"/>
      <c r="HD2398" s="223"/>
      <c r="HE2398" s="223"/>
      <c r="HF2398" s="223"/>
      <c r="HG2398" s="223"/>
      <c r="HH2398" s="223"/>
      <c r="HI2398" s="223"/>
      <c r="HJ2398" s="223"/>
      <c r="HK2398" s="223"/>
      <c r="HL2398" s="223"/>
      <c r="HM2398" s="223"/>
      <c r="HN2398" s="223"/>
      <c r="HO2398" s="223"/>
      <c r="HP2398" s="223"/>
      <c r="HQ2398" s="223"/>
      <c r="HR2398" s="223"/>
      <c r="HS2398" s="223"/>
      <c r="HT2398" s="223"/>
      <c r="HU2398" s="223"/>
      <c r="HV2398" s="223"/>
      <c r="HW2398" s="223"/>
      <c r="HX2398" s="223"/>
      <c r="HY2398" s="223"/>
      <c r="HZ2398" s="223"/>
      <c r="IA2398" s="223"/>
      <c r="IB2398" s="223"/>
      <c r="IC2398" s="223"/>
      <c r="ID2398" s="223"/>
      <c r="IE2398" s="223"/>
      <c r="IF2398" s="223"/>
      <c r="IG2398" s="223"/>
      <c r="IH2398" s="223"/>
      <c r="II2398" s="223"/>
      <c r="IJ2398" s="223"/>
      <c r="IK2398" s="223"/>
      <c r="IL2398" s="223"/>
      <c r="IM2398" s="223"/>
      <c r="IN2398" s="223"/>
      <c r="IO2398" s="223"/>
      <c r="IP2398" s="223"/>
      <c r="IQ2398" s="223"/>
      <c r="IR2398" s="223"/>
      <c r="IS2398" s="223"/>
      <c r="IT2398" s="223"/>
      <c r="IU2398" s="223"/>
      <c r="IV2398" s="223"/>
    </row>
    <row r="2399" spans="46:256" s="221" customFormat="1" x14ac:dyDescent="0.2">
      <c r="AT2399" s="222"/>
      <c r="AU2399" s="222"/>
      <c r="BD2399" s="223"/>
      <c r="BE2399" s="223"/>
      <c r="BF2399" s="223"/>
      <c r="BG2399" s="223"/>
      <c r="BH2399" s="223"/>
      <c r="BI2399" s="223"/>
      <c r="BJ2399" s="223"/>
      <c r="BK2399" s="223"/>
      <c r="BL2399" s="223"/>
      <c r="BM2399" s="223"/>
      <c r="BN2399" s="223"/>
      <c r="BO2399" s="223"/>
      <c r="BP2399" s="223"/>
      <c r="BQ2399" s="223"/>
      <c r="BR2399" s="223"/>
      <c r="BS2399" s="223"/>
      <c r="BT2399" s="223"/>
      <c r="BU2399" s="223"/>
      <c r="BV2399" s="223"/>
      <c r="BW2399" s="223"/>
      <c r="BX2399" s="223"/>
      <c r="BY2399" s="223"/>
      <c r="BZ2399" s="223"/>
      <c r="CA2399" s="223"/>
      <c r="CB2399" s="223"/>
      <c r="CC2399" s="223"/>
      <c r="CD2399" s="223"/>
      <c r="CE2399" s="223"/>
      <c r="CF2399" s="223"/>
      <c r="CG2399" s="223"/>
      <c r="CH2399" s="223"/>
      <c r="CI2399" s="223"/>
      <c r="CJ2399" s="223"/>
      <c r="CK2399" s="223"/>
      <c r="CL2399" s="223"/>
      <c r="CM2399" s="223"/>
      <c r="CN2399" s="223"/>
      <c r="CO2399" s="223"/>
      <c r="CP2399" s="223"/>
      <c r="CQ2399" s="223"/>
      <c r="CR2399" s="223"/>
      <c r="CS2399" s="223"/>
      <c r="CT2399" s="223"/>
      <c r="CU2399" s="223"/>
      <c r="CV2399" s="223"/>
      <c r="CW2399" s="223"/>
      <c r="CX2399" s="223"/>
      <c r="CY2399" s="223"/>
      <c r="CZ2399" s="223"/>
      <c r="DA2399" s="223"/>
      <c r="DB2399" s="223"/>
      <c r="DC2399" s="223"/>
      <c r="DD2399" s="223"/>
      <c r="DE2399" s="223"/>
      <c r="DF2399" s="223"/>
      <c r="DG2399" s="223"/>
      <c r="DH2399" s="223"/>
      <c r="DI2399" s="223"/>
      <c r="DJ2399" s="223"/>
      <c r="DK2399" s="223"/>
      <c r="DL2399" s="223"/>
      <c r="DM2399" s="223"/>
      <c r="DN2399" s="223"/>
      <c r="DO2399" s="223"/>
      <c r="DP2399" s="223"/>
      <c r="DQ2399" s="223"/>
      <c r="DR2399" s="223"/>
      <c r="DS2399" s="223"/>
      <c r="DT2399" s="223"/>
      <c r="DU2399" s="223"/>
      <c r="DV2399" s="223"/>
      <c r="DW2399" s="223"/>
      <c r="DX2399" s="223"/>
      <c r="DY2399" s="223"/>
      <c r="DZ2399" s="223"/>
      <c r="EA2399" s="223"/>
      <c r="EB2399" s="223"/>
      <c r="EC2399" s="223"/>
      <c r="ED2399" s="223"/>
      <c r="EE2399" s="223"/>
      <c r="EF2399" s="223"/>
      <c r="EG2399" s="223"/>
      <c r="EH2399" s="223"/>
      <c r="EI2399" s="223"/>
      <c r="EJ2399" s="223"/>
      <c r="EK2399" s="223"/>
      <c r="EL2399" s="223"/>
      <c r="EM2399" s="223"/>
      <c r="EN2399" s="223"/>
      <c r="EO2399" s="223"/>
      <c r="EP2399" s="223"/>
      <c r="EQ2399" s="223"/>
      <c r="ER2399" s="223"/>
      <c r="ES2399" s="223"/>
      <c r="ET2399" s="223"/>
      <c r="EU2399" s="223"/>
      <c r="EV2399" s="223"/>
      <c r="EW2399" s="223"/>
      <c r="EX2399" s="223"/>
      <c r="EY2399" s="223"/>
      <c r="EZ2399" s="223"/>
      <c r="FA2399" s="223"/>
      <c r="FB2399" s="223"/>
      <c r="FC2399" s="223"/>
      <c r="FD2399" s="223"/>
      <c r="FE2399" s="223"/>
      <c r="FF2399" s="223"/>
      <c r="FG2399" s="223"/>
      <c r="FH2399" s="223"/>
      <c r="FI2399" s="223"/>
      <c r="FJ2399" s="223"/>
      <c r="FK2399" s="223"/>
      <c r="FL2399" s="223"/>
      <c r="FM2399" s="223"/>
      <c r="FN2399" s="223"/>
      <c r="FO2399" s="223"/>
      <c r="FP2399" s="223"/>
      <c r="FQ2399" s="223"/>
      <c r="FR2399" s="223"/>
      <c r="FS2399" s="223"/>
      <c r="FT2399" s="223"/>
      <c r="FU2399" s="223"/>
      <c r="FV2399" s="223"/>
      <c r="FW2399" s="223"/>
      <c r="FX2399" s="223"/>
      <c r="FY2399" s="223"/>
      <c r="FZ2399" s="223"/>
      <c r="GA2399" s="223"/>
      <c r="GB2399" s="223"/>
      <c r="GC2399" s="223"/>
      <c r="GD2399" s="223"/>
      <c r="GE2399" s="223"/>
      <c r="GF2399" s="223"/>
      <c r="GG2399" s="223"/>
      <c r="GH2399" s="223"/>
      <c r="GI2399" s="223"/>
      <c r="GJ2399" s="223"/>
      <c r="GK2399" s="223"/>
      <c r="GL2399" s="223"/>
      <c r="GM2399" s="223"/>
      <c r="GN2399" s="223"/>
      <c r="GO2399" s="223"/>
      <c r="GP2399" s="223"/>
      <c r="GQ2399" s="223"/>
      <c r="GR2399" s="223"/>
      <c r="GS2399" s="223"/>
      <c r="GT2399" s="223"/>
      <c r="GU2399" s="223"/>
      <c r="GV2399" s="223"/>
      <c r="GW2399" s="223"/>
      <c r="GX2399" s="223"/>
      <c r="GY2399" s="223"/>
      <c r="GZ2399" s="223"/>
      <c r="HA2399" s="223"/>
      <c r="HB2399" s="223"/>
      <c r="HC2399" s="223"/>
      <c r="HD2399" s="223"/>
      <c r="HE2399" s="223"/>
      <c r="HF2399" s="223"/>
      <c r="HG2399" s="223"/>
      <c r="HH2399" s="223"/>
      <c r="HI2399" s="223"/>
      <c r="HJ2399" s="223"/>
      <c r="HK2399" s="223"/>
      <c r="HL2399" s="223"/>
      <c r="HM2399" s="223"/>
      <c r="HN2399" s="223"/>
      <c r="HO2399" s="223"/>
      <c r="HP2399" s="223"/>
      <c r="HQ2399" s="223"/>
      <c r="HR2399" s="223"/>
      <c r="HS2399" s="223"/>
      <c r="HT2399" s="223"/>
      <c r="HU2399" s="223"/>
      <c r="HV2399" s="223"/>
      <c r="HW2399" s="223"/>
      <c r="HX2399" s="223"/>
      <c r="HY2399" s="223"/>
      <c r="HZ2399" s="223"/>
      <c r="IA2399" s="223"/>
      <c r="IB2399" s="223"/>
      <c r="IC2399" s="223"/>
      <c r="ID2399" s="223"/>
      <c r="IE2399" s="223"/>
      <c r="IF2399" s="223"/>
      <c r="IG2399" s="223"/>
      <c r="IH2399" s="223"/>
      <c r="II2399" s="223"/>
      <c r="IJ2399" s="223"/>
      <c r="IK2399" s="223"/>
      <c r="IL2399" s="223"/>
      <c r="IM2399" s="223"/>
      <c r="IN2399" s="223"/>
      <c r="IO2399" s="223"/>
      <c r="IP2399" s="223"/>
      <c r="IQ2399" s="223"/>
      <c r="IR2399" s="223"/>
      <c r="IS2399" s="223"/>
      <c r="IT2399" s="223"/>
      <c r="IU2399" s="223"/>
      <c r="IV2399" s="223"/>
    </row>
    <row r="2400" spans="46:256" s="221" customFormat="1" x14ac:dyDescent="0.2">
      <c r="AT2400" s="222"/>
      <c r="AU2400" s="222"/>
      <c r="BD2400" s="223"/>
      <c r="BE2400" s="223"/>
      <c r="BF2400" s="223"/>
      <c r="BG2400" s="223"/>
      <c r="BH2400" s="223"/>
      <c r="BI2400" s="223"/>
      <c r="BJ2400" s="223"/>
      <c r="BK2400" s="223"/>
      <c r="BL2400" s="223"/>
      <c r="BM2400" s="223"/>
      <c r="BN2400" s="223"/>
      <c r="BO2400" s="223"/>
      <c r="BP2400" s="223"/>
      <c r="BQ2400" s="223"/>
      <c r="BR2400" s="223"/>
      <c r="BS2400" s="223"/>
      <c r="BT2400" s="223"/>
      <c r="BU2400" s="223"/>
      <c r="BV2400" s="223"/>
      <c r="BW2400" s="223"/>
      <c r="BX2400" s="223"/>
      <c r="BY2400" s="223"/>
      <c r="BZ2400" s="223"/>
      <c r="CA2400" s="223"/>
      <c r="CB2400" s="223"/>
      <c r="CC2400" s="223"/>
      <c r="CD2400" s="223"/>
      <c r="CE2400" s="223"/>
      <c r="CF2400" s="223"/>
      <c r="CG2400" s="223"/>
      <c r="CH2400" s="223"/>
      <c r="CI2400" s="223"/>
      <c r="CJ2400" s="223"/>
      <c r="CK2400" s="223"/>
      <c r="CL2400" s="223"/>
      <c r="CM2400" s="223"/>
      <c r="CN2400" s="223"/>
      <c r="CO2400" s="223"/>
      <c r="CP2400" s="223"/>
      <c r="CQ2400" s="223"/>
      <c r="CR2400" s="223"/>
      <c r="CS2400" s="223"/>
      <c r="CT2400" s="223"/>
      <c r="CU2400" s="223"/>
      <c r="CV2400" s="223"/>
      <c r="CW2400" s="223"/>
      <c r="CX2400" s="223"/>
      <c r="CY2400" s="223"/>
      <c r="CZ2400" s="223"/>
      <c r="DA2400" s="223"/>
      <c r="DB2400" s="223"/>
      <c r="DC2400" s="223"/>
      <c r="DD2400" s="223"/>
      <c r="DE2400" s="223"/>
      <c r="DF2400" s="223"/>
      <c r="DG2400" s="223"/>
      <c r="DH2400" s="223"/>
      <c r="DI2400" s="223"/>
      <c r="DJ2400" s="223"/>
      <c r="DK2400" s="223"/>
      <c r="DL2400" s="223"/>
      <c r="DM2400" s="223"/>
      <c r="DN2400" s="223"/>
      <c r="DO2400" s="223"/>
      <c r="DP2400" s="223"/>
      <c r="DQ2400" s="223"/>
      <c r="DR2400" s="223"/>
      <c r="DS2400" s="223"/>
      <c r="DT2400" s="223"/>
      <c r="DU2400" s="223"/>
      <c r="DV2400" s="223"/>
      <c r="DW2400" s="223"/>
      <c r="DX2400" s="223"/>
      <c r="DY2400" s="223"/>
      <c r="DZ2400" s="223"/>
      <c r="EA2400" s="223"/>
      <c r="EB2400" s="223"/>
      <c r="EC2400" s="223"/>
      <c r="ED2400" s="223"/>
      <c r="EE2400" s="223"/>
      <c r="EF2400" s="223"/>
      <c r="EG2400" s="223"/>
      <c r="EH2400" s="223"/>
      <c r="EI2400" s="223"/>
      <c r="EJ2400" s="223"/>
      <c r="EK2400" s="223"/>
      <c r="EL2400" s="223"/>
      <c r="EM2400" s="223"/>
      <c r="EN2400" s="223"/>
      <c r="EO2400" s="223"/>
      <c r="EP2400" s="223"/>
      <c r="EQ2400" s="223"/>
      <c r="ER2400" s="223"/>
      <c r="ES2400" s="223"/>
      <c r="ET2400" s="223"/>
      <c r="EU2400" s="223"/>
      <c r="EV2400" s="223"/>
      <c r="EW2400" s="223"/>
      <c r="EX2400" s="223"/>
      <c r="EY2400" s="223"/>
      <c r="EZ2400" s="223"/>
      <c r="FA2400" s="223"/>
      <c r="FB2400" s="223"/>
      <c r="FC2400" s="223"/>
      <c r="FD2400" s="223"/>
      <c r="FE2400" s="223"/>
      <c r="FF2400" s="223"/>
      <c r="FG2400" s="223"/>
      <c r="FH2400" s="223"/>
      <c r="FI2400" s="223"/>
      <c r="FJ2400" s="223"/>
      <c r="FK2400" s="223"/>
      <c r="FL2400" s="223"/>
      <c r="FM2400" s="223"/>
      <c r="FN2400" s="223"/>
      <c r="FO2400" s="223"/>
      <c r="FP2400" s="223"/>
      <c r="FQ2400" s="223"/>
      <c r="FR2400" s="223"/>
      <c r="FS2400" s="223"/>
      <c r="FT2400" s="223"/>
      <c r="FU2400" s="223"/>
      <c r="FV2400" s="223"/>
      <c r="FW2400" s="223"/>
      <c r="FX2400" s="223"/>
      <c r="FY2400" s="223"/>
      <c r="FZ2400" s="223"/>
      <c r="GA2400" s="223"/>
      <c r="GB2400" s="223"/>
      <c r="GC2400" s="223"/>
      <c r="GD2400" s="223"/>
      <c r="GE2400" s="223"/>
      <c r="GF2400" s="223"/>
      <c r="GG2400" s="223"/>
      <c r="GH2400" s="223"/>
      <c r="GI2400" s="223"/>
      <c r="GJ2400" s="223"/>
      <c r="GK2400" s="223"/>
      <c r="GL2400" s="223"/>
      <c r="GM2400" s="223"/>
      <c r="GN2400" s="223"/>
      <c r="GO2400" s="223"/>
      <c r="GP2400" s="223"/>
      <c r="GQ2400" s="223"/>
      <c r="GR2400" s="223"/>
      <c r="GS2400" s="223"/>
      <c r="GT2400" s="223"/>
      <c r="GU2400" s="223"/>
      <c r="GV2400" s="223"/>
      <c r="GW2400" s="223"/>
      <c r="GX2400" s="223"/>
      <c r="GY2400" s="223"/>
      <c r="GZ2400" s="223"/>
      <c r="HA2400" s="223"/>
      <c r="HB2400" s="223"/>
      <c r="HC2400" s="223"/>
      <c r="HD2400" s="223"/>
      <c r="HE2400" s="223"/>
      <c r="HF2400" s="223"/>
      <c r="HG2400" s="223"/>
      <c r="HH2400" s="223"/>
      <c r="HI2400" s="223"/>
      <c r="HJ2400" s="223"/>
      <c r="HK2400" s="223"/>
      <c r="HL2400" s="223"/>
      <c r="HM2400" s="223"/>
      <c r="HN2400" s="223"/>
      <c r="HO2400" s="223"/>
      <c r="HP2400" s="223"/>
      <c r="HQ2400" s="223"/>
      <c r="HR2400" s="223"/>
      <c r="HS2400" s="223"/>
      <c r="HT2400" s="223"/>
      <c r="HU2400" s="223"/>
      <c r="HV2400" s="223"/>
      <c r="HW2400" s="223"/>
      <c r="HX2400" s="223"/>
      <c r="HY2400" s="223"/>
      <c r="HZ2400" s="223"/>
      <c r="IA2400" s="223"/>
      <c r="IB2400" s="223"/>
      <c r="IC2400" s="223"/>
      <c r="ID2400" s="223"/>
      <c r="IE2400" s="223"/>
      <c r="IF2400" s="223"/>
      <c r="IG2400" s="223"/>
      <c r="IH2400" s="223"/>
      <c r="II2400" s="223"/>
      <c r="IJ2400" s="223"/>
      <c r="IK2400" s="223"/>
      <c r="IL2400" s="223"/>
      <c r="IM2400" s="223"/>
      <c r="IN2400" s="223"/>
      <c r="IO2400" s="223"/>
      <c r="IP2400" s="223"/>
      <c r="IQ2400" s="223"/>
      <c r="IR2400" s="223"/>
      <c r="IS2400" s="223"/>
      <c r="IT2400" s="223"/>
      <c r="IU2400" s="223"/>
      <c r="IV2400" s="223"/>
    </row>
    <row r="2401" spans="46:256" s="221" customFormat="1" x14ac:dyDescent="0.2">
      <c r="AT2401" s="222"/>
      <c r="AU2401" s="222"/>
      <c r="BD2401" s="223"/>
      <c r="BE2401" s="223"/>
      <c r="BF2401" s="223"/>
      <c r="BG2401" s="223"/>
      <c r="BH2401" s="223"/>
      <c r="BI2401" s="223"/>
      <c r="BJ2401" s="223"/>
      <c r="BK2401" s="223"/>
      <c r="BL2401" s="223"/>
      <c r="BM2401" s="223"/>
      <c r="BN2401" s="223"/>
      <c r="BO2401" s="223"/>
      <c r="BP2401" s="223"/>
      <c r="BQ2401" s="223"/>
      <c r="BR2401" s="223"/>
      <c r="BS2401" s="223"/>
      <c r="BT2401" s="223"/>
      <c r="BU2401" s="223"/>
      <c r="BV2401" s="223"/>
      <c r="BW2401" s="223"/>
      <c r="BX2401" s="223"/>
      <c r="BY2401" s="223"/>
      <c r="BZ2401" s="223"/>
      <c r="CA2401" s="223"/>
      <c r="CB2401" s="223"/>
      <c r="CC2401" s="223"/>
      <c r="CD2401" s="223"/>
      <c r="CE2401" s="223"/>
      <c r="CF2401" s="223"/>
      <c r="CG2401" s="223"/>
      <c r="CH2401" s="223"/>
      <c r="CI2401" s="223"/>
      <c r="CJ2401" s="223"/>
      <c r="CK2401" s="223"/>
      <c r="CL2401" s="223"/>
      <c r="CM2401" s="223"/>
      <c r="CN2401" s="223"/>
      <c r="CO2401" s="223"/>
      <c r="CP2401" s="223"/>
      <c r="CQ2401" s="223"/>
      <c r="CR2401" s="223"/>
      <c r="CS2401" s="223"/>
      <c r="CT2401" s="223"/>
      <c r="CU2401" s="223"/>
      <c r="CV2401" s="223"/>
      <c r="CW2401" s="223"/>
      <c r="CX2401" s="223"/>
      <c r="CY2401" s="223"/>
      <c r="CZ2401" s="223"/>
      <c r="DA2401" s="223"/>
      <c r="DB2401" s="223"/>
      <c r="DC2401" s="223"/>
      <c r="DD2401" s="223"/>
      <c r="DE2401" s="223"/>
      <c r="DF2401" s="223"/>
      <c r="DG2401" s="223"/>
      <c r="DH2401" s="223"/>
      <c r="DI2401" s="223"/>
      <c r="DJ2401" s="223"/>
      <c r="DK2401" s="223"/>
      <c r="DL2401" s="223"/>
      <c r="DM2401" s="223"/>
      <c r="DN2401" s="223"/>
      <c r="DO2401" s="223"/>
      <c r="DP2401" s="223"/>
      <c r="DQ2401" s="223"/>
      <c r="DR2401" s="223"/>
      <c r="DS2401" s="223"/>
      <c r="DT2401" s="223"/>
      <c r="DU2401" s="223"/>
      <c r="DV2401" s="223"/>
      <c r="DW2401" s="223"/>
      <c r="DX2401" s="223"/>
      <c r="DY2401" s="223"/>
      <c r="DZ2401" s="223"/>
      <c r="EA2401" s="223"/>
      <c r="EB2401" s="223"/>
      <c r="EC2401" s="223"/>
      <c r="ED2401" s="223"/>
      <c r="EE2401" s="223"/>
      <c r="EF2401" s="223"/>
      <c r="EG2401" s="223"/>
      <c r="EH2401" s="223"/>
      <c r="EI2401" s="223"/>
      <c r="EJ2401" s="223"/>
      <c r="EK2401" s="223"/>
      <c r="EL2401" s="223"/>
      <c r="EM2401" s="223"/>
      <c r="EN2401" s="223"/>
      <c r="EO2401" s="223"/>
      <c r="EP2401" s="223"/>
      <c r="EQ2401" s="223"/>
      <c r="ER2401" s="223"/>
      <c r="ES2401" s="223"/>
      <c r="ET2401" s="223"/>
      <c r="EU2401" s="223"/>
      <c r="EV2401" s="223"/>
      <c r="EW2401" s="223"/>
      <c r="EX2401" s="223"/>
      <c r="EY2401" s="223"/>
      <c r="EZ2401" s="223"/>
      <c r="FA2401" s="223"/>
      <c r="FB2401" s="223"/>
      <c r="FC2401" s="223"/>
      <c r="FD2401" s="223"/>
      <c r="FE2401" s="223"/>
      <c r="FF2401" s="223"/>
      <c r="FG2401" s="223"/>
      <c r="FH2401" s="223"/>
      <c r="FI2401" s="223"/>
      <c r="FJ2401" s="223"/>
      <c r="FK2401" s="223"/>
      <c r="FL2401" s="223"/>
      <c r="FM2401" s="223"/>
      <c r="FN2401" s="223"/>
      <c r="FO2401" s="223"/>
      <c r="FP2401" s="223"/>
      <c r="FQ2401" s="223"/>
      <c r="FR2401" s="223"/>
      <c r="FS2401" s="223"/>
      <c r="FT2401" s="223"/>
      <c r="FU2401" s="223"/>
      <c r="FV2401" s="223"/>
      <c r="FW2401" s="223"/>
      <c r="FX2401" s="223"/>
      <c r="FY2401" s="223"/>
      <c r="FZ2401" s="223"/>
      <c r="GA2401" s="223"/>
      <c r="GB2401" s="223"/>
      <c r="GC2401" s="223"/>
      <c r="GD2401" s="223"/>
      <c r="GE2401" s="223"/>
      <c r="GF2401" s="223"/>
      <c r="GG2401" s="223"/>
      <c r="GH2401" s="223"/>
      <c r="GI2401" s="223"/>
      <c r="GJ2401" s="223"/>
      <c r="GK2401" s="223"/>
      <c r="GL2401" s="223"/>
      <c r="GM2401" s="223"/>
      <c r="GN2401" s="223"/>
      <c r="GO2401" s="223"/>
      <c r="GP2401" s="223"/>
      <c r="GQ2401" s="223"/>
      <c r="GR2401" s="223"/>
      <c r="GS2401" s="223"/>
      <c r="GT2401" s="223"/>
      <c r="GU2401" s="223"/>
      <c r="GV2401" s="223"/>
      <c r="GW2401" s="223"/>
      <c r="GX2401" s="223"/>
      <c r="GY2401" s="223"/>
      <c r="GZ2401" s="223"/>
      <c r="HA2401" s="223"/>
      <c r="HB2401" s="223"/>
      <c r="HC2401" s="223"/>
      <c r="HD2401" s="223"/>
      <c r="HE2401" s="223"/>
      <c r="HF2401" s="223"/>
      <c r="HG2401" s="223"/>
      <c r="HH2401" s="223"/>
      <c r="HI2401" s="223"/>
      <c r="HJ2401" s="223"/>
      <c r="HK2401" s="223"/>
      <c r="HL2401" s="223"/>
      <c r="HM2401" s="223"/>
      <c r="HN2401" s="223"/>
      <c r="HO2401" s="223"/>
      <c r="HP2401" s="223"/>
      <c r="HQ2401" s="223"/>
      <c r="HR2401" s="223"/>
      <c r="HS2401" s="223"/>
      <c r="HT2401" s="223"/>
      <c r="HU2401" s="223"/>
      <c r="HV2401" s="223"/>
      <c r="HW2401" s="223"/>
      <c r="HX2401" s="223"/>
      <c r="HY2401" s="223"/>
      <c r="HZ2401" s="223"/>
      <c r="IA2401" s="223"/>
      <c r="IB2401" s="223"/>
      <c r="IC2401" s="223"/>
      <c r="ID2401" s="223"/>
      <c r="IE2401" s="223"/>
      <c r="IF2401" s="223"/>
      <c r="IG2401" s="223"/>
      <c r="IH2401" s="223"/>
      <c r="II2401" s="223"/>
      <c r="IJ2401" s="223"/>
      <c r="IK2401" s="223"/>
      <c r="IL2401" s="223"/>
      <c r="IM2401" s="223"/>
      <c r="IN2401" s="223"/>
      <c r="IO2401" s="223"/>
      <c r="IP2401" s="223"/>
      <c r="IQ2401" s="223"/>
      <c r="IR2401" s="223"/>
      <c r="IS2401" s="223"/>
      <c r="IT2401" s="223"/>
      <c r="IU2401" s="223"/>
      <c r="IV2401" s="223"/>
    </row>
    <row r="2402" spans="46:256" s="221" customFormat="1" x14ac:dyDescent="0.2">
      <c r="AT2402" s="222"/>
      <c r="AU2402" s="222"/>
      <c r="BD2402" s="223"/>
      <c r="BE2402" s="223"/>
      <c r="BF2402" s="223"/>
      <c r="BG2402" s="223"/>
      <c r="BH2402" s="223"/>
      <c r="BI2402" s="223"/>
      <c r="BJ2402" s="223"/>
      <c r="BK2402" s="223"/>
      <c r="BL2402" s="223"/>
      <c r="BM2402" s="223"/>
      <c r="BN2402" s="223"/>
      <c r="BO2402" s="223"/>
      <c r="BP2402" s="223"/>
      <c r="BQ2402" s="223"/>
      <c r="BR2402" s="223"/>
      <c r="BS2402" s="223"/>
      <c r="BT2402" s="223"/>
      <c r="BU2402" s="223"/>
      <c r="BV2402" s="223"/>
      <c r="BW2402" s="223"/>
      <c r="BX2402" s="223"/>
      <c r="BY2402" s="223"/>
      <c r="BZ2402" s="223"/>
      <c r="CA2402" s="223"/>
      <c r="CB2402" s="223"/>
      <c r="CC2402" s="223"/>
      <c r="CD2402" s="223"/>
      <c r="CE2402" s="223"/>
      <c r="CF2402" s="223"/>
      <c r="CG2402" s="223"/>
      <c r="CH2402" s="223"/>
      <c r="CI2402" s="223"/>
      <c r="CJ2402" s="223"/>
      <c r="CK2402" s="223"/>
      <c r="CL2402" s="223"/>
      <c r="CM2402" s="223"/>
      <c r="CN2402" s="223"/>
      <c r="CO2402" s="223"/>
      <c r="CP2402" s="223"/>
      <c r="CQ2402" s="223"/>
      <c r="CR2402" s="223"/>
      <c r="CS2402" s="223"/>
      <c r="CT2402" s="223"/>
      <c r="CU2402" s="223"/>
      <c r="CV2402" s="223"/>
      <c r="CW2402" s="223"/>
      <c r="CX2402" s="223"/>
      <c r="CY2402" s="223"/>
      <c r="CZ2402" s="223"/>
      <c r="DA2402" s="223"/>
      <c r="DB2402" s="223"/>
      <c r="DC2402" s="223"/>
      <c r="DD2402" s="223"/>
      <c r="DE2402" s="223"/>
      <c r="DF2402" s="223"/>
      <c r="DG2402" s="223"/>
      <c r="DH2402" s="223"/>
      <c r="DI2402" s="223"/>
      <c r="DJ2402" s="223"/>
      <c r="DK2402" s="223"/>
      <c r="DL2402" s="223"/>
      <c r="DM2402" s="223"/>
      <c r="DN2402" s="223"/>
      <c r="DO2402" s="223"/>
      <c r="DP2402" s="223"/>
      <c r="DQ2402" s="223"/>
      <c r="DR2402" s="223"/>
      <c r="DS2402" s="223"/>
      <c r="DT2402" s="223"/>
      <c r="DU2402" s="223"/>
      <c r="DV2402" s="223"/>
      <c r="DW2402" s="223"/>
      <c r="DX2402" s="223"/>
      <c r="DY2402" s="223"/>
      <c r="DZ2402" s="223"/>
      <c r="EA2402" s="223"/>
      <c r="EB2402" s="223"/>
      <c r="EC2402" s="223"/>
      <c r="ED2402" s="223"/>
      <c r="EE2402" s="223"/>
      <c r="EF2402" s="223"/>
      <c r="EG2402" s="223"/>
      <c r="EH2402" s="223"/>
      <c r="EI2402" s="223"/>
      <c r="EJ2402" s="223"/>
      <c r="EK2402" s="223"/>
      <c r="EL2402" s="223"/>
      <c r="EM2402" s="223"/>
      <c r="EN2402" s="223"/>
      <c r="EO2402" s="223"/>
      <c r="EP2402" s="223"/>
      <c r="EQ2402" s="223"/>
      <c r="ER2402" s="223"/>
      <c r="ES2402" s="223"/>
      <c r="ET2402" s="223"/>
      <c r="EU2402" s="223"/>
      <c r="EV2402" s="223"/>
      <c r="EW2402" s="223"/>
      <c r="EX2402" s="223"/>
      <c r="EY2402" s="223"/>
      <c r="EZ2402" s="223"/>
      <c r="FA2402" s="223"/>
      <c r="FB2402" s="223"/>
      <c r="FC2402" s="223"/>
      <c r="FD2402" s="223"/>
      <c r="FE2402" s="223"/>
      <c r="FF2402" s="223"/>
      <c r="FG2402" s="223"/>
      <c r="FH2402" s="223"/>
      <c r="FI2402" s="223"/>
      <c r="FJ2402" s="223"/>
      <c r="FK2402" s="223"/>
      <c r="FL2402" s="223"/>
      <c r="FM2402" s="223"/>
      <c r="FN2402" s="223"/>
      <c r="FO2402" s="223"/>
      <c r="FP2402" s="223"/>
      <c r="FQ2402" s="223"/>
      <c r="FR2402" s="223"/>
      <c r="FS2402" s="223"/>
      <c r="FT2402" s="223"/>
      <c r="FU2402" s="223"/>
      <c r="FV2402" s="223"/>
      <c r="FW2402" s="223"/>
      <c r="FX2402" s="223"/>
      <c r="FY2402" s="223"/>
      <c r="FZ2402" s="223"/>
      <c r="GA2402" s="223"/>
      <c r="GB2402" s="223"/>
      <c r="GC2402" s="223"/>
      <c r="GD2402" s="223"/>
      <c r="GE2402" s="223"/>
      <c r="GF2402" s="223"/>
      <c r="GG2402" s="223"/>
      <c r="GH2402" s="223"/>
      <c r="GI2402" s="223"/>
      <c r="GJ2402" s="223"/>
      <c r="GK2402" s="223"/>
      <c r="GL2402" s="223"/>
      <c r="GM2402" s="223"/>
      <c r="GN2402" s="223"/>
      <c r="GO2402" s="223"/>
      <c r="GP2402" s="223"/>
      <c r="GQ2402" s="223"/>
      <c r="GR2402" s="223"/>
      <c r="GS2402" s="223"/>
      <c r="GT2402" s="223"/>
      <c r="GU2402" s="223"/>
      <c r="GV2402" s="223"/>
      <c r="GW2402" s="223"/>
      <c r="GX2402" s="223"/>
      <c r="GY2402" s="223"/>
      <c r="GZ2402" s="223"/>
      <c r="HA2402" s="223"/>
      <c r="HB2402" s="223"/>
      <c r="HC2402" s="223"/>
      <c r="HD2402" s="223"/>
      <c r="HE2402" s="223"/>
      <c r="HF2402" s="223"/>
      <c r="HG2402" s="223"/>
      <c r="HH2402" s="223"/>
      <c r="HI2402" s="223"/>
      <c r="HJ2402" s="223"/>
      <c r="HK2402" s="223"/>
      <c r="HL2402" s="223"/>
      <c r="HM2402" s="223"/>
      <c r="HN2402" s="223"/>
      <c r="HO2402" s="223"/>
      <c r="HP2402" s="223"/>
      <c r="HQ2402" s="223"/>
      <c r="HR2402" s="223"/>
      <c r="HS2402" s="223"/>
      <c r="HT2402" s="223"/>
      <c r="HU2402" s="223"/>
      <c r="HV2402" s="223"/>
      <c r="HW2402" s="223"/>
      <c r="HX2402" s="223"/>
      <c r="HY2402" s="223"/>
      <c r="HZ2402" s="223"/>
      <c r="IA2402" s="223"/>
      <c r="IB2402" s="223"/>
      <c r="IC2402" s="223"/>
      <c r="ID2402" s="223"/>
      <c r="IE2402" s="223"/>
      <c r="IF2402" s="223"/>
      <c r="IG2402" s="223"/>
      <c r="IH2402" s="223"/>
      <c r="II2402" s="223"/>
      <c r="IJ2402" s="223"/>
      <c r="IK2402" s="223"/>
      <c r="IL2402" s="223"/>
      <c r="IM2402" s="223"/>
      <c r="IN2402" s="223"/>
      <c r="IO2402" s="223"/>
      <c r="IP2402" s="223"/>
      <c r="IQ2402" s="223"/>
      <c r="IR2402" s="223"/>
      <c r="IS2402" s="223"/>
      <c r="IT2402" s="223"/>
      <c r="IU2402" s="223"/>
      <c r="IV2402" s="223"/>
    </row>
    <row r="2403" spans="46:256" s="221" customFormat="1" x14ac:dyDescent="0.2">
      <c r="AT2403" s="222"/>
      <c r="AU2403" s="222"/>
      <c r="BD2403" s="223"/>
      <c r="BE2403" s="223"/>
      <c r="BF2403" s="223"/>
      <c r="BG2403" s="223"/>
      <c r="BH2403" s="223"/>
      <c r="BI2403" s="223"/>
      <c r="BJ2403" s="223"/>
      <c r="BK2403" s="223"/>
      <c r="BL2403" s="223"/>
      <c r="BM2403" s="223"/>
      <c r="BN2403" s="223"/>
      <c r="BO2403" s="223"/>
      <c r="BP2403" s="223"/>
      <c r="BQ2403" s="223"/>
      <c r="BR2403" s="223"/>
      <c r="BS2403" s="223"/>
      <c r="BT2403" s="223"/>
      <c r="BU2403" s="223"/>
      <c r="BV2403" s="223"/>
      <c r="BW2403" s="223"/>
      <c r="BX2403" s="223"/>
      <c r="BY2403" s="223"/>
      <c r="BZ2403" s="223"/>
      <c r="CA2403" s="223"/>
      <c r="CB2403" s="223"/>
      <c r="CC2403" s="223"/>
      <c r="CD2403" s="223"/>
      <c r="CE2403" s="223"/>
      <c r="CF2403" s="223"/>
      <c r="CG2403" s="223"/>
      <c r="CH2403" s="223"/>
      <c r="CI2403" s="223"/>
      <c r="CJ2403" s="223"/>
      <c r="CK2403" s="223"/>
      <c r="CL2403" s="223"/>
      <c r="CM2403" s="223"/>
      <c r="CN2403" s="223"/>
      <c r="CO2403" s="223"/>
      <c r="CP2403" s="223"/>
      <c r="CQ2403" s="223"/>
      <c r="CR2403" s="223"/>
      <c r="CS2403" s="223"/>
      <c r="CT2403" s="223"/>
      <c r="CU2403" s="223"/>
      <c r="CV2403" s="223"/>
      <c r="CW2403" s="223"/>
      <c r="CX2403" s="223"/>
      <c r="CY2403" s="223"/>
      <c r="CZ2403" s="223"/>
      <c r="DA2403" s="223"/>
      <c r="DB2403" s="223"/>
      <c r="DC2403" s="223"/>
      <c r="DD2403" s="223"/>
      <c r="DE2403" s="223"/>
      <c r="DF2403" s="223"/>
      <c r="DG2403" s="223"/>
      <c r="DH2403" s="223"/>
      <c r="DI2403" s="223"/>
      <c r="DJ2403" s="223"/>
      <c r="DK2403" s="223"/>
      <c r="DL2403" s="223"/>
      <c r="DM2403" s="223"/>
      <c r="DN2403" s="223"/>
      <c r="DO2403" s="223"/>
      <c r="DP2403" s="223"/>
      <c r="DQ2403" s="223"/>
      <c r="DR2403" s="223"/>
      <c r="DS2403" s="223"/>
      <c r="DT2403" s="223"/>
      <c r="DU2403" s="223"/>
      <c r="DV2403" s="223"/>
      <c r="DW2403" s="223"/>
      <c r="DX2403" s="223"/>
      <c r="DY2403" s="223"/>
      <c r="DZ2403" s="223"/>
      <c r="EA2403" s="223"/>
      <c r="EB2403" s="223"/>
      <c r="EC2403" s="223"/>
      <c r="ED2403" s="223"/>
      <c r="EE2403" s="223"/>
      <c r="EF2403" s="223"/>
      <c r="EG2403" s="223"/>
      <c r="EH2403" s="223"/>
      <c r="EI2403" s="223"/>
      <c r="EJ2403" s="223"/>
      <c r="EK2403" s="223"/>
      <c r="EL2403" s="223"/>
      <c r="EM2403" s="223"/>
      <c r="EN2403" s="223"/>
      <c r="EO2403" s="223"/>
      <c r="EP2403" s="223"/>
      <c r="EQ2403" s="223"/>
      <c r="ER2403" s="223"/>
      <c r="ES2403" s="223"/>
      <c r="ET2403" s="223"/>
      <c r="EU2403" s="223"/>
      <c r="EV2403" s="223"/>
      <c r="EW2403" s="223"/>
      <c r="EX2403" s="223"/>
      <c r="EY2403" s="223"/>
      <c r="EZ2403" s="223"/>
      <c r="FA2403" s="223"/>
      <c r="FB2403" s="223"/>
      <c r="FC2403" s="223"/>
      <c r="FD2403" s="223"/>
      <c r="FE2403" s="223"/>
      <c r="FF2403" s="223"/>
      <c r="FG2403" s="223"/>
      <c r="FH2403" s="223"/>
      <c r="FI2403" s="223"/>
      <c r="FJ2403" s="223"/>
      <c r="FK2403" s="223"/>
      <c r="FL2403" s="223"/>
      <c r="FM2403" s="223"/>
      <c r="FN2403" s="223"/>
      <c r="FO2403" s="223"/>
      <c r="FP2403" s="223"/>
      <c r="FQ2403" s="223"/>
      <c r="FR2403" s="223"/>
      <c r="FS2403" s="223"/>
      <c r="FT2403" s="223"/>
      <c r="FU2403" s="223"/>
      <c r="FV2403" s="223"/>
      <c r="FW2403" s="223"/>
      <c r="FX2403" s="223"/>
      <c r="FY2403" s="223"/>
      <c r="FZ2403" s="223"/>
      <c r="GA2403" s="223"/>
      <c r="GB2403" s="223"/>
      <c r="GC2403" s="223"/>
      <c r="GD2403" s="223"/>
      <c r="GE2403" s="223"/>
      <c r="GF2403" s="223"/>
      <c r="GG2403" s="223"/>
      <c r="GH2403" s="223"/>
      <c r="GI2403" s="223"/>
      <c r="GJ2403" s="223"/>
      <c r="GK2403" s="223"/>
      <c r="GL2403" s="223"/>
      <c r="GM2403" s="223"/>
      <c r="GN2403" s="223"/>
      <c r="GO2403" s="223"/>
      <c r="GP2403" s="223"/>
      <c r="GQ2403" s="223"/>
      <c r="GR2403" s="223"/>
      <c r="GS2403" s="223"/>
      <c r="GT2403" s="223"/>
      <c r="GU2403" s="223"/>
      <c r="GV2403" s="223"/>
      <c r="GW2403" s="223"/>
      <c r="GX2403" s="223"/>
      <c r="GY2403" s="223"/>
      <c r="GZ2403" s="223"/>
      <c r="HA2403" s="223"/>
      <c r="HB2403" s="223"/>
      <c r="HC2403" s="223"/>
      <c r="HD2403" s="223"/>
      <c r="HE2403" s="223"/>
      <c r="HF2403" s="223"/>
      <c r="HG2403" s="223"/>
      <c r="HH2403" s="223"/>
      <c r="HI2403" s="223"/>
      <c r="HJ2403" s="223"/>
      <c r="HK2403" s="223"/>
      <c r="HL2403" s="223"/>
      <c r="HM2403" s="223"/>
      <c r="HN2403" s="223"/>
      <c r="HO2403" s="223"/>
      <c r="HP2403" s="223"/>
      <c r="HQ2403" s="223"/>
      <c r="HR2403" s="223"/>
      <c r="HS2403" s="223"/>
      <c r="HT2403" s="223"/>
      <c r="HU2403" s="223"/>
      <c r="HV2403" s="223"/>
      <c r="HW2403" s="223"/>
      <c r="HX2403" s="223"/>
      <c r="HY2403" s="223"/>
      <c r="HZ2403" s="223"/>
      <c r="IA2403" s="223"/>
      <c r="IB2403" s="223"/>
      <c r="IC2403" s="223"/>
      <c r="ID2403" s="223"/>
      <c r="IE2403" s="223"/>
      <c r="IF2403" s="223"/>
      <c r="IG2403" s="223"/>
      <c r="IH2403" s="223"/>
      <c r="II2403" s="223"/>
      <c r="IJ2403" s="223"/>
      <c r="IK2403" s="223"/>
      <c r="IL2403" s="223"/>
      <c r="IM2403" s="223"/>
      <c r="IN2403" s="223"/>
      <c r="IO2403" s="223"/>
      <c r="IP2403" s="223"/>
      <c r="IQ2403" s="223"/>
      <c r="IR2403" s="223"/>
      <c r="IS2403" s="223"/>
      <c r="IT2403" s="223"/>
      <c r="IU2403" s="223"/>
      <c r="IV2403" s="223"/>
    </row>
    <row r="2404" spans="46:256" s="221" customFormat="1" x14ac:dyDescent="0.2">
      <c r="AT2404" s="222"/>
      <c r="AU2404" s="222"/>
      <c r="BD2404" s="223"/>
      <c r="BE2404" s="223"/>
      <c r="BF2404" s="223"/>
      <c r="BG2404" s="223"/>
      <c r="BH2404" s="223"/>
      <c r="BI2404" s="223"/>
      <c r="BJ2404" s="223"/>
      <c r="BK2404" s="223"/>
      <c r="BL2404" s="223"/>
      <c r="BM2404" s="223"/>
      <c r="BN2404" s="223"/>
      <c r="BO2404" s="223"/>
      <c r="BP2404" s="223"/>
      <c r="BQ2404" s="223"/>
      <c r="BR2404" s="223"/>
      <c r="BS2404" s="223"/>
      <c r="BT2404" s="223"/>
      <c r="BU2404" s="223"/>
      <c r="BV2404" s="223"/>
      <c r="BW2404" s="223"/>
      <c r="BX2404" s="223"/>
      <c r="BY2404" s="223"/>
      <c r="BZ2404" s="223"/>
      <c r="CA2404" s="223"/>
      <c r="CB2404" s="223"/>
      <c r="CC2404" s="223"/>
      <c r="CD2404" s="223"/>
      <c r="CE2404" s="223"/>
      <c r="CF2404" s="223"/>
      <c r="CG2404" s="223"/>
      <c r="CH2404" s="223"/>
      <c r="CI2404" s="223"/>
      <c r="CJ2404" s="223"/>
      <c r="CK2404" s="223"/>
      <c r="CL2404" s="223"/>
      <c r="CM2404" s="223"/>
      <c r="CN2404" s="223"/>
      <c r="CO2404" s="223"/>
      <c r="CP2404" s="223"/>
      <c r="CQ2404" s="223"/>
      <c r="CR2404" s="223"/>
      <c r="CS2404" s="223"/>
      <c r="CT2404" s="223"/>
      <c r="CU2404" s="223"/>
      <c r="CV2404" s="223"/>
      <c r="CW2404" s="223"/>
      <c r="CX2404" s="223"/>
      <c r="CY2404" s="223"/>
      <c r="CZ2404" s="223"/>
      <c r="DA2404" s="223"/>
      <c r="DB2404" s="223"/>
      <c r="DC2404" s="223"/>
      <c r="DD2404" s="223"/>
      <c r="DE2404" s="223"/>
      <c r="DF2404" s="223"/>
      <c r="DG2404" s="223"/>
      <c r="DH2404" s="223"/>
      <c r="DI2404" s="223"/>
      <c r="DJ2404" s="223"/>
      <c r="DK2404" s="223"/>
      <c r="DL2404" s="223"/>
      <c r="DM2404" s="223"/>
      <c r="DN2404" s="223"/>
      <c r="DO2404" s="223"/>
      <c r="DP2404" s="223"/>
      <c r="DQ2404" s="223"/>
      <c r="DR2404" s="223"/>
      <c r="DS2404" s="223"/>
      <c r="DT2404" s="223"/>
      <c r="DU2404" s="223"/>
      <c r="DV2404" s="223"/>
      <c r="DW2404" s="223"/>
      <c r="DX2404" s="223"/>
      <c r="DY2404" s="223"/>
      <c r="DZ2404" s="223"/>
      <c r="EA2404" s="223"/>
      <c r="EB2404" s="223"/>
      <c r="EC2404" s="223"/>
      <c r="ED2404" s="223"/>
      <c r="EE2404" s="223"/>
      <c r="EF2404" s="223"/>
      <c r="EG2404" s="223"/>
      <c r="EH2404" s="223"/>
      <c r="EI2404" s="223"/>
      <c r="EJ2404" s="223"/>
      <c r="EK2404" s="223"/>
      <c r="EL2404" s="223"/>
      <c r="EM2404" s="223"/>
      <c r="EN2404" s="223"/>
      <c r="EO2404" s="223"/>
      <c r="EP2404" s="223"/>
      <c r="EQ2404" s="223"/>
      <c r="ER2404" s="223"/>
      <c r="ES2404" s="223"/>
      <c r="ET2404" s="223"/>
      <c r="EU2404" s="223"/>
      <c r="EV2404" s="223"/>
      <c r="EW2404" s="223"/>
      <c r="EX2404" s="223"/>
      <c r="EY2404" s="223"/>
      <c r="EZ2404" s="223"/>
      <c r="FA2404" s="223"/>
      <c r="FB2404" s="223"/>
      <c r="FC2404" s="223"/>
      <c r="FD2404" s="223"/>
      <c r="FE2404" s="223"/>
      <c r="FF2404" s="223"/>
      <c r="FG2404" s="223"/>
      <c r="FH2404" s="223"/>
      <c r="FI2404" s="223"/>
      <c r="FJ2404" s="223"/>
      <c r="FK2404" s="223"/>
      <c r="FL2404" s="223"/>
      <c r="FM2404" s="223"/>
      <c r="FN2404" s="223"/>
      <c r="FO2404" s="223"/>
      <c r="FP2404" s="223"/>
      <c r="FQ2404" s="223"/>
      <c r="FR2404" s="223"/>
      <c r="FS2404" s="223"/>
      <c r="FT2404" s="223"/>
      <c r="FU2404" s="223"/>
      <c r="FV2404" s="223"/>
      <c r="FW2404" s="223"/>
      <c r="FX2404" s="223"/>
      <c r="FY2404" s="223"/>
      <c r="FZ2404" s="223"/>
      <c r="GA2404" s="223"/>
      <c r="GB2404" s="223"/>
      <c r="GC2404" s="223"/>
      <c r="GD2404" s="223"/>
      <c r="GE2404" s="223"/>
      <c r="GF2404" s="223"/>
      <c r="GG2404" s="223"/>
      <c r="GH2404" s="223"/>
      <c r="GI2404" s="223"/>
      <c r="GJ2404" s="223"/>
      <c r="GK2404" s="223"/>
      <c r="GL2404" s="223"/>
      <c r="GM2404" s="223"/>
      <c r="GN2404" s="223"/>
      <c r="GO2404" s="223"/>
      <c r="GP2404" s="223"/>
      <c r="GQ2404" s="223"/>
      <c r="GR2404" s="223"/>
      <c r="GS2404" s="223"/>
      <c r="GT2404" s="223"/>
      <c r="GU2404" s="223"/>
      <c r="GV2404" s="223"/>
      <c r="GW2404" s="223"/>
      <c r="GX2404" s="223"/>
      <c r="GY2404" s="223"/>
      <c r="GZ2404" s="223"/>
      <c r="HA2404" s="223"/>
      <c r="HB2404" s="223"/>
      <c r="HC2404" s="223"/>
      <c r="HD2404" s="223"/>
      <c r="HE2404" s="223"/>
      <c r="HF2404" s="223"/>
      <c r="HG2404" s="223"/>
      <c r="HH2404" s="223"/>
      <c r="HI2404" s="223"/>
      <c r="HJ2404" s="223"/>
      <c r="HK2404" s="223"/>
      <c r="HL2404" s="223"/>
      <c r="HM2404" s="223"/>
      <c r="HN2404" s="223"/>
      <c r="HO2404" s="223"/>
      <c r="HP2404" s="223"/>
      <c r="HQ2404" s="223"/>
      <c r="HR2404" s="223"/>
      <c r="HS2404" s="223"/>
      <c r="HT2404" s="223"/>
      <c r="HU2404" s="223"/>
      <c r="HV2404" s="223"/>
      <c r="HW2404" s="223"/>
      <c r="HX2404" s="223"/>
      <c r="HY2404" s="223"/>
      <c r="HZ2404" s="223"/>
      <c r="IA2404" s="223"/>
      <c r="IB2404" s="223"/>
      <c r="IC2404" s="223"/>
      <c r="ID2404" s="223"/>
      <c r="IE2404" s="223"/>
      <c r="IF2404" s="223"/>
      <c r="IG2404" s="223"/>
      <c r="IH2404" s="223"/>
      <c r="II2404" s="223"/>
      <c r="IJ2404" s="223"/>
      <c r="IK2404" s="223"/>
      <c r="IL2404" s="223"/>
      <c r="IM2404" s="223"/>
      <c r="IN2404" s="223"/>
      <c r="IO2404" s="223"/>
      <c r="IP2404" s="223"/>
      <c r="IQ2404" s="223"/>
      <c r="IR2404" s="223"/>
      <c r="IS2404" s="223"/>
      <c r="IT2404" s="223"/>
      <c r="IU2404" s="223"/>
      <c r="IV2404" s="223"/>
    </row>
    <row r="2405" spans="46:256" s="221" customFormat="1" x14ac:dyDescent="0.2">
      <c r="AT2405" s="222"/>
      <c r="AU2405" s="222"/>
      <c r="BD2405" s="223"/>
      <c r="BE2405" s="223"/>
      <c r="BF2405" s="223"/>
      <c r="BG2405" s="223"/>
      <c r="BH2405" s="223"/>
      <c r="BI2405" s="223"/>
      <c r="BJ2405" s="223"/>
      <c r="BK2405" s="223"/>
      <c r="BL2405" s="223"/>
      <c r="BM2405" s="223"/>
      <c r="BN2405" s="223"/>
      <c r="BO2405" s="223"/>
      <c r="BP2405" s="223"/>
      <c r="BQ2405" s="223"/>
      <c r="BR2405" s="223"/>
      <c r="BS2405" s="223"/>
      <c r="BT2405" s="223"/>
      <c r="BU2405" s="223"/>
      <c r="BV2405" s="223"/>
      <c r="BW2405" s="223"/>
      <c r="BX2405" s="223"/>
      <c r="BY2405" s="223"/>
      <c r="BZ2405" s="223"/>
      <c r="CA2405" s="223"/>
      <c r="CB2405" s="223"/>
      <c r="CC2405" s="223"/>
      <c r="CD2405" s="223"/>
      <c r="CE2405" s="223"/>
      <c r="CF2405" s="223"/>
      <c r="CG2405" s="223"/>
      <c r="CH2405" s="223"/>
      <c r="CI2405" s="223"/>
      <c r="CJ2405" s="223"/>
      <c r="CK2405" s="223"/>
      <c r="CL2405" s="223"/>
      <c r="CM2405" s="223"/>
      <c r="CN2405" s="223"/>
      <c r="CO2405" s="223"/>
      <c r="CP2405" s="223"/>
      <c r="CQ2405" s="223"/>
      <c r="CR2405" s="223"/>
      <c r="CS2405" s="223"/>
      <c r="CT2405" s="223"/>
      <c r="CU2405" s="223"/>
      <c r="CV2405" s="223"/>
      <c r="CW2405" s="223"/>
      <c r="CX2405" s="223"/>
      <c r="CY2405" s="223"/>
      <c r="CZ2405" s="223"/>
      <c r="DA2405" s="223"/>
      <c r="DB2405" s="223"/>
      <c r="DC2405" s="223"/>
      <c r="DD2405" s="223"/>
      <c r="DE2405" s="223"/>
      <c r="DF2405" s="223"/>
      <c r="DG2405" s="223"/>
      <c r="DH2405" s="223"/>
      <c r="DI2405" s="223"/>
      <c r="DJ2405" s="223"/>
      <c r="DK2405" s="223"/>
      <c r="DL2405" s="223"/>
      <c r="DM2405" s="223"/>
      <c r="DN2405" s="223"/>
      <c r="DO2405" s="223"/>
      <c r="DP2405" s="223"/>
      <c r="DQ2405" s="223"/>
      <c r="DR2405" s="223"/>
      <c r="DS2405" s="223"/>
      <c r="DT2405" s="223"/>
      <c r="DU2405" s="223"/>
      <c r="DV2405" s="223"/>
      <c r="DW2405" s="223"/>
      <c r="DX2405" s="223"/>
      <c r="DY2405" s="223"/>
      <c r="DZ2405" s="223"/>
      <c r="EA2405" s="223"/>
      <c r="EB2405" s="223"/>
      <c r="EC2405" s="223"/>
      <c r="ED2405" s="223"/>
      <c r="EE2405" s="223"/>
      <c r="EF2405" s="223"/>
      <c r="EG2405" s="223"/>
      <c r="EH2405" s="223"/>
      <c r="EI2405" s="223"/>
      <c r="EJ2405" s="223"/>
      <c r="EK2405" s="223"/>
      <c r="EL2405" s="223"/>
      <c r="EM2405" s="223"/>
      <c r="EN2405" s="223"/>
      <c r="EO2405" s="223"/>
      <c r="EP2405" s="223"/>
      <c r="EQ2405" s="223"/>
      <c r="ER2405" s="223"/>
      <c r="ES2405" s="223"/>
      <c r="ET2405" s="223"/>
      <c r="EU2405" s="223"/>
      <c r="EV2405" s="223"/>
      <c r="EW2405" s="223"/>
      <c r="EX2405" s="223"/>
      <c r="EY2405" s="223"/>
      <c r="EZ2405" s="223"/>
      <c r="FA2405" s="223"/>
      <c r="FB2405" s="223"/>
      <c r="FC2405" s="223"/>
      <c r="FD2405" s="223"/>
      <c r="FE2405" s="223"/>
      <c r="FF2405" s="223"/>
      <c r="FG2405" s="223"/>
      <c r="FH2405" s="223"/>
      <c r="FI2405" s="223"/>
      <c r="FJ2405" s="223"/>
      <c r="FK2405" s="223"/>
      <c r="FL2405" s="223"/>
      <c r="FM2405" s="223"/>
      <c r="FN2405" s="223"/>
      <c r="FO2405" s="223"/>
      <c r="FP2405" s="223"/>
      <c r="FQ2405" s="223"/>
      <c r="FR2405" s="223"/>
      <c r="FS2405" s="223"/>
      <c r="FT2405" s="223"/>
      <c r="FU2405" s="223"/>
      <c r="FV2405" s="223"/>
      <c r="FW2405" s="223"/>
      <c r="FX2405" s="223"/>
      <c r="FY2405" s="223"/>
      <c r="FZ2405" s="223"/>
      <c r="GA2405" s="223"/>
      <c r="GB2405" s="223"/>
      <c r="GC2405" s="223"/>
      <c r="GD2405" s="223"/>
      <c r="GE2405" s="223"/>
      <c r="GF2405" s="223"/>
      <c r="GG2405" s="223"/>
      <c r="GH2405" s="223"/>
      <c r="GI2405" s="223"/>
      <c r="GJ2405" s="223"/>
      <c r="GK2405" s="223"/>
      <c r="GL2405" s="223"/>
      <c r="GM2405" s="223"/>
      <c r="GN2405" s="223"/>
      <c r="GO2405" s="223"/>
      <c r="GP2405" s="223"/>
      <c r="GQ2405" s="223"/>
      <c r="GR2405" s="223"/>
      <c r="GS2405" s="223"/>
      <c r="GT2405" s="223"/>
      <c r="GU2405" s="223"/>
      <c r="GV2405" s="223"/>
      <c r="GW2405" s="223"/>
      <c r="GX2405" s="223"/>
      <c r="GY2405" s="223"/>
      <c r="GZ2405" s="223"/>
      <c r="HA2405" s="223"/>
      <c r="HB2405" s="223"/>
      <c r="HC2405" s="223"/>
      <c r="HD2405" s="223"/>
      <c r="HE2405" s="223"/>
      <c r="HF2405" s="223"/>
      <c r="HG2405" s="223"/>
      <c r="HH2405" s="223"/>
      <c r="HI2405" s="223"/>
      <c r="HJ2405" s="223"/>
      <c r="HK2405" s="223"/>
      <c r="HL2405" s="223"/>
      <c r="HM2405" s="223"/>
      <c r="HN2405" s="223"/>
      <c r="HO2405" s="223"/>
      <c r="HP2405" s="223"/>
      <c r="HQ2405" s="223"/>
      <c r="HR2405" s="223"/>
      <c r="HS2405" s="223"/>
      <c r="HT2405" s="223"/>
      <c r="HU2405" s="223"/>
      <c r="HV2405" s="223"/>
      <c r="HW2405" s="223"/>
      <c r="HX2405" s="223"/>
      <c r="HY2405" s="223"/>
      <c r="HZ2405" s="223"/>
      <c r="IA2405" s="223"/>
      <c r="IB2405" s="223"/>
      <c r="IC2405" s="223"/>
      <c r="ID2405" s="223"/>
      <c r="IE2405" s="223"/>
      <c r="IF2405" s="223"/>
      <c r="IG2405" s="223"/>
      <c r="IH2405" s="223"/>
      <c r="II2405" s="223"/>
      <c r="IJ2405" s="223"/>
      <c r="IK2405" s="223"/>
      <c r="IL2405" s="223"/>
      <c r="IM2405" s="223"/>
      <c r="IN2405" s="223"/>
      <c r="IO2405" s="223"/>
      <c r="IP2405" s="223"/>
      <c r="IQ2405" s="223"/>
      <c r="IR2405" s="223"/>
      <c r="IS2405" s="223"/>
      <c r="IT2405" s="223"/>
      <c r="IU2405" s="223"/>
      <c r="IV2405" s="223"/>
    </row>
    <row r="2406" spans="46:256" s="221" customFormat="1" x14ac:dyDescent="0.2">
      <c r="AT2406" s="222"/>
      <c r="AU2406" s="222"/>
      <c r="BD2406" s="223"/>
      <c r="BE2406" s="223"/>
      <c r="BF2406" s="223"/>
      <c r="BG2406" s="223"/>
      <c r="BH2406" s="223"/>
      <c r="BI2406" s="223"/>
      <c r="BJ2406" s="223"/>
      <c r="BK2406" s="223"/>
      <c r="BL2406" s="223"/>
      <c r="BM2406" s="223"/>
      <c r="BN2406" s="223"/>
      <c r="BO2406" s="223"/>
      <c r="BP2406" s="223"/>
      <c r="BQ2406" s="223"/>
      <c r="BR2406" s="223"/>
      <c r="BS2406" s="223"/>
      <c r="BT2406" s="223"/>
      <c r="BU2406" s="223"/>
      <c r="BV2406" s="223"/>
      <c r="BW2406" s="223"/>
      <c r="BX2406" s="223"/>
      <c r="BY2406" s="223"/>
      <c r="BZ2406" s="223"/>
      <c r="CA2406" s="223"/>
      <c r="CB2406" s="223"/>
      <c r="CC2406" s="223"/>
      <c r="CD2406" s="223"/>
      <c r="CE2406" s="223"/>
      <c r="CF2406" s="223"/>
      <c r="CG2406" s="223"/>
      <c r="CH2406" s="223"/>
      <c r="CI2406" s="223"/>
      <c r="CJ2406" s="223"/>
      <c r="CK2406" s="223"/>
      <c r="CL2406" s="223"/>
      <c r="CM2406" s="223"/>
      <c r="CN2406" s="223"/>
      <c r="CO2406" s="223"/>
      <c r="CP2406" s="223"/>
      <c r="CQ2406" s="223"/>
      <c r="CR2406" s="223"/>
      <c r="CS2406" s="223"/>
      <c r="CT2406" s="223"/>
      <c r="CU2406" s="223"/>
      <c r="CV2406" s="223"/>
      <c r="CW2406" s="223"/>
      <c r="CX2406" s="223"/>
      <c r="CY2406" s="223"/>
      <c r="CZ2406" s="223"/>
      <c r="DA2406" s="223"/>
      <c r="DB2406" s="223"/>
      <c r="DC2406" s="223"/>
      <c r="DD2406" s="223"/>
      <c r="DE2406" s="223"/>
      <c r="DF2406" s="223"/>
      <c r="DG2406" s="223"/>
      <c r="DH2406" s="223"/>
      <c r="DI2406" s="223"/>
      <c r="DJ2406" s="223"/>
      <c r="DK2406" s="223"/>
      <c r="DL2406" s="223"/>
      <c r="DM2406" s="223"/>
      <c r="DN2406" s="223"/>
      <c r="DO2406" s="223"/>
      <c r="DP2406" s="223"/>
      <c r="DQ2406" s="223"/>
      <c r="DR2406" s="223"/>
      <c r="DS2406" s="223"/>
      <c r="DT2406" s="223"/>
      <c r="DU2406" s="223"/>
      <c r="DV2406" s="223"/>
      <c r="DW2406" s="223"/>
      <c r="DX2406" s="223"/>
      <c r="DY2406" s="223"/>
      <c r="DZ2406" s="223"/>
      <c r="EA2406" s="223"/>
      <c r="EB2406" s="223"/>
      <c r="EC2406" s="223"/>
      <c r="ED2406" s="223"/>
      <c r="EE2406" s="223"/>
      <c r="EF2406" s="223"/>
      <c r="EG2406" s="223"/>
      <c r="EH2406" s="223"/>
      <c r="EI2406" s="223"/>
      <c r="EJ2406" s="223"/>
      <c r="EK2406" s="223"/>
      <c r="EL2406" s="223"/>
      <c r="EM2406" s="223"/>
      <c r="EN2406" s="223"/>
      <c r="EO2406" s="223"/>
      <c r="EP2406" s="223"/>
      <c r="EQ2406" s="223"/>
      <c r="ER2406" s="223"/>
      <c r="ES2406" s="223"/>
      <c r="ET2406" s="223"/>
      <c r="EU2406" s="223"/>
      <c r="EV2406" s="223"/>
      <c r="EW2406" s="223"/>
      <c r="EX2406" s="223"/>
      <c r="EY2406" s="223"/>
      <c r="EZ2406" s="223"/>
      <c r="FA2406" s="223"/>
      <c r="FB2406" s="223"/>
      <c r="FC2406" s="223"/>
      <c r="FD2406" s="223"/>
      <c r="FE2406" s="223"/>
      <c r="FF2406" s="223"/>
      <c r="FG2406" s="223"/>
      <c r="FH2406" s="223"/>
      <c r="FI2406" s="223"/>
      <c r="FJ2406" s="223"/>
      <c r="FK2406" s="223"/>
      <c r="FL2406" s="223"/>
      <c r="FM2406" s="223"/>
      <c r="FN2406" s="223"/>
      <c r="FO2406" s="223"/>
      <c r="FP2406" s="223"/>
      <c r="FQ2406" s="223"/>
      <c r="FR2406" s="223"/>
      <c r="FS2406" s="223"/>
      <c r="FT2406" s="223"/>
      <c r="FU2406" s="223"/>
      <c r="FV2406" s="223"/>
      <c r="FW2406" s="223"/>
      <c r="FX2406" s="223"/>
      <c r="FY2406" s="223"/>
      <c r="FZ2406" s="223"/>
      <c r="GA2406" s="223"/>
      <c r="GB2406" s="223"/>
      <c r="GC2406" s="223"/>
      <c r="GD2406" s="223"/>
      <c r="GE2406" s="223"/>
      <c r="GF2406" s="223"/>
      <c r="GG2406" s="223"/>
      <c r="GH2406" s="223"/>
      <c r="GI2406" s="223"/>
      <c r="GJ2406" s="223"/>
      <c r="GK2406" s="223"/>
      <c r="GL2406" s="223"/>
      <c r="GM2406" s="223"/>
      <c r="GN2406" s="223"/>
      <c r="GO2406" s="223"/>
      <c r="GP2406" s="223"/>
      <c r="GQ2406" s="223"/>
      <c r="GR2406" s="223"/>
      <c r="GS2406" s="223"/>
      <c r="GT2406" s="223"/>
      <c r="GU2406" s="223"/>
      <c r="GV2406" s="223"/>
      <c r="GW2406" s="223"/>
      <c r="GX2406" s="223"/>
      <c r="GY2406" s="223"/>
      <c r="GZ2406" s="223"/>
      <c r="HA2406" s="223"/>
      <c r="HB2406" s="223"/>
      <c r="HC2406" s="223"/>
      <c r="HD2406" s="223"/>
      <c r="HE2406" s="223"/>
      <c r="HF2406" s="223"/>
      <c r="HG2406" s="223"/>
      <c r="HH2406" s="223"/>
      <c r="HI2406" s="223"/>
      <c r="HJ2406" s="223"/>
      <c r="HK2406" s="223"/>
      <c r="HL2406" s="223"/>
      <c r="HM2406" s="223"/>
      <c r="HN2406" s="223"/>
      <c r="HO2406" s="223"/>
      <c r="HP2406" s="223"/>
      <c r="HQ2406" s="223"/>
      <c r="HR2406" s="223"/>
      <c r="HS2406" s="223"/>
      <c r="HT2406" s="223"/>
      <c r="HU2406" s="223"/>
      <c r="HV2406" s="223"/>
      <c r="HW2406" s="223"/>
      <c r="HX2406" s="223"/>
      <c r="HY2406" s="223"/>
      <c r="HZ2406" s="223"/>
      <c r="IA2406" s="223"/>
      <c r="IB2406" s="223"/>
      <c r="IC2406" s="223"/>
      <c r="ID2406" s="223"/>
      <c r="IE2406" s="223"/>
      <c r="IF2406" s="223"/>
      <c r="IG2406" s="223"/>
      <c r="IH2406" s="223"/>
      <c r="II2406" s="223"/>
      <c r="IJ2406" s="223"/>
      <c r="IK2406" s="223"/>
      <c r="IL2406" s="223"/>
      <c r="IM2406" s="223"/>
      <c r="IN2406" s="223"/>
      <c r="IO2406" s="223"/>
      <c r="IP2406" s="223"/>
      <c r="IQ2406" s="223"/>
      <c r="IR2406" s="223"/>
      <c r="IS2406" s="223"/>
      <c r="IT2406" s="223"/>
      <c r="IU2406" s="223"/>
      <c r="IV2406" s="223"/>
    </row>
    <row r="2407" spans="46:256" s="221" customFormat="1" x14ac:dyDescent="0.2">
      <c r="AT2407" s="222"/>
      <c r="AU2407" s="222"/>
      <c r="BD2407" s="223"/>
      <c r="BE2407" s="223"/>
      <c r="BF2407" s="223"/>
      <c r="BG2407" s="223"/>
      <c r="BH2407" s="223"/>
      <c r="BI2407" s="223"/>
      <c r="BJ2407" s="223"/>
      <c r="BK2407" s="223"/>
      <c r="BL2407" s="223"/>
      <c r="BM2407" s="223"/>
      <c r="BN2407" s="223"/>
      <c r="BO2407" s="223"/>
      <c r="BP2407" s="223"/>
      <c r="BQ2407" s="223"/>
      <c r="BR2407" s="223"/>
      <c r="BS2407" s="223"/>
      <c r="BT2407" s="223"/>
      <c r="BU2407" s="223"/>
      <c r="BV2407" s="223"/>
      <c r="BW2407" s="223"/>
      <c r="BX2407" s="223"/>
      <c r="BY2407" s="223"/>
      <c r="BZ2407" s="223"/>
      <c r="CA2407" s="223"/>
      <c r="CB2407" s="223"/>
      <c r="CC2407" s="223"/>
      <c r="CD2407" s="223"/>
      <c r="CE2407" s="223"/>
      <c r="CF2407" s="223"/>
      <c r="CG2407" s="223"/>
      <c r="CH2407" s="223"/>
      <c r="CI2407" s="223"/>
      <c r="CJ2407" s="223"/>
      <c r="CK2407" s="223"/>
      <c r="CL2407" s="223"/>
      <c r="CM2407" s="223"/>
      <c r="CN2407" s="223"/>
      <c r="CO2407" s="223"/>
      <c r="CP2407" s="223"/>
      <c r="CQ2407" s="223"/>
      <c r="CR2407" s="223"/>
      <c r="CS2407" s="223"/>
      <c r="CT2407" s="223"/>
      <c r="CU2407" s="223"/>
      <c r="CV2407" s="223"/>
      <c r="CW2407" s="223"/>
      <c r="CX2407" s="223"/>
      <c r="CY2407" s="223"/>
      <c r="CZ2407" s="223"/>
      <c r="DA2407" s="223"/>
      <c r="DB2407" s="223"/>
      <c r="DC2407" s="223"/>
      <c r="DD2407" s="223"/>
      <c r="DE2407" s="223"/>
      <c r="DF2407" s="223"/>
      <c r="DG2407" s="223"/>
      <c r="DH2407" s="223"/>
      <c r="DI2407" s="223"/>
      <c r="DJ2407" s="223"/>
      <c r="DK2407" s="223"/>
      <c r="DL2407" s="223"/>
      <c r="DM2407" s="223"/>
      <c r="DN2407" s="223"/>
      <c r="DO2407" s="223"/>
      <c r="DP2407" s="223"/>
      <c r="DQ2407" s="223"/>
      <c r="DR2407" s="223"/>
      <c r="DS2407" s="223"/>
      <c r="DT2407" s="223"/>
      <c r="DU2407" s="223"/>
      <c r="DV2407" s="223"/>
      <c r="DW2407" s="223"/>
      <c r="DX2407" s="223"/>
      <c r="DY2407" s="223"/>
      <c r="DZ2407" s="223"/>
      <c r="EA2407" s="223"/>
      <c r="EB2407" s="223"/>
      <c r="EC2407" s="223"/>
      <c r="ED2407" s="223"/>
      <c r="EE2407" s="223"/>
      <c r="EF2407" s="223"/>
      <c r="EG2407" s="223"/>
      <c r="EH2407" s="223"/>
      <c r="EI2407" s="223"/>
      <c r="EJ2407" s="223"/>
      <c r="EK2407" s="223"/>
      <c r="EL2407" s="223"/>
      <c r="EM2407" s="223"/>
      <c r="EN2407" s="223"/>
      <c r="EO2407" s="223"/>
      <c r="EP2407" s="223"/>
      <c r="EQ2407" s="223"/>
      <c r="ER2407" s="223"/>
      <c r="ES2407" s="223"/>
      <c r="ET2407" s="223"/>
      <c r="EU2407" s="223"/>
      <c r="EV2407" s="223"/>
      <c r="EW2407" s="223"/>
      <c r="EX2407" s="223"/>
      <c r="EY2407" s="223"/>
      <c r="EZ2407" s="223"/>
      <c r="FA2407" s="223"/>
      <c r="FB2407" s="223"/>
      <c r="FC2407" s="223"/>
      <c r="FD2407" s="223"/>
      <c r="FE2407" s="223"/>
      <c r="FF2407" s="223"/>
      <c r="FG2407" s="223"/>
      <c r="FH2407" s="223"/>
      <c r="FI2407" s="223"/>
      <c r="FJ2407" s="223"/>
      <c r="FK2407" s="223"/>
      <c r="FL2407" s="223"/>
      <c r="FM2407" s="223"/>
      <c r="FN2407" s="223"/>
      <c r="FO2407" s="223"/>
      <c r="FP2407" s="223"/>
      <c r="FQ2407" s="223"/>
      <c r="FR2407" s="223"/>
      <c r="FS2407" s="223"/>
      <c r="FT2407" s="223"/>
      <c r="FU2407" s="223"/>
      <c r="FV2407" s="223"/>
      <c r="FW2407" s="223"/>
      <c r="FX2407" s="223"/>
      <c r="FY2407" s="223"/>
      <c r="FZ2407" s="223"/>
      <c r="GA2407" s="223"/>
      <c r="GB2407" s="223"/>
      <c r="GC2407" s="223"/>
      <c r="GD2407" s="223"/>
      <c r="GE2407" s="223"/>
      <c r="GF2407" s="223"/>
      <c r="GG2407" s="223"/>
      <c r="GH2407" s="223"/>
      <c r="GI2407" s="223"/>
      <c r="GJ2407" s="223"/>
      <c r="GK2407" s="223"/>
      <c r="GL2407" s="223"/>
      <c r="GM2407" s="223"/>
      <c r="GN2407" s="223"/>
      <c r="GO2407" s="223"/>
      <c r="GP2407" s="223"/>
      <c r="GQ2407" s="223"/>
      <c r="GR2407" s="223"/>
      <c r="GS2407" s="223"/>
      <c r="GT2407" s="223"/>
      <c r="GU2407" s="223"/>
      <c r="GV2407" s="223"/>
      <c r="GW2407" s="223"/>
      <c r="GX2407" s="223"/>
      <c r="GY2407" s="223"/>
      <c r="GZ2407" s="223"/>
      <c r="HA2407" s="223"/>
      <c r="HB2407" s="223"/>
      <c r="HC2407" s="223"/>
      <c r="HD2407" s="223"/>
      <c r="HE2407" s="223"/>
      <c r="HF2407" s="223"/>
      <c r="HG2407" s="223"/>
      <c r="HH2407" s="223"/>
      <c r="HI2407" s="223"/>
      <c r="HJ2407" s="223"/>
      <c r="HK2407" s="223"/>
      <c r="HL2407" s="223"/>
      <c r="HM2407" s="223"/>
      <c r="HN2407" s="223"/>
      <c r="HO2407" s="223"/>
      <c r="HP2407" s="223"/>
      <c r="HQ2407" s="223"/>
      <c r="HR2407" s="223"/>
      <c r="HS2407" s="223"/>
      <c r="HT2407" s="223"/>
      <c r="HU2407" s="223"/>
      <c r="HV2407" s="223"/>
      <c r="HW2407" s="223"/>
      <c r="HX2407" s="223"/>
      <c r="HY2407" s="223"/>
      <c r="HZ2407" s="223"/>
      <c r="IA2407" s="223"/>
      <c r="IB2407" s="223"/>
      <c r="IC2407" s="223"/>
      <c r="ID2407" s="223"/>
      <c r="IE2407" s="223"/>
      <c r="IF2407" s="223"/>
      <c r="IG2407" s="223"/>
      <c r="IH2407" s="223"/>
      <c r="II2407" s="223"/>
      <c r="IJ2407" s="223"/>
      <c r="IK2407" s="223"/>
      <c r="IL2407" s="223"/>
      <c r="IM2407" s="223"/>
      <c r="IN2407" s="223"/>
      <c r="IO2407" s="223"/>
      <c r="IP2407" s="223"/>
      <c r="IQ2407" s="223"/>
      <c r="IR2407" s="223"/>
      <c r="IS2407" s="223"/>
      <c r="IT2407" s="223"/>
      <c r="IU2407" s="223"/>
      <c r="IV2407" s="223"/>
    </row>
    <row r="2408" spans="46:256" s="221" customFormat="1" x14ac:dyDescent="0.2">
      <c r="AT2408" s="222"/>
      <c r="AU2408" s="222"/>
      <c r="BD2408" s="223"/>
      <c r="BE2408" s="223"/>
      <c r="BF2408" s="223"/>
      <c r="BG2408" s="223"/>
      <c r="BH2408" s="223"/>
      <c r="BI2408" s="223"/>
      <c r="BJ2408" s="223"/>
      <c r="BK2408" s="223"/>
      <c r="BL2408" s="223"/>
      <c r="BM2408" s="223"/>
      <c r="BN2408" s="223"/>
      <c r="BO2408" s="223"/>
      <c r="BP2408" s="223"/>
      <c r="BQ2408" s="223"/>
      <c r="BR2408" s="223"/>
      <c r="BS2408" s="223"/>
      <c r="BT2408" s="223"/>
      <c r="BU2408" s="223"/>
      <c r="BV2408" s="223"/>
      <c r="BW2408" s="223"/>
      <c r="BX2408" s="223"/>
      <c r="BY2408" s="223"/>
      <c r="BZ2408" s="223"/>
      <c r="CA2408" s="223"/>
      <c r="CB2408" s="223"/>
      <c r="CC2408" s="223"/>
      <c r="CD2408" s="223"/>
      <c r="CE2408" s="223"/>
      <c r="CF2408" s="223"/>
      <c r="CG2408" s="223"/>
      <c r="CH2408" s="223"/>
      <c r="CI2408" s="223"/>
      <c r="CJ2408" s="223"/>
      <c r="CK2408" s="223"/>
      <c r="CL2408" s="223"/>
      <c r="CM2408" s="223"/>
      <c r="CN2408" s="223"/>
      <c r="CO2408" s="223"/>
      <c r="CP2408" s="223"/>
      <c r="CQ2408" s="223"/>
      <c r="CR2408" s="223"/>
      <c r="CS2408" s="223"/>
      <c r="CT2408" s="223"/>
      <c r="CU2408" s="223"/>
      <c r="CV2408" s="223"/>
      <c r="CW2408" s="223"/>
      <c r="CX2408" s="223"/>
      <c r="CY2408" s="223"/>
      <c r="CZ2408" s="223"/>
      <c r="DA2408" s="223"/>
      <c r="DB2408" s="223"/>
      <c r="DC2408" s="223"/>
      <c r="DD2408" s="223"/>
      <c r="DE2408" s="223"/>
      <c r="DF2408" s="223"/>
      <c r="DG2408" s="223"/>
      <c r="DH2408" s="223"/>
      <c r="DI2408" s="223"/>
      <c r="DJ2408" s="223"/>
      <c r="DK2408" s="223"/>
      <c r="DL2408" s="223"/>
      <c r="DM2408" s="223"/>
      <c r="DN2408" s="223"/>
      <c r="DO2408" s="223"/>
      <c r="DP2408" s="223"/>
      <c r="DQ2408" s="223"/>
      <c r="DR2408" s="223"/>
      <c r="DS2408" s="223"/>
      <c r="DT2408" s="223"/>
      <c r="DU2408" s="223"/>
      <c r="DV2408" s="223"/>
      <c r="DW2408" s="223"/>
      <c r="DX2408" s="223"/>
      <c r="DY2408" s="223"/>
      <c r="DZ2408" s="223"/>
      <c r="EA2408" s="223"/>
      <c r="EB2408" s="223"/>
      <c r="EC2408" s="223"/>
      <c r="ED2408" s="223"/>
      <c r="EE2408" s="223"/>
      <c r="EF2408" s="223"/>
      <c r="EG2408" s="223"/>
      <c r="EH2408" s="223"/>
      <c r="EI2408" s="223"/>
      <c r="EJ2408" s="223"/>
      <c r="EK2408" s="223"/>
      <c r="EL2408" s="223"/>
      <c r="EM2408" s="223"/>
      <c r="EN2408" s="223"/>
      <c r="EO2408" s="223"/>
      <c r="EP2408" s="223"/>
      <c r="EQ2408" s="223"/>
      <c r="ER2408" s="223"/>
      <c r="ES2408" s="223"/>
      <c r="ET2408" s="223"/>
      <c r="EU2408" s="223"/>
      <c r="EV2408" s="223"/>
      <c r="EW2408" s="223"/>
      <c r="EX2408" s="223"/>
      <c r="EY2408" s="223"/>
      <c r="EZ2408" s="223"/>
      <c r="FA2408" s="223"/>
      <c r="FB2408" s="223"/>
      <c r="FC2408" s="223"/>
      <c r="FD2408" s="223"/>
      <c r="FE2408" s="223"/>
      <c r="FF2408" s="223"/>
      <c r="FG2408" s="223"/>
      <c r="FH2408" s="223"/>
      <c r="FI2408" s="223"/>
      <c r="FJ2408" s="223"/>
      <c r="FK2408" s="223"/>
      <c r="FL2408" s="223"/>
      <c r="FM2408" s="223"/>
      <c r="FN2408" s="223"/>
      <c r="FO2408" s="223"/>
      <c r="FP2408" s="223"/>
      <c r="FQ2408" s="223"/>
      <c r="FR2408" s="223"/>
      <c r="FS2408" s="223"/>
      <c r="FT2408" s="223"/>
      <c r="FU2408" s="223"/>
      <c r="FV2408" s="223"/>
      <c r="FW2408" s="223"/>
      <c r="FX2408" s="223"/>
      <c r="FY2408" s="223"/>
      <c r="FZ2408" s="223"/>
      <c r="GA2408" s="223"/>
      <c r="GB2408" s="223"/>
      <c r="GC2408" s="223"/>
      <c r="GD2408" s="223"/>
      <c r="GE2408" s="223"/>
      <c r="GF2408" s="223"/>
      <c r="GG2408" s="223"/>
      <c r="GH2408" s="223"/>
      <c r="GI2408" s="223"/>
      <c r="GJ2408" s="223"/>
      <c r="GK2408" s="223"/>
      <c r="GL2408" s="223"/>
      <c r="GM2408" s="223"/>
      <c r="GN2408" s="223"/>
      <c r="GO2408" s="223"/>
      <c r="GP2408" s="223"/>
      <c r="GQ2408" s="223"/>
      <c r="GR2408" s="223"/>
      <c r="GS2408" s="223"/>
      <c r="GT2408" s="223"/>
      <c r="GU2408" s="223"/>
      <c r="GV2408" s="223"/>
      <c r="GW2408" s="223"/>
      <c r="GX2408" s="223"/>
      <c r="GY2408" s="223"/>
      <c r="GZ2408" s="223"/>
      <c r="HA2408" s="223"/>
      <c r="HB2408" s="223"/>
      <c r="HC2408" s="223"/>
      <c r="HD2408" s="223"/>
      <c r="HE2408" s="223"/>
      <c r="HF2408" s="223"/>
      <c r="HG2408" s="223"/>
      <c r="HH2408" s="223"/>
      <c r="HI2408" s="223"/>
      <c r="HJ2408" s="223"/>
      <c r="HK2408" s="223"/>
      <c r="HL2408" s="223"/>
      <c r="HM2408" s="223"/>
      <c r="HN2408" s="223"/>
      <c r="HO2408" s="223"/>
      <c r="HP2408" s="223"/>
      <c r="HQ2408" s="223"/>
      <c r="HR2408" s="223"/>
      <c r="HS2408" s="223"/>
      <c r="HT2408" s="223"/>
      <c r="HU2408" s="223"/>
      <c r="HV2408" s="223"/>
      <c r="HW2408" s="223"/>
      <c r="HX2408" s="223"/>
      <c r="HY2408" s="223"/>
      <c r="HZ2408" s="223"/>
      <c r="IA2408" s="223"/>
      <c r="IB2408" s="223"/>
      <c r="IC2408" s="223"/>
      <c r="ID2408" s="223"/>
      <c r="IE2408" s="223"/>
      <c r="IF2408" s="223"/>
      <c r="IG2408" s="223"/>
      <c r="IH2408" s="223"/>
      <c r="II2408" s="223"/>
      <c r="IJ2408" s="223"/>
      <c r="IK2408" s="223"/>
      <c r="IL2408" s="223"/>
      <c r="IM2408" s="223"/>
      <c r="IN2408" s="223"/>
      <c r="IO2408" s="223"/>
      <c r="IP2408" s="223"/>
      <c r="IQ2408" s="223"/>
      <c r="IR2408" s="223"/>
      <c r="IS2408" s="223"/>
      <c r="IT2408" s="223"/>
      <c r="IU2408" s="223"/>
      <c r="IV2408" s="223"/>
    </row>
    <row r="2409" spans="46:256" s="221" customFormat="1" x14ac:dyDescent="0.2">
      <c r="AT2409" s="222"/>
      <c r="AU2409" s="222"/>
      <c r="BD2409" s="223"/>
      <c r="BE2409" s="223"/>
      <c r="BF2409" s="223"/>
      <c r="BG2409" s="223"/>
      <c r="BH2409" s="223"/>
      <c r="BI2409" s="223"/>
      <c r="BJ2409" s="223"/>
      <c r="BK2409" s="223"/>
      <c r="BL2409" s="223"/>
      <c r="BM2409" s="223"/>
      <c r="BN2409" s="223"/>
      <c r="BO2409" s="223"/>
      <c r="BP2409" s="223"/>
      <c r="BQ2409" s="223"/>
      <c r="BR2409" s="223"/>
      <c r="BS2409" s="223"/>
      <c r="BT2409" s="223"/>
      <c r="BU2409" s="223"/>
      <c r="BV2409" s="223"/>
      <c r="BW2409" s="223"/>
      <c r="BX2409" s="223"/>
      <c r="BY2409" s="223"/>
      <c r="BZ2409" s="223"/>
      <c r="CA2409" s="223"/>
      <c r="CB2409" s="223"/>
      <c r="CC2409" s="223"/>
      <c r="CD2409" s="223"/>
      <c r="CE2409" s="223"/>
      <c r="CF2409" s="223"/>
      <c r="CG2409" s="223"/>
      <c r="CH2409" s="223"/>
      <c r="CI2409" s="223"/>
      <c r="CJ2409" s="223"/>
      <c r="CK2409" s="223"/>
      <c r="CL2409" s="223"/>
      <c r="CM2409" s="223"/>
      <c r="CN2409" s="223"/>
      <c r="CO2409" s="223"/>
      <c r="CP2409" s="223"/>
      <c r="CQ2409" s="223"/>
      <c r="CR2409" s="223"/>
      <c r="CS2409" s="223"/>
      <c r="CT2409" s="223"/>
      <c r="CU2409" s="223"/>
      <c r="CV2409" s="223"/>
      <c r="CW2409" s="223"/>
      <c r="CX2409" s="223"/>
      <c r="CY2409" s="223"/>
      <c r="CZ2409" s="223"/>
      <c r="DA2409" s="223"/>
      <c r="DB2409" s="223"/>
      <c r="DC2409" s="223"/>
      <c r="DD2409" s="223"/>
      <c r="DE2409" s="223"/>
      <c r="DF2409" s="223"/>
      <c r="DG2409" s="223"/>
      <c r="DH2409" s="223"/>
      <c r="DI2409" s="223"/>
      <c r="DJ2409" s="223"/>
      <c r="DK2409" s="223"/>
      <c r="DL2409" s="223"/>
      <c r="DM2409" s="223"/>
      <c r="DN2409" s="223"/>
      <c r="DO2409" s="223"/>
      <c r="DP2409" s="223"/>
      <c r="DQ2409" s="223"/>
      <c r="DR2409" s="223"/>
      <c r="DS2409" s="223"/>
      <c r="DT2409" s="223"/>
      <c r="DU2409" s="223"/>
      <c r="DV2409" s="223"/>
      <c r="DW2409" s="223"/>
      <c r="DX2409" s="223"/>
      <c r="DY2409" s="223"/>
      <c r="DZ2409" s="223"/>
      <c r="EA2409" s="223"/>
      <c r="EB2409" s="223"/>
      <c r="EC2409" s="223"/>
      <c r="ED2409" s="223"/>
      <c r="EE2409" s="223"/>
      <c r="EF2409" s="223"/>
      <c r="EG2409" s="223"/>
      <c r="EH2409" s="223"/>
      <c r="EI2409" s="223"/>
      <c r="EJ2409" s="223"/>
      <c r="EK2409" s="223"/>
      <c r="EL2409" s="223"/>
      <c r="EM2409" s="223"/>
      <c r="EN2409" s="223"/>
      <c r="EO2409" s="223"/>
      <c r="EP2409" s="223"/>
      <c r="EQ2409" s="223"/>
      <c r="ER2409" s="223"/>
      <c r="ES2409" s="223"/>
      <c r="ET2409" s="223"/>
      <c r="EU2409" s="223"/>
      <c r="EV2409" s="223"/>
      <c r="EW2409" s="223"/>
      <c r="EX2409" s="223"/>
      <c r="EY2409" s="223"/>
      <c r="EZ2409" s="223"/>
      <c r="FA2409" s="223"/>
      <c r="FB2409" s="223"/>
      <c r="FC2409" s="223"/>
      <c r="FD2409" s="223"/>
      <c r="FE2409" s="223"/>
      <c r="FF2409" s="223"/>
      <c r="FG2409" s="223"/>
      <c r="FH2409" s="223"/>
      <c r="FI2409" s="223"/>
      <c r="FJ2409" s="223"/>
      <c r="FK2409" s="223"/>
      <c r="FL2409" s="223"/>
      <c r="FM2409" s="223"/>
      <c r="FN2409" s="223"/>
      <c r="FO2409" s="223"/>
      <c r="FP2409" s="223"/>
      <c r="FQ2409" s="223"/>
      <c r="FR2409" s="223"/>
      <c r="FS2409" s="223"/>
      <c r="FT2409" s="223"/>
      <c r="FU2409" s="223"/>
      <c r="FV2409" s="223"/>
      <c r="FW2409" s="223"/>
      <c r="FX2409" s="223"/>
      <c r="FY2409" s="223"/>
      <c r="FZ2409" s="223"/>
      <c r="GA2409" s="223"/>
      <c r="GB2409" s="223"/>
      <c r="GC2409" s="223"/>
      <c r="GD2409" s="223"/>
      <c r="GE2409" s="223"/>
      <c r="GF2409" s="223"/>
      <c r="GG2409" s="223"/>
      <c r="GH2409" s="223"/>
      <c r="GI2409" s="223"/>
      <c r="GJ2409" s="223"/>
      <c r="GK2409" s="223"/>
      <c r="GL2409" s="223"/>
      <c r="GM2409" s="223"/>
      <c r="GN2409" s="223"/>
      <c r="GO2409" s="223"/>
      <c r="GP2409" s="223"/>
      <c r="GQ2409" s="223"/>
      <c r="GR2409" s="223"/>
      <c r="GS2409" s="223"/>
      <c r="GT2409" s="223"/>
      <c r="GU2409" s="223"/>
      <c r="GV2409" s="223"/>
      <c r="GW2409" s="223"/>
      <c r="GX2409" s="223"/>
      <c r="GY2409" s="223"/>
      <c r="GZ2409" s="223"/>
      <c r="HA2409" s="223"/>
      <c r="HB2409" s="223"/>
      <c r="HC2409" s="223"/>
      <c r="HD2409" s="223"/>
      <c r="HE2409" s="223"/>
      <c r="HF2409" s="223"/>
      <c r="HG2409" s="223"/>
      <c r="HH2409" s="223"/>
      <c r="HI2409" s="223"/>
      <c r="HJ2409" s="223"/>
      <c r="HK2409" s="223"/>
      <c r="HL2409" s="223"/>
      <c r="HM2409" s="223"/>
      <c r="HN2409" s="223"/>
      <c r="HO2409" s="223"/>
      <c r="HP2409" s="223"/>
      <c r="HQ2409" s="223"/>
      <c r="HR2409" s="223"/>
      <c r="HS2409" s="223"/>
      <c r="HT2409" s="223"/>
      <c r="HU2409" s="223"/>
      <c r="HV2409" s="223"/>
      <c r="HW2409" s="223"/>
      <c r="HX2409" s="223"/>
      <c r="HY2409" s="223"/>
      <c r="HZ2409" s="223"/>
      <c r="IA2409" s="223"/>
      <c r="IB2409" s="223"/>
      <c r="IC2409" s="223"/>
      <c r="ID2409" s="223"/>
      <c r="IE2409" s="223"/>
      <c r="IF2409" s="223"/>
      <c r="IG2409" s="223"/>
      <c r="IH2409" s="223"/>
      <c r="II2409" s="223"/>
      <c r="IJ2409" s="223"/>
      <c r="IK2409" s="223"/>
      <c r="IL2409" s="223"/>
      <c r="IM2409" s="223"/>
      <c r="IN2409" s="223"/>
      <c r="IO2409" s="223"/>
      <c r="IP2409" s="223"/>
      <c r="IQ2409" s="223"/>
      <c r="IR2409" s="223"/>
      <c r="IS2409" s="223"/>
      <c r="IT2409" s="223"/>
      <c r="IU2409" s="223"/>
      <c r="IV2409" s="223"/>
    </row>
    <row r="2410" spans="46:256" s="221" customFormat="1" x14ac:dyDescent="0.2">
      <c r="AT2410" s="222"/>
      <c r="AU2410" s="222"/>
      <c r="BD2410" s="223"/>
      <c r="BE2410" s="223"/>
      <c r="BF2410" s="223"/>
      <c r="BG2410" s="223"/>
      <c r="BH2410" s="223"/>
      <c r="BI2410" s="223"/>
      <c r="BJ2410" s="223"/>
      <c r="BK2410" s="223"/>
      <c r="BL2410" s="223"/>
      <c r="BM2410" s="223"/>
      <c r="BN2410" s="223"/>
      <c r="BO2410" s="223"/>
      <c r="BP2410" s="223"/>
      <c r="BQ2410" s="223"/>
      <c r="BR2410" s="223"/>
      <c r="BS2410" s="223"/>
      <c r="BT2410" s="223"/>
      <c r="BU2410" s="223"/>
      <c r="BV2410" s="223"/>
      <c r="BW2410" s="223"/>
      <c r="BX2410" s="223"/>
      <c r="BY2410" s="223"/>
      <c r="BZ2410" s="223"/>
      <c r="CA2410" s="223"/>
      <c r="CB2410" s="223"/>
      <c r="CC2410" s="223"/>
      <c r="CD2410" s="223"/>
      <c r="CE2410" s="223"/>
      <c r="CF2410" s="223"/>
      <c r="CG2410" s="223"/>
      <c r="CH2410" s="223"/>
      <c r="CI2410" s="223"/>
      <c r="CJ2410" s="223"/>
      <c r="CK2410" s="223"/>
      <c r="CL2410" s="223"/>
      <c r="CM2410" s="223"/>
      <c r="CN2410" s="223"/>
      <c r="CO2410" s="223"/>
      <c r="CP2410" s="223"/>
      <c r="CQ2410" s="223"/>
      <c r="CR2410" s="223"/>
      <c r="CS2410" s="223"/>
      <c r="CT2410" s="223"/>
      <c r="CU2410" s="223"/>
      <c r="CV2410" s="223"/>
      <c r="CW2410" s="223"/>
      <c r="CX2410" s="223"/>
      <c r="CY2410" s="223"/>
      <c r="CZ2410" s="223"/>
      <c r="DA2410" s="223"/>
      <c r="DB2410" s="223"/>
      <c r="DC2410" s="223"/>
      <c r="DD2410" s="223"/>
      <c r="DE2410" s="223"/>
      <c r="DF2410" s="223"/>
      <c r="DG2410" s="223"/>
      <c r="DH2410" s="223"/>
      <c r="DI2410" s="223"/>
      <c r="DJ2410" s="223"/>
      <c r="DK2410" s="223"/>
      <c r="DL2410" s="223"/>
      <c r="DM2410" s="223"/>
      <c r="DN2410" s="223"/>
      <c r="DO2410" s="223"/>
      <c r="DP2410" s="223"/>
      <c r="DQ2410" s="223"/>
      <c r="DR2410" s="223"/>
      <c r="DS2410" s="223"/>
      <c r="DT2410" s="223"/>
      <c r="DU2410" s="223"/>
      <c r="DV2410" s="223"/>
      <c r="DW2410" s="223"/>
      <c r="DX2410" s="223"/>
      <c r="DY2410" s="223"/>
      <c r="DZ2410" s="223"/>
      <c r="EA2410" s="223"/>
      <c r="EB2410" s="223"/>
      <c r="EC2410" s="223"/>
      <c r="ED2410" s="223"/>
      <c r="EE2410" s="223"/>
      <c r="EF2410" s="223"/>
      <c r="EG2410" s="223"/>
      <c r="EH2410" s="223"/>
      <c r="EI2410" s="223"/>
      <c r="EJ2410" s="223"/>
      <c r="EK2410" s="223"/>
      <c r="EL2410" s="223"/>
      <c r="EM2410" s="223"/>
      <c r="EN2410" s="223"/>
      <c r="EO2410" s="223"/>
      <c r="EP2410" s="223"/>
      <c r="EQ2410" s="223"/>
      <c r="ER2410" s="223"/>
      <c r="ES2410" s="223"/>
      <c r="ET2410" s="223"/>
      <c r="EU2410" s="223"/>
      <c r="EV2410" s="223"/>
      <c r="EW2410" s="223"/>
      <c r="EX2410" s="223"/>
      <c r="EY2410" s="223"/>
      <c r="EZ2410" s="223"/>
      <c r="FA2410" s="223"/>
      <c r="FB2410" s="223"/>
      <c r="FC2410" s="223"/>
      <c r="FD2410" s="223"/>
      <c r="FE2410" s="223"/>
      <c r="FF2410" s="223"/>
      <c r="FG2410" s="223"/>
      <c r="FH2410" s="223"/>
      <c r="FI2410" s="223"/>
      <c r="FJ2410" s="223"/>
      <c r="FK2410" s="223"/>
      <c r="FL2410" s="223"/>
      <c r="FM2410" s="223"/>
      <c r="FN2410" s="223"/>
      <c r="FO2410" s="223"/>
      <c r="FP2410" s="223"/>
      <c r="FQ2410" s="223"/>
      <c r="FR2410" s="223"/>
      <c r="FS2410" s="223"/>
      <c r="FT2410" s="223"/>
      <c r="FU2410" s="223"/>
      <c r="FV2410" s="223"/>
      <c r="FW2410" s="223"/>
      <c r="FX2410" s="223"/>
      <c r="FY2410" s="223"/>
      <c r="FZ2410" s="223"/>
      <c r="GA2410" s="223"/>
      <c r="GB2410" s="223"/>
      <c r="GC2410" s="223"/>
      <c r="GD2410" s="223"/>
      <c r="GE2410" s="223"/>
      <c r="GF2410" s="223"/>
      <c r="GG2410" s="223"/>
      <c r="GH2410" s="223"/>
      <c r="GI2410" s="223"/>
      <c r="GJ2410" s="223"/>
      <c r="GK2410" s="223"/>
      <c r="GL2410" s="223"/>
      <c r="GM2410" s="223"/>
      <c r="GN2410" s="223"/>
      <c r="GO2410" s="223"/>
      <c r="GP2410" s="223"/>
      <c r="GQ2410" s="223"/>
      <c r="GR2410" s="223"/>
      <c r="GS2410" s="223"/>
      <c r="GT2410" s="223"/>
      <c r="GU2410" s="223"/>
      <c r="GV2410" s="223"/>
      <c r="GW2410" s="223"/>
      <c r="GX2410" s="223"/>
      <c r="GY2410" s="223"/>
      <c r="GZ2410" s="223"/>
      <c r="HA2410" s="223"/>
      <c r="HB2410" s="223"/>
      <c r="HC2410" s="223"/>
      <c r="HD2410" s="223"/>
      <c r="HE2410" s="223"/>
      <c r="HF2410" s="223"/>
      <c r="HG2410" s="223"/>
      <c r="HH2410" s="223"/>
      <c r="HI2410" s="223"/>
      <c r="HJ2410" s="223"/>
      <c r="HK2410" s="223"/>
      <c r="HL2410" s="223"/>
      <c r="HM2410" s="223"/>
      <c r="HN2410" s="223"/>
      <c r="HO2410" s="223"/>
      <c r="HP2410" s="223"/>
      <c r="HQ2410" s="223"/>
      <c r="HR2410" s="223"/>
      <c r="HS2410" s="223"/>
      <c r="HT2410" s="223"/>
      <c r="HU2410" s="223"/>
      <c r="HV2410" s="223"/>
      <c r="HW2410" s="223"/>
      <c r="HX2410" s="223"/>
      <c r="HY2410" s="223"/>
      <c r="HZ2410" s="223"/>
      <c r="IA2410" s="223"/>
      <c r="IB2410" s="223"/>
      <c r="IC2410" s="223"/>
      <c r="ID2410" s="223"/>
      <c r="IE2410" s="223"/>
      <c r="IF2410" s="223"/>
      <c r="IG2410" s="223"/>
      <c r="IH2410" s="223"/>
      <c r="II2410" s="223"/>
      <c r="IJ2410" s="223"/>
      <c r="IK2410" s="223"/>
      <c r="IL2410" s="223"/>
      <c r="IM2410" s="223"/>
      <c r="IN2410" s="223"/>
      <c r="IO2410" s="223"/>
      <c r="IP2410" s="223"/>
      <c r="IQ2410" s="223"/>
      <c r="IR2410" s="223"/>
      <c r="IS2410" s="223"/>
      <c r="IT2410" s="223"/>
      <c r="IU2410" s="223"/>
      <c r="IV2410" s="223"/>
    </row>
    <row r="2411" spans="46:256" s="221" customFormat="1" x14ac:dyDescent="0.2">
      <c r="AT2411" s="222"/>
      <c r="AU2411" s="222"/>
      <c r="BD2411" s="223"/>
      <c r="BE2411" s="223"/>
      <c r="BF2411" s="223"/>
      <c r="BG2411" s="223"/>
      <c r="BH2411" s="223"/>
      <c r="BI2411" s="223"/>
      <c r="BJ2411" s="223"/>
      <c r="BK2411" s="223"/>
      <c r="BL2411" s="223"/>
      <c r="BM2411" s="223"/>
      <c r="BN2411" s="223"/>
      <c r="BO2411" s="223"/>
      <c r="BP2411" s="223"/>
      <c r="BQ2411" s="223"/>
      <c r="BR2411" s="223"/>
      <c r="BS2411" s="223"/>
      <c r="BT2411" s="223"/>
      <c r="BU2411" s="223"/>
      <c r="BV2411" s="223"/>
      <c r="BW2411" s="223"/>
      <c r="BX2411" s="223"/>
      <c r="BY2411" s="223"/>
      <c r="BZ2411" s="223"/>
      <c r="CA2411" s="223"/>
      <c r="CB2411" s="223"/>
      <c r="CC2411" s="223"/>
      <c r="CD2411" s="223"/>
      <c r="CE2411" s="223"/>
      <c r="CF2411" s="223"/>
      <c r="CG2411" s="223"/>
      <c r="CH2411" s="223"/>
      <c r="CI2411" s="223"/>
      <c r="CJ2411" s="223"/>
      <c r="CK2411" s="223"/>
      <c r="CL2411" s="223"/>
      <c r="CM2411" s="223"/>
      <c r="CN2411" s="223"/>
      <c r="CO2411" s="223"/>
      <c r="CP2411" s="223"/>
      <c r="CQ2411" s="223"/>
      <c r="CR2411" s="223"/>
      <c r="CS2411" s="223"/>
      <c r="CT2411" s="223"/>
      <c r="CU2411" s="223"/>
      <c r="CV2411" s="223"/>
      <c r="CW2411" s="223"/>
      <c r="CX2411" s="223"/>
      <c r="CY2411" s="223"/>
      <c r="CZ2411" s="223"/>
      <c r="DA2411" s="223"/>
      <c r="DB2411" s="223"/>
      <c r="DC2411" s="223"/>
      <c r="DD2411" s="223"/>
      <c r="DE2411" s="223"/>
      <c r="DF2411" s="223"/>
      <c r="DG2411" s="223"/>
      <c r="DH2411" s="223"/>
      <c r="DI2411" s="223"/>
      <c r="DJ2411" s="223"/>
      <c r="DK2411" s="223"/>
      <c r="DL2411" s="223"/>
      <c r="DM2411" s="223"/>
      <c r="DN2411" s="223"/>
      <c r="DO2411" s="223"/>
      <c r="DP2411" s="223"/>
      <c r="DQ2411" s="223"/>
      <c r="DR2411" s="223"/>
      <c r="DS2411" s="223"/>
      <c r="DT2411" s="223"/>
      <c r="DU2411" s="223"/>
      <c r="DV2411" s="223"/>
      <c r="DW2411" s="223"/>
      <c r="DX2411" s="223"/>
      <c r="DY2411" s="223"/>
      <c r="DZ2411" s="223"/>
      <c r="EA2411" s="223"/>
      <c r="EB2411" s="223"/>
      <c r="EC2411" s="223"/>
      <c r="ED2411" s="223"/>
      <c r="EE2411" s="223"/>
      <c r="EF2411" s="223"/>
      <c r="EG2411" s="223"/>
      <c r="EH2411" s="223"/>
      <c r="EI2411" s="223"/>
      <c r="EJ2411" s="223"/>
      <c r="EK2411" s="223"/>
      <c r="EL2411" s="223"/>
      <c r="EM2411" s="223"/>
      <c r="EN2411" s="223"/>
      <c r="EO2411" s="223"/>
      <c r="EP2411" s="223"/>
      <c r="EQ2411" s="223"/>
      <c r="ER2411" s="223"/>
      <c r="ES2411" s="223"/>
      <c r="ET2411" s="223"/>
      <c r="EU2411" s="223"/>
      <c r="EV2411" s="223"/>
      <c r="EW2411" s="223"/>
      <c r="EX2411" s="223"/>
      <c r="EY2411" s="223"/>
      <c r="EZ2411" s="223"/>
      <c r="FA2411" s="223"/>
      <c r="FB2411" s="223"/>
      <c r="FC2411" s="223"/>
      <c r="FD2411" s="223"/>
      <c r="FE2411" s="223"/>
      <c r="FF2411" s="223"/>
      <c r="FG2411" s="223"/>
      <c r="FH2411" s="223"/>
      <c r="FI2411" s="223"/>
      <c r="FJ2411" s="223"/>
      <c r="FK2411" s="223"/>
      <c r="FL2411" s="223"/>
      <c r="FM2411" s="223"/>
      <c r="FN2411" s="223"/>
      <c r="FO2411" s="223"/>
      <c r="FP2411" s="223"/>
      <c r="FQ2411" s="223"/>
      <c r="FR2411" s="223"/>
      <c r="FS2411" s="223"/>
      <c r="FT2411" s="223"/>
      <c r="FU2411" s="223"/>
      <c r="FV2411" s="223"/>
      <c r="FW2411" s="223"/>
      <c r="FX2411" s="223"/>
      <c r="FY2411" s="223"/>
      <c r="FZ2411" s="223"/>
      <c r="GA2411" s="223"/>
      <c r="GB2411" s="223"/>
      <c r="GC2411" s="223"/>
      <c r="GD2411" s="223"/>
      <c r="GE2411" s="223"/>
      <c r="GF2411" s="223"/>
      <c r="GG2411" s="223"/>
      <c r="GH2411" s="223"/>
      <c r="GI2411" s="223"/>
      <c r="GJ2411" s="223"/>
      <c r="GK2411" s="223"/>
      <c r="GL2411" s="223"/>
      <c r="GM2411" s="223"/>
      <c r="GN2411" s="223"/>
      <c r="GO2411" s="223"/>
      <c r="GP2411" s="223"/>
      <c r="GQ2411" s="223"/>
      <c r="GR2411" s="223"/>
      <c r="GS2411" s="223"/>
      <c r="GT2411" s="223"/>
      <c r="GU2411" s="223"/>
      <c r="GV2411" s="223"/>
      <c r="GW2411" s="223"/>
      <c r="GX2411" s="223"/>
      <c r="GY2411" s="223"/>
      <c r="GZ2411" s="223"/>
      <c r="HA2411" s="223"/>
      <c r="HB2411" s="223"/>
      <c r="HC2411" s="223"/>
      <c r="HD2411" s="223"/>
      <c r="HE2411" s="223"/>
      <c r="HF2411" s="223"/>
      <c r="HG2411" s="223"/>
      <c r="HH2411" s="223"/>
      <c r="HI2411" s="223"/>
      <c r="HJ2411" s="223"/>
      <c r="HK2411" s="223"/>
      <c r="HL2411" s="223"/>
      <c r="HM2411" s="223"/>
      <c r="HN2411" s="223"/>
      <c r="HO2411" s="223"/>
      <c r="HP2411" s="223"/>
      <c r="HQ2411" s="223"/>
      <c r="HR2411" s="223"/>
      <c r="HS2411" s="223"/>
      <c r="HT2411" s="223"/>
      <c r="HU2411" s="223"/>
      <c r="HV2411" s="223"/>
      <c r="HW2411" s="223"/>
      <c r="HX2411" s="223"/>
      <c r="HY2411" s="223"/>
      <c r="HZ2411" s="223"/>
      <c r="IA2411" s="223"/>
      <c r="IB2411" s="223"/>
      <c r="IC2411" s="223"/>
      <c r="ID2411" s="223"/>
      <c r="IE2411" s="223"/>
      <c r="IF2411" s="223"/>
      <c r="IG2411" s="223"/>
      <c r="IH2411" s="223"/>
      <c r="II2411" s="223"/>
      <c r="IJ2411" s="223"/>
      <c r="IK2411" s="223"/>
      <c r="IL2411" s="223"/>
      <c r="IM2411" s="223"/>
      <c r="IN2411" s="223"/>
      <c r="IO2411" s="223"/>
      <c r="IP2411" s="223"/>
      <c r="IQ2411" s="223"/>
      <c r="IR2411" s="223"/>
      <c r="IS2411" s="223"/>
      <c r="IT2411" s="223"/>
      <c r="IU2411" s="223"/>
      <c r="IV2411" s="223"/>
    </row>
    <row r="2412" spans="46:256" s="221" customFormat="1" x14ac:dyDescent="0.2">
      <c r="AT2412" s="222"/>
      <c r="AU2412" s="222"/>
      <c r="BD2412" s="223"/>
      <c r="BE2412" s="223"/>
      <c r="BF2412" s="223"/>
      <c r="BG2412" s="223"/>
      <c r="BH2412" s="223"/>
      <c r="BI2412" s="223"/>
      <c r="BJ2412" s="223"/>
      <c r="BK2412" s="223"/>
      <c r="BL2412" s="223"/>
      <c r="BM2412" s="223"/>
      <c r="BN2412" s="223"/>
      <c r="BO2412" s="223"/>
      <c r="BP2412" s="223"/>
      <c r="BQ2412" s="223"/>
      <c r="BR2412" s="223"/>
      <c r="BS2412" s="223"/>
      <c r="BT2412" s="223"/>
      <c r="BU2412" s="223"/>
      <c r="BV2412" s="223"/>
      <c r="BW2412" s="223"/>
      <c r="BX2412" s="223"/>
      <c r="BY2412" s="223"/>
      <c r="BZ2412" s="223"/>
      <c r="CA2412" s="223"/>
      <c r="CB2412" s="223"/>
      <c r="CC2412" s="223"/>
      <c r="CD2412" s="223"/>
      <c r="CE2412" s="223"/>
      <c r="CF2412" s="223"/>
      <c r="CG2412" s="223"/>
      <c r="CH2412" s="223"/>
      <c r="CI2412" s="223"/>
      <c r="CJ2412" s="223"/>
      <c r="CK2412" s="223"/>
      <c r="CL2412" s="223"/>
      <c r="CM2412" s="223"/>
      <c r="CN2412" s="223"/>
      <c r="CO2412" s="223"/>
      <c r="CP2412" s="223"/>
      <c r="CQ2412" s="223"/>
      <c r="CR2412" s="223"/>
      <c r="CS2412" s="223"/>
      <c r="CT2412" s="223"/>
      <c r="CU2412" s="223"/>
      <c r="CV2412" s="223"/>
      <c r="CW2412" s="223"/>
      <c r="CX2412" s="223"/>
      <c r="CY2412" s="223"/>
      <c r="CZ2412" s="223"/>
      <c r="DA2412" s="223"/>
      <c r="DB2412" s="223"/>
      <c r="DC2412" s="223"/>
      <c r="DD2412" s="223"/>
      <c r="DE2412" s="223"/>
      <c r="DF2412" s="223"/>
      <c r="DG2412" s="223"/>
      <c r="DH2412" s="223"/>
      <c r="DI2412" s="223"/>
      <c r="DJ2412" s="223"/>
      <c r="DK2412" s="223"/>
      <c r="DL2412" s="223"/>
      <c r="DM2412" s="223"/>
      <c r="DN2412" s="223"/>
      <c r="DO2412" s="223"/>
      <c r="DP2412" s="223"/>
      <c r="DQ2412" s="223"/>
      <c r="DR2412" s="223"/>
      <c r="DS2412" s="223"/>
      <c r="DT2412" s="223"/>
      <c r="DU2412" s="223"/>
      <c r="DV2412" s="223"/>
      <c r="DW2412" s="223"/>
      <c r="DX2412" s="223"/>
      <c r="DY2412" s="223"/>
      <c r="DZ2412" s="223"/>
      <c r="EA2412" s="223"/>
      <c r="EB2412" s="223"/>
      <c r="EC2412" s="223"/>
      <c r="ED2412" s="223"/>
      <c r="EE2412" s="223"/>
      <c r="EF2412" s="223"/>
      <c r="EG2412" s="223"/>
      <c r="EH2412" s="223"/>
      <c r="EI2412" s="223"/>
      <c r="EJ2412" s="223"/>
      <c r="EK2412" s="223"/>
      <c r="EL2412" s="223"/>
      <c r="EM2412" s="223"/>
      <c r="EN2412" s="223"/>
      <c r="EO2412" s="223"/>
      <c r="EP2412" s="223"/>
      <c r="EQ2412" s="223"/>
      <c r="ER2412" s="223"/>
      <c r="ES2412" s="223"/>
      <c r="ET2412" s="223"/>
      <c r="EU2412" s="223"/>
      <c r="EV2412" s="223"/>
      <c r="EW2412" s="223"/>
      <c r="EX2412" s="223"/>
      <c r="EY2412" s="223"/>
      <c r="EZ2412" s="223"/>
      <c r="FA2412" s="223"/>
      <c r="FB2412" s="223"/>
      <c r="FC2412" s="223"/>
      <c r="FD2412" s="223"/>
      <c r="FE2412" s="223"/>
      <c r="FF2412" s="223"/>
      <c r="FG2412" s="223"/>
      <c r="FH2412" s="223"/>
      <c r="FI2412" s="223"/>
      <c r="FJ2412" s="223"/>
      <c r="FK2412" s="223"/>
      <c r="FL2412" s="223"/>
      <c r="FM2412" s="223"/>
      <c r="FN2412" s="223"/>
      <c r="FO2412" s="223"/>
      <c r="FP2412" s="223"/>
      <c r="FQ2412" s="223"/>
      <c r="FR2412" s="223"/>
      <c r="FS2412" s="223"/>
      <c r="FT2412" s="223"/>
      <c r="FU2412" s="223"/>
      <c r="FV2412" s="223"/>
      <c r="FW2412" s="223"/>
      <c r="FX2412" s="223"/>
      <c r="FY2412" s="223"/>
      <c r="FZ2412" s="223"/>
      <c r="GA2412" s="223"/>
      <c r="GB2412" s="223"/>
      <c r="GC2412" s="223"/>
      <c r="GD2412" s="223"/>
      <c r="GE2412" s="223"/>
      <c r="GF2412" s="223"/>
      <c r="GG2412" s="223"/>
      <c r="GH2412" s="223"/>
      <c r="GI2412" s="223"/>
      <c r="GJ2412" s="223"/>
      <c r="GK2412" s="223"/>
      <c r="GL2412" s="223"/>
      <c r="GM2412" s="223"/>
      <c r="GN2412" s="223"/>
      <c r="GO2412" s="223"/>
      <c r="GP2412" s="223"/>
      <c r="GQ2412" s="223"/>
      <c r="GR2412" s="223"/>
      <c r="GS2412" s="223"/>
      <c r="GT2412" s="223"/>
      <c r="GU2412" s="223"/>
      <c r="GV2412" s="223"/>
      <c r="GW2412" s="223"/>
      <c r="GX2412" s="223"/>
      <c r="GY2412" s="223"/>
      <c r="GZ2412" s="223"/>
      <c r="HA2412" s="223"/>
      <c r="HB2412" s="223"/>
      <c r="HC2412" s="223"/>
      <c r="HD2412" s="223"/>
      <c r="HE2412" s="223"/>
      <c r="HF2412" s="223"/>
      <c r="HG2412" s="223"/>
      <c r="HH2412" s="223"/>
      <c r="HI2412" s="223"/>
      <c r="HJ2412" s="223"/>
      <c r="HK2412" s="223"/>
      <c r="HL2412" s="223"/>
      <c r="HM2412" s="223"/>
      <c r="HN2412" s="223"/>
      <c r="HO2412" s="223"/>
      <c r="HP2412" s="223"/>
      <c r="HQ2412" s="223"/>
      <c r="HR2412" s="223"/>
      <c r="HS2412" s="223"/>
      <c r="HT2412" s="223"/>
      <c r="HU2412" s="223"/>
      <c r="HV2412" s="223"/>
      <c r="HW2412" s="223"/>
      <c r="HX2412" s="223"/>
      <c r="HY2412" s="223"/>
      <c r="HZ2412" s="223"/>
      <c r="IA2412" s="223"/>
      <c r="IB2412" s="223"/>
      <c r="IC2412" s="223"/>
      <c r="ID2412" s="223"/>
      <c r="IE2412" s="223"/>
      <c r="IF2412" s="223"/>
      <c r="IG2412" s="223"/>
      <c r="IH2412" s="223"/>
      <c r="II2412" s="223"/>
      <c r="IJ2412" s="223"/>
      <c r="IK2412" s="223"/>
      <c r="IL2412" s="223"/>
      <c r="IM2412" s="223"/>
      <c r="IN2412" s="223"/>
      <c r="IO2412" s="223"/>
      <c r="IP2412" s="223"/>
      <c r="IQ2412" s="223"/>
      <c r="IR2412" s="223"/>
      <c r="IS2412" s="223"/>
      <c r="IT2412" s="223"/>
      <c r="IU2412" s="223"/>
      <c r="IV2412" s="223"/>
    </row>
    <row r="2413" spans="46:256" s="221" customFormat="1" x14ac:dyDescent="0.2">
      <c r="AT2413" s="222"/>
      <c r="AU2413" s="222"/>
      <c r="BD2413" s="223"/>
      <c r="BE2413" s="223"/>
      <c r="BF2413" s="223"/>
      <c r="BG2413" s="223"/>
      <c r="BH2413" s="223"/>
      <c r="BI2413" s="223"/>
      <c r="BJ2413" s="223"/>
      <c r="BK2413" s="223"/>
      <c r="BL2413" s="223"/>
      <c r="BM2413" s="223"/>
      <c r="BN2413" s="223"/>
      <c r="BO2413" s="223"/>
      <c r="BP2413" s="223"/>
      <c r="BQ2413" s="223"/>
      <c r="BR2413" s="223"/>
      <c r="BS2413" s="223"/>
      <c r="BT2413" s="223"/>
      <c r="BU2413" s="223"/>
      <c r="BV2413" s="223"/>
      <c r="BW2413" s="223"/>
      <c r="BX2413" s="223"/>
      <c r="BY2413" s="223"/>
      <c r="BZ2413" s="223"/>
      <c r="CA2413" s="223"/>
      <c r="CB2413" s="223"/>
      <c r="CC2413" s="223"/>
      <c r="CD2413" s="223"/>
      <c r="CE2413" s="223"/>
      <c r="CF2413" s="223"/>
      <c r="CG2413" s="223"/>
      <c r="CH2413" s="223"/>
      <c r="CI2413" s="223"/>
      <c r="CJ2413" s="223"/>
      <c r="CK2413" s="223"/>
      <c r="CL2413" s="223"/>
      <c r="CM2413" s="223"/>
      <c r="CN2413" s="223"/>
      <c r="CO2413" s="223"/>
      <c r="CP2413" s="223"/>
      <c r="CQ2413" s="223"/>
      <c r="CR2413" s="223"/>
      <c r="CS2413" s="223"/>
      <c r="CT2413" s="223"/>
      <c r="CU2413" s="223"/>
      <c r="CV2413" s="223"/>
      <c r="CW2413" s="223"/>
      <c r="CX2413" s="223"/>
      <c r="CY2413" s="223"/>
      <c r="CZ2413" s="223"/>
      <c r="DA2413" s="223"/>
      <c r="DB2413" s="223"/>
      <c r="DC2413" s="223"/>
      <c r="DD2413" s="223"/>
      <c r="DE2413" s="223"/>
      <c r="DF2413" s="223"/>
      <c r="DG2413" s="223"/>
      <c r="DH2413" s="223"/>
      <c r="DI2413" s="223"/>
      <c r="DJ2413" s="223"/>
      <c r="DK2413" s="223"/>
      <c r="DL2413" s="223"/>
      <c r="DM2413" s="223"/>
      <c r="DN2413" s="223"/>
      <c r="DO2413" s="223"/>
      <c r="DP2413" s="223"/>
      <c r="DQ2413" s="223"/>
      <c r="DR2413" s="223"/>
      <c r="DS2413" s="223"/>
      <c r="DT2413" s="223"/>
      <c r="DU2413" s="223"/>
      <c r="DV2413" s="223"/>
      <c r="DW2413" s="223"/>
      <c r="DX2413" s="223"/>
      <c r="DY2413" s="223"/>
      <c r="DZ2413" s="223"/>
      <c r="EA2413" s="223"/>
      <c r="EB2413" s="223"/>
      <c r="EC2413" s="223"/>
      <c r="ED2413" s="223"/>
      <c r="EE2413" s="223"/>
      <c r="EF2413" s="223"/>
      <c r="EG2413" s="223"/>
      <c r="EH2413" s="223"/>
      <c r="EI2413" s="223"/>
      <c r="EJ2413" s="223"/>
      <c r="EK2413" s="223"/>
      <c r="EL2413" s="223"/>
      <c r="EM2413" s="223"/>
      <c r="EN2413" s="223"/>
      <c r="EO2413" s="223"/>
      <c r="EP2413" s="223"/>
      <c r="EQ2413" s="223"/>
      <c r="ER2413" s="223"/>
      <c r="ES2413" s="223"/>
      <c r="ET2413" s="223"/>
      <c r="EU2413" s="223"/>
      <c r="EV2413" s="223"/>
      <c r="EW2413" s="223"/>
      <c r="EX2413" s="223"/>
      <c r="EY2413" s="223"/>
      <c r="EZ2413" s="223"/>
      <c r="FA2413" s="223"/>
      <c r="FB2413" s="223"/>
      <c r="FC2413" s="223"/>
      <c r="FD2413" s="223"/>
      <c r="FE2413" s="223"/>
      <c r="FF2413" s="223"/>
      <c r="FG2413" s="223"/>
      <c r="FH2413" s="223"/>
      <c r="FI2413" s="223"/>
      <c r="FJ2413" s="223"/>
      <c r="FK2413" s="223"/>
      <c r="FL2413" s="223"/>
      <c r="FM2413" s="223"/>
      <c r="FN2413" s="223"/>
      <c r="FO2413" s="223"/>
      <c r="FP2413" s="223"/>
      <c r="FQ2413" s="223"/>
      <c r="FR2413" s="223"/>
      <c r="FS2413" s="223"/>
      <c r="FT2413" s="223"/>
      <c r="FU2413" s="223"/>
      <c r="FV2413" s="223"/>
      <c r="FW2413" s="223"/>
      <c r="FX2413" s="223"/>
      <c r="FY2413" s="223"/>
      <c r="FZ2413" s="223"/>
      <c r="GA2413" s="223"/>
      <c r="GB2413" s="223"/>
      <c r="GC2413" s="223"/>
      <c r="GD2413" s="223"/>
      <c r="GE2413" s="223"/>
      <c r="GF2413" s="223"/>
      <c r="GG2413" s="223"/>
      <c r="GH2413" s="223"/>
      <c r="GI2413" s="223"/>
      <c r="GJ2413" s="223"/>
      <c r="GK2413" s="223"/>
      <c r="GL2413" s="223"/>
      <c r="GM2413" s="223"/>
      <c r="GN2413" s="223"/>
      <c r="GO2413" s="223"/>
      <c r="GP2413" s="223"/>
      <c r="GQ2413" s="223"/>
      <c r="GR2413" s="223"/>
      <c r="GS2413" s="223"/>
      <c r="GT2413" s="223"/>
      <c r="GU2413" s="223"/>
      <c r="GV2413" s="223"/>
      <c r="GW2413" s="223"/>
      <c r="GX2413" s="223"/>
      <c r="GY2413" s="223"/>
      <c r="GZ2413" s="223"/>
      <c r="HA2413" s="223"/>
      <c r="HB2413" s="223"/>
      <c r="HC2413" s="223"/>
      <c r="HD2413" s="223"/>
      <c r="HE2413" s="223"/>
      <c r="HF2413" s="223"/>
      <c r="HG2413" s="223"/>
      <c r="HH2413" s="223"/>
      <c r="HI2413" s="223"/>
      <c r="HJ2413" s="223"/>
      <c r="HK2413" s="223"/>
      <c r="HL2413" s="223"/>
      <c r="HM2413" s="223"/>
      <c r="HN2413" s="223"/>
      <c r="HO2413" s="223"/>
      <c r="HP2413" s="223"/>
      <c r="HQ2413" s="223"/>
      <c r="HR2413" s="223"/>
      <c r="HS2413" s="223"/>
      <c r="HT2413" s="223"/>
      <c r="HU2413" s="223"/>
      <c r="HV2413" s="223"/>
      <c r="HW2413" s="223"/>
      <c r="HX2413" s="223"/>
      <c r="HY2413" s="223"/>
      <c r="HZ2413" s="223"/>
      <c r="IA2413" s="223"/>
      <c r="IB2413" s="223"/>
      <c r="IC2413" s="223"/>
      <c r="ID2413" s="223"/>
      <c r="IE2413" s="223"/>
      <c r="IF2413" s="223"/>
      <c r="IG2413" s="223"/>
      <c r="IH2413" s="223"/>
      <c r="II2413" s="223"/>
      <c r="IJ2413" s="223"/>
      <c r="IK2413" s="223"/>
      <c r="IL2413" s="223"/>
      <c r="IM2413" s="223"/>
      <c r="IN2413" s="223"/>
      <c r="IO2413" s="223"/>
      <c r="IP2413" s="223"/>
      <c r="IQ2413" s="223"/>
      <c r="IR2413" s="223"/>
      <c r="IS2413" s="223"/>
      <c r="IT2413" s="223"/>
      <c r="IU2413" s="223"/>
      <c r="IV2413" s="223"/>
    </row>
    <row r="2414" spans="46:256" s="221" customFormat="1" x14ac:dyDescent="0.2">
      <c r="AT2414" s="222"/>
      <c r="AU2414" s="222"/>
      <c r="BD2414" s="223"/>
      <c r="BE2414" s="223"/>
      <c r="BF2414" s="223"/>
      <c r="BG2414" s="223"/>
      <c r="BH2414" s="223"/>
      <c r="BI2414" s="223"/>
      <c r="BJ2414" s="223"/>
      <c r="BK2414" s="223"/>
      <c r="BL2414" s="223"/>
      <c r="BM2414" s="223"/>
      <c r="BN2414" s="223"/>
      <c r="BO2414" s="223"/>
      <c r="BP2414" s="223"/>
      <c r="BQ2414" s="223"/>
      <c r="BR2414" s="223"/>
      <c r="BS2414" s="223"/>
      <c r="BT2414" s="223"/>
      <c r="BU2414" s="223"/>
      <c r="BV2414" s="223"/>
      <c r="BW2414" s="223"/>
      <c r="BX2414" s="223"/>
      <c r="BY2414" s="223"/>
      <c r="BZ2414" s="223"/>
      <c r="CA2414" s="223"/>
      <c r="CB2414" s="223"/>
      <c r="CC2414" s="223"/>
      <c r="CD2414" s="223"/>
      <c r="CE2414" s="223"/>
      <c r="CF2414" s="223"/>
      <c r="CG2414" s="223"/>
      <c r="CH2414" s="223"/>
      <c r="CI2414" s="223"/>
      <c r="CJ2414" s="223"/>
      <c r="CK2414" s="223"/>
      <c r="CL2414" s="223"/>
      <c r="CM2414" s="223"/>
      <c r="CN2414" s="223"/>
      <c r="CO2414" s="223"/>
      <c r="CP2414" s="223"/>
      <c r="CQ2414" s="223"/>
      <c r="CR2414" s="223"/>
      <c r="CS2414" s="223"/>
      <c r="CT2414" s="223"/>
      <c r="CU2414" s="223"/>
      <c r="CV2414" s="223"/>
      <c r="CW2414" s="223"/>
      <c r="CX2414" s="223"/>
      <c r="CY2414" s="223"/>
      <c r="CZ2414" s="223"/>
      <c r="DA2414" s="223"/>
      <c r="DB2414" s="223"/>
      <c r="DC2414" s="223"/>
      <c r="DD2414" s="223"/>
      <c r="DE2414" s="223"/>
      <c r="DF2414" s="223"/>
      <c r="DG2414" s="223"/>
      <c r="DH2414" s="223"/>
      <c r="DI2414" s="223"/>
      <c r="DJ2414" s="223"/>
      <c r="DK2414" s="223"/>
      <c r="DL2414" s="223"/>
      <c r="DM2414" s="223"/>
      <c r="DN2414" s="223"/>
      <c r="DO2414" s="223"/>
      <c r="DP2414" s="223"/>
      <c r="DQ2414" s="223"/>
      <c r="DR2414" s="223"/>
      <c r="DS2414" s="223"/>
      <c r="DT2414" s="223"/>
      <c r="DU2414" s="223"/>
      <c r="DV2414" s="223"/>
      <c r="DW2414" s="223"/>
      <c r="DX2414" s="223"/>
      <c r="DY2414" s="223"/>
      <c r="DZ2414" s="223"/>
      <c r="EA2414" s="223"/>
      <c r="EB2414" s="223"/>
      <c r="EC2414" s="223"/>
      <c r="ED2414" s="223"/>
      <c r="EE2414" s="223"/>
      <c r="EF2414" s="223"/>
      <c r="EG2414" s="223"/>
      <c r="EH2414" s="223"/>
      <c r="EI2414" s="223"/>
      <c r="EJ2414" s="223"/>
      <c r="EK2414" s="223"/>
      <c r="EL2414" s="223"/>
      <c r="EM2414" s="223"/>
      <c r="EN2414" s="223"/>
      <c r="EO2414" s="223"/>
      <c r="EP2414" s="223"/>
      <c r="EQ2414" s="223"/>
      <c r="ER2414" s="223"/>
      <c r="ES2414" s="223"/>
      <c r="ET2414" s="223"/>
      <c r="EU2414" s="223"/>
      <c r="EV2414" s="223"/>
      <c r="EW2414" s="223"/>
      <c r="EX2414" s="223"/>
      <c r="EY2414" s="223"/>
      <c r="EZ2414" s="223"/>
      <c r="FA2414" s="223"/>
      <c r="FB2414" s="223"/>
      <c r="FC2414" s="223"/>
      <c r="FD2414" s="223"/>
      <c r="FE2414" s="223"/>
      <c r="FF2414" s="223"/>
      <c r="FG2414" s="223"/>
      <c r="FH2414" s="223"/>
      <c r="FI2414" s="223"/>
      <c r="FJ2414" s="223"/>
      <c r="FK2414" s="223"/>
      <c r="FL2414" s="223"/>
      <c r="FM2414" s="223"/>
      <c r="FN2414" s="223"/>
      <c r="FO2414" s="223"/>
      <c r="FP2414" s="223"/>
      <c r="FQ2414" s="223"/>
      <c r="FR2414" s="223"/>
      <c r="FS2414" s="223"/>
      <c r="FT2414" s="223"/>
      <c r="FU2414" s="223"/>
      <c r="FV2414" s="223"/>
      <c r="FW2414" s="223"/>
      <c r="FX2414" s="223"/>
      <c r="FY2414" s="223"/>
      <c r="FZ2414" s="223"/>
      <c r="GA2414" s="223"/>
      <c r="GB2414" s="223"/>
      <c r="GC2414" s="223"/>
      <c r="GD2414" s="223"/>
      <c r="GE2414" s="223"/>
      <c r="GF2414" s="223"/>
      <c r="GG2414" s="223"/>
      <c r="GH2414" s="223"/>
      <c r="GI2414" s="223"/>
      <c r="GJ2414" s="223"/>
      <c r="GK2414" s="223"/>
      <c r="GL2414" s="223"/>
      <c r="GM2414" s="223"/>
      <c r="GN2414" s="223"/>
      <c r="GO2414" s="223"/>
      <c r="GP2414" s="223"/>
      <c r="GQ2414" s="223"/>
      <c r="GR2414" s="223"/>
      <c r="GS2414" s="223"/>
      <c r="GT2414" s="223"/>
      <c r="GU2414" s="223"/>
      <c r="GV2414" s="223"/>
      <c r="GW2414" s="223"/>
      <c r="GX2414" s="223"/>
      <c r="GY2414" s="223"/>
      <c r="GZ2414" s="223"/>
      <c r="HA2414" s="223"/>
      <c r="HB2414" s="223"/>
      <c r="HC2414" s="223"/>
      <c r="HD2414" s="223"/>
      <c r="HE2414" s="223"/>
      <c r="HF2414" s="223"/>
      <c r="HG2414" s="223"/>
      <c r="HH2414" s="223"/>
      <c r="HI2414" s="223"/>
      <c r="HJ2414" s="223"/>
      <c r="HK2414" s="223"/>
      <c r="HL2414" s="223"/>
      <c r="HM2414" s="223"/>
      <c r="HN2414" s="223"/>
      <c r="HO2414" s="223"/>
      <c r="HP2414" s="223"/>
      <c r="HQ2414" s="223"/>
      <c r="HR2414" s="223"/>
      <c r="HS2414" s="223"/>
      <c r="HT2414" s="223"/>
      <c r="HU2414" s="223"/>
      <c r="HV2414" s="223"/>
      <c r="HW2414" s="223"/>
      <c r="HX2414" s="223"/>
      <c r="HY2414" s="223"/>
      <c r="HZ2414" s="223"/>
      <c r="IA2414" s="223"/>
      <c r="IB2414" s="223"/>
      <c r="IC2414" s="223"/>
      <c r="ID2414" s="223"/>
      <c r="IE2414" s="223"/>
      <c r="IF2414" s="223"/>
      <c r="IG2414" s="223"/>
      <c r="IH2414" s="223"/>
      <c r="II2414" s="223"/>
      <c r="IJ2414" s="223"/>
      <c r="IK2414" s="223"/>
      <c r="IL2414" s="223"/>
      <c r="IM2414" s="223"/>
      <c r="IN2414" s="223"/>
      <c r="IO2414" s="223"/>
      <c r="IP2414" s="223"/>
      <c r="IQ2414" s="223"/>
      <c r="IR2414" s="223"/>
      <c r="IS2414" s="223"/>
      <c r="IT2414" s="223"/>
      <c r="IU2414" s="223"/>
      <c r="IV2414" s="223"/>
    </row>
    <row r="2415" spans="46:256" s="221" customFormat="1" x14ac:dyDescent="0.2">
      <c r="AT2415" s="222"/>
      <c r="AU2415" s="222"/>
      <c r="BD2415" s="223"/>
      <c r="BE2415" s="223"/>
      <c r="BF2415" s="223"/>
      <c r="BG2415" s="223"/>
      <c r="BH2415" s="223"/>
      <c r="BI2415" s="223"/>
      <c r="BJ2415" s="223"/>
      <c r="BK2415" s="223"/>
      <c r="BL2415" s="223"/>
      <c r="BM2415" s="223"/>
      <c r="BN2415" s="223"/>
      <c r="BO2415" s="223"/>
      <c r="BP2415" s="223"/>
      <c r="BQ2415" s="223"/>
      <c r="BR2415" s="223"/>
      <c r="BS2415" s="223"/>
      <c r="BT2415" s="223"/>
      <c r="BU2415" s="223"/>
      <c r="BV2415" s="223"/>
      <c r="BW2415" s="223"/>
      <c r="BX2415" s="223"/>
      <c r="BY2415" s="223"/>
      <c r="BZ2415" s="223"/>
      <c r="CA2415" s="223"/>
      <c r="CB2415" s="223"/>
      <c r="CC2415" s="223"/>
      <c r="CD2415" s="223"/>
      <c r="CE2415" s="223"/>
      <c r="CF2415" s="223"/>
      <c r="CG2415" s="223"/>
      <c r="CH2415" s="223"/>
      <c r="CI2415" s="223"/>
      <c r="CJ2415" s="223"/>
      <c r="CK2415" s="223"/>
      <c r="CL2415" s="223"/>
      <c r="CM2415" s="223"/>
      <c r="CN2415" s="223"/>
      <c r="CO2415" s="223"/>
      <c r="CP2415" s="223"/>
      <c r="CQ2415" s="223"/>
      <c r="CR2415" s="223"/>
      <c r="CS2415" s="223"/>
      <c r="CT2415" s="223"/>
      <c r="CU2415" s="223"/>
      <c r="CV2415" s="223"/>
      <c r="CW2415" s="223"/>
      <c r="CX2415" s="223"/>
      <c r="CY2415" s="223"/>
      <c r="CZ2415" s="223"/>
      <c r="DA2415" s="223"/>
      <c r="DB2415" s="223"/>
      <c r="DC2415" s="223"/>
      <c r="DD2415" s="223"/>
      <c r="DE2415" s="223"/>
      <c r="DF2415" s="223"/>
      <c r="DG2415" s="223"/>
      <c r="DH2415" s="223"/>
      <c r="DI2415" s="223"/>
      <c r="DJ2415" s="223"/>
      <c r="DK2415" s="223"/>
      <c r="DL2415" s="223"/>
      <c r="DM2415" s="223"/>
      <c r="DN2415" s="223"/>
      <c r="DO2415" s="223"/>
      <c r="DP2415" s="223"/>
      <c r="DQ2415" s="223"/>
      <c r="DR2415" s="223"/>
      <c r="DS2415" s="223"/>
      <c r="DT2415" s="223"/>
      <c r="DU2415" s="223"/>
      <c r="DV2415" s="223"/>
      <c r="DW2415" s="223"/>
      <c r="DX2415" s="223"/>
      <c r="DY2415" s="223"/>
      <c r="DZ2415" s="223"/>
      <c r="EA2415" s="223"/>
      <c r="EB2415" s="223"/>
      <c r="EC2415" s="223"/>
      <c r="ED2415" s="223"/>
      <c r="EE2415" s="223"/>
      <c r="EF2415" s="223"/>
      <c r="EG2415" s="223"/>
      <c r="EH2415" s="223"/>
      <c r="EI2415" s="223"/>
      <c r="EJ2415" s="223"/>
      <c r="EK2415" s="223"/>
      <c r="EL2415" s="223"/>
      <c r="EM2415" s="223"/>
      <c r="EN2415" s="223"/>
      <c r="EO2415" s="223"/>
      <c r="EP2415" s="223"/>
      <c r="EQ2415" s="223"/>
      <c r="ER2415" s="223"/>
      <c r="ES2415" s="223"/>
      <c r="ET2415" s="223"/>
      <c r="EU2415" s="223"/>
      <c r="EV2415" s="223"/>
      <c r="EW2415" s="223"/>
      <c r="EX2415" s="223"/>
      <c r="EY2415" s="223"/>
      <c r="EZ2415" s="223"/>
      <c r="FA2415" s="223"/>
      <c r="FB2415" s="223"/>
      <c r="FC2415" s="223"/>
      <c r="FD2415" s="223"/>
      <c r="FE2415" s="223"/>
      <c r="FF2415" s="223"/>
      <c r="FG2415" s="223"/>
      <c r="FH2415" s="223"/>
      <c r="FI2415" s="223"/>
      <c r="FJ2415" s="223"/>
      <c r="FK2415" s="223"/>
      <c r="FL2415" s="223"/>
      <c r="FM2415" s="223"/>
      <c r="FN2415" s="223"/>
      <c r="FO2415" s="223"/>
      <c r="FP2415" s="223"/>
      <c r="FQ2415" s="223"/>
      <c r="FR2415" s="223"/>
      <c r="FS2415" s="223"/>
      <c r="FT2415" s="223"/>
      <c r="FU2415" s="223"/>
      <c r="FV2415" s="223"/>
      <c r="FW2415" s="223"/>
      <c r="FX2415" s="223"/>
      <c r="FY2415" s="223"/>
      <c r="FZ2415" s="223"/>
      <c r="GA2415" s="223"/>
      <c r="GB2415" s="223"/>
      <c r="GC2415" s="223"/>
      <c r="GD2415" s="223"/>
      <c r="GE2415" s="223"/>
      <c r="GF2415" s="223"/>
      <c r="GG2415" s="223"/>
      <c r="GH2415" s="223"/>
      <c r="GI2415" s="223"/>
      <c r="GJ2415" s="223"/>
      <c r="GK2415" s="223"/>
      <c r="GL2415" s="223"/>
      <c r="GM2415" s="223"/>
      <c r="GN2415" s="223"/>
      <c r="GO2415" s="223"/>
      <c r="GP2415" s="223"/>
      <c r="GQ2415" s="223"/>
      <c r="GR2415" s="223"/>
      <c r="GS2415" s="223"/>
      <c r="GT2415" s="223"/>
      <c r="GU2415" s="223"/>
      <c r="GV2415" s="223"/>
      <c r="GW2415" s="223"/>
      <c r="GX2415" s="223"/>
      <c r="GY2415" s="223"/>
      <c r="GZ2415" s="223"/>
      <c r="HA2415" s="223"/>
      <c r="HB2415" s="223"/>
      <c r="HC2415" s="223"/>
      <c r="HD2415" s="223"/>
      <c r="HE2415" s="223"/>
      <c r="HF2415" s="223"/>
      <c r="HG2415" s="223"/>
      <c r="HH2415" s="223"/>
      <c r="HI2415" s="223"/>
      <c r="HJ2415" s="223"/>
      <c r="HK2415" s="223"/>
      <c r="HL2415" s="223"/>
      <c r="HM2415" s="223"/>
      <c r="HN2415" s="223"/>
      <c r="HO2415" s="223"/>
      <c r="HP2415" s="223"/>
      <c r="HQ2415" s="223"/>
      <c r="HR2415" s="223"/>
      <c r="HS2415" s="223"/>
      <c r="HT2415" s="223"/>
      <c r="HU2415" s="223"/>
      <c r="HV2415" s="223"/>
      <c r="HW2415" s="223"/>
      <c r="HX2415" s="223"/>
      <c r="HY2415" s="223"/>
      <c r="HZ2415" s="223"/>
      <c r="IA2415" s="223"/>
      <c r="IB2415" s="223"/>
      <c r="IC2415" s="223"/>
      <c r="ID2415" s="223"/>
      <c r="IE2415" s="223"/>
      <c r="IF2415" s="223"/>
      <c r="IG2415" s="223"/>
      <c r="IH2415" s="223"/>
      <c r="II2415" s="223"/>
      <c r="IJ2415" s="223"/>
      <c r="IK2415" s="223"/>
      <c r="IL2415" s="223"/>
      <c r="IM2415" s="223"/>
      <c r="IN2415" s="223"/>
      <c r="IO2415" s="223"/>
      <c r="IP2415" s="223"/>
      <c r="IQ2415" s="223"/>
      <c r="IR2415" s="223"/>
      <c r="IS2415" s="223"/>
      <c r="IT2415" s="223"/>
      <c r="IU2415" s="223"/>
      <c r="IV2415" s="223"/>
    </row>
    <row r="2416" spans="46:256" s="221" customFormat="1" x14ac:dyDescent="0.2">
      <c r="AT2416" s="222"/>
      <c r="AU2416" s="222"/>
      <c r="BD2416" s="223"/>
      <c r="BE2416" s="223"/>
      <c r="BF2416" s="223"/>
      <c r="BG2416" s="223"/>
      <c r="BH2416" s="223"/>
      <c r="BI2416" s="223"/>
      <c r="BJ2416" s="223"/>
      <c r="BK2416" s="223"/>
      <c r="BL2416" s="223"/>
      <c r="BM2416" s="223"/>
      <c r="BN2416" s="223"/>
      <c r="BO2416" s="223"/>
      <c r="BP2416" s="223"/>
      <c r="BQ2416" s="223"/>
      <c r="BR2416" s="223"/>
      <c r="BS2416" s="223"/>
      <c r="BT2416" s="223"/>
      <c r="BU2416" s="223"/>
      <c r="BV2416" s="223"/>
      <c r="BW2416" s="223"/>
      <c r="BX2416" s="223"/>
      <c r="BY2416" s="223"/>
      <c r="BZ2416" s="223"/>
      <c r="CA2416" s="223"/>
      <c r="CB2416" s="223"/>
      <c r="CC2416" s="223"/>
      <c r="CD2416" s="223"/>
      <c r="CE2416" s="223"/>
      <c r="CF2416" s="223"/>
      <c r="CG2416" s="223"/>
      <c r="CH2416" s="223"/>
      <c r="CI2416" s="223"/>
      <c r="CJ2416" s="223"/>
      <c r="CK2416" s="223"/>
      <c r="CL2416" s="223"/>
      <c r="CM2416" s="223"/>
      <c r="CN2416" s="223"/>
      <c r="CO2416" s="223"/>
      <c r="CP2416" s="223"/>
      <c r="CQ2416" s="223"/>
      <c r="CR2416" s="223"/>
      <c r="CS2416" s="223"/>
      <c r="CT2416" s="223"/>
      <c r="CU2416" s="223"/>
      <c r="CV2416" s="223"/>
      <c r="CW2416" s="223"/>
      <c r="CX2416" s="223"/>
      <c r="CY2416" s="223"/>
      <c r="CZ2416" s="223"/>
      <c r="DA2416" s="223"/>
      <c r="DB2416" s="223"/>
      <c r="DC2416" s="223"/>
      <c r="DD2416" s="223"/>
      <c r="DE2416" s="223"/>
      <c r="DF2416" s="223"/>
      <c r="DG2416" s="223"/>
      <c r="DH2416" s="223"/>
      <c r="DI2416" s="223"/>
      <c r="DJ2416" s="223"/>
      <c r="DK2416" s="223"/>
      <c r="DL2416" s="223"/>
      <c r="DM2416" s="223"/>
      <c r="DN2416" s="223"/>
      <c r="DO2416" s="223"/>
      <c r="DP2416" s="223"/>
      <c r="DQ2416" s="223"/>
      <c r="DR2416" s="223"/>
      <c r="DS2416" s="223"/>
      <c r="DT2416" s="223"/>
      <c r="DU2416" s="223"/>
      <c r="DV2416" s="223"/>
      <c r="DW2416" s="223"/>
      <c r="DX2416" s="223"/>
      <c r="DY2416" s="223"/>
      <c r="DZ2416" s="223"/>
      <c r="EA2416" s="223"/>
      <c r="EB2416" s="223"/>
      <c r="EC2416" s="223"/>
      <c r="ED2416" s="223"/>
      <c r="EE2416" s="223"/>
      <c r="EF2416" s="223"/>
      <c r="EG2416" s="223"/>
      <c r="EH2416" s="223"/>
      <c r="EI2416" s="223"/>
      <c r="EJ2416" s="223"/>
      <c r="EK2416" s="223"/>
      <c r="EL2416" s="223"/>
      <c r="EM2416" s="223"/>
      <c r="EN2416" s="223"/>
      <c r="EO2416" s="223"/>
      <c r="EP2416" s="223"/>
      <c r="EQ2416" s="223"/>
      <c r="ER2416" s="223"/>
      <c r="ES2416" s="223"/>
      <c r="ET2416" s="223"/>
      <c r="EU2416" s="223"/>
      <c r="EV2416" s="223"/>
      <c r="EW2416" s="223"/>
      <c r="EX2416" s="223"/>
      <c r="EY2416" s="223"/>
      <c r="EZ2416" s="223"/>
      <c r="FA2416" s="223"/>
      <c r="FB2416" s="223"/>
      <c r="FC2416" s="223"/>
      <c r="FD2416" s="223"/>
      <c r="FE2416" s="223"/>
      <c r="FF2416" s="223"/>
      <c r="FG2416" s="223"/>
      <c r="FH2416" s="223"/>
      <c r="FI2416" s="223"/>
      <c r="FJ2416" s="223"/>
      <c r="FK2416" s="223"/>
      <c r="FL2416" s="223"/>
      <c r="FM2416" s="223"/>
      <c r="FN2416" s="223"/>
      <c r="FO2416" s="223"/>
      <c r="FP2416" s="223"/>
      <c r="FQ2416" s="223"/>
      <c r="FR2416" s="223"/>
      <c r="FS2416" s="223"/>
      <c r="FT2416" s="223"/>
      <c r="FU2416" s="223"/>
      <c r="FV2416" s="223"/>
      <c r="FW2416" s="223"/>
      <c r="FX2416" s="223"/>
      <c r="FY2416" s="223"/>
      <c r="FZ2416" s="223"/>
      <c r="GA2416" s="223"/>
      <c r="GB2416" s="223"/>
      <c r="GC2416" s="223"/>
      <c r="GD2416" s="223"/>
      <c r="GE2416" s="223"/>
      <c r="GF2416" s="223"/>
      <c r="GG2416" s="223"/>
      <c r="GH2416" s="223"/>
      <c r="GI2416" s="223"/>
      <c r="GJ2416" s="223"/>
      <c r="GK2416" s="223"/>
      <c r="GL2416" s="223"/>
      <c r="GM2416" s="223"/>
      <c r="GN2416" s="223"/>
      <c r="GO2416" s="223"/>
      <c r="GP2416" s="223"/>
      <c r="GQ2416" s="223"/>
      <c r="GR2416" s="223"/>
      <c r="GS2416" s="223"/>
      <c r="GT2416" s="223"/>
      <c r="GU2416" s="223"/>
      <c r="GV2416" s="223"/>
      <c r="GW2416" s="223"/>
      <c r="GX2416" s="223"/>
      <c r="GY2416" s="223"/>
      <c r="GZ2416" s="223"/>
      <c r="HA2416" s="223"/>
      <c r="HB2416" s="223"/>
      <c r="HC2416" s="223"/>
      <c r="HD2416" s="223"/>
      <c r="HE2416" s="223"/>
      <c r="HF2416" s="223"/>
      <c r="HG2416" s="223"/>
      <c r="HH2416" s="223"/>
      <c r="HI2416" s="223"/>
      <c r="HJ2416" s="223"/>
      <c r="HK2416" s="223"/>
      <c r="HL2416" s="223"/>
      <c r="HM2416" s="223"/>
      <c r="HN2416" s="223"/>
      <c r="HO2416" s="223"/>
      <c r="HP2416" s="223"/>
      <c r="HQ2416" s="223"/>
      <c r="HR2416" s="223"/>
      <c r="HS2416" s="223"/>
      <c r="HT2416" s="223"/>
      <c r="HU2416" s="223"/>
      <c r="HV2416" s="223"/>
      <c r="HW2416" s="223"/>
      <c r="HX2416" s="223"/>
      <c r="HY2416" s="223"/>
      <c r="HZ2416" s="223"/>
      <c r="IA2416" s="223"/>
      <c r="IB2416" s="223"/>
      <c r="IC2416" s="223"/>
      <c r="ID2416" s="223"/>
      <c r="IE2416" s="223"/>
      <c r="IF2416" s="223"/>
      <c r="IG2416" s="223"/>
      <c r="IH2416" s="223"/>
      <c r="II2416" s="223"/>
      <c r="IJ2416" s="223"/>
      <c r="IK2416" s="223"/>
      <c r="IL2416" s="223"/>
      <c r="IM2416" s="223"/>
      <c r="IN2416" s="223"/>
      <c r="IO2416" s="223"/>
      <c r="IP2416" s="223"/>
      <c r="IQ2416" s="223"/>
      <c r="IR2416" s="223"/>
      <c r="IS2416" s="223"/>
      <c r="IT2416" s="223"/>
      <c r="IU2416" s="223"/>
      <c r="IV2416" s="223"/>
    </row>
    <row r="2417" spans="46:256" s="221" customFormat="1" x14ac:dyDescent="0.2">
      <c r="AT2417" s="222"/>
      <c r="AU2417" s="222"/>
      <c r="BD2417" s="223"/>
      <c r="BE2417" s="223"/>
      <c r="BF2417" s="223"/>
      <c r="BG2417" s="223"/>
      <c r="BH2417" s="223"/>
      <c r="BI2417" s="223"/>
      <c r="BJ2417" s="223"/>
      <c r="BK2417" s="223"/>
      <c r="BL2417" s="223"/>
      <c r="BM2417" s="223"/>
      <c r="BN2417" s="223"/>
      <c r="BO2417" s="223"/>
      <c r="BP2417" s="223"/>
      <c r="BQ2417" s="223"/>
      <c r="BR2417" s="223"/>
      <c r="BS2417" s="223"/>
      <c r="BT2417" s="223"/>
      <c r="BU2417" s="223"/>
      <c r="BV2417" s="223"/>
      <c r="BW2417" s="223"/>
      <c r="BX2417" s="223"/>
      <c r="BY2417" s="223"/>
      <c r="BZ2417" s="223"/>
      <c r="CA2417" s="223"/>
      <c r="CB2417" s="223"/>
      <c r="CC2417" s="223"/>
      <c r="CD2417" s="223"/>
      <c r="CE2417" s="223"/>
      <c r="CF2417" s="223"/>
      <c r="CG2417" s="223"/>
      <c r="CH2417" s="223"/>
      <c r="CI2417" s="223"/>
      <c r="CJ2417" s="223"/>
      <c r="CK2417" s="223"/>
      <c r="CL2417" s="223"/>
      <c r="CM2417" s="223"/>
      <c r="CN2417" s="223"/>
      <c r="CO2417" s="223"/>
      <c r="CP2417" s="223"/>
      <c r="CQ2417" s="223"/>
      <c r="CR2417" s="223"/>
      <c r="CS2417" s="223"/>
      <c r="CT2417" s="223"/>
      <c r="CU2417" s="223"/>
      <c r="CV2417" s="223"/>
      <c r="CW2417" s="223"/>
      <c r="CX2417" s="223"/>
      <c r="CY2417" s="223"/>
      <c r="CZ2417" s="223"/>
      <c r="DA2417" s="223"/>
      <c r="DB2417" s="223"/>
      <c r="DC2417" s="223"/>
      <c r="DD2417" s="223"/>
      <c r="DE2417" s="223"/>
      <c r="DF2417" s="223"/>
      <c r="DG2417" s="223"/>
      <c r="DH2417" s="223"/>
      <c r="DI2417" s="223"/>
      <c r="DJ2417" s="223"/>
      <c r="DK2417" s="223"/>
      <c r="DL2417" s="223"/>
      <c r="DM2417" s="223"/>
      <c r="DN2417" s="223"/>
      <c r="DO2417" s="223"/>
      <c r="DP2417" s="223"/>
      <c r="DQ2417" s="223"/>
      <c r="DR2417" s="223"/>
      <c r="DS2417" s="223"/>
      <c r="DT2417" s="223"/>
      <c r="DU2417" s="223"/>
      <c r="DV2417" s="223"/>
      <c r="DW2417" s="223"/>
      <c r="DX2417" s="223"/>
      <c r="DY2417" s="223"/>
      <c r="DZ2417" s="223"/>
      <c r="EA2417" s="223"/>
      <c r="EB2417" s="223"/>
      <c r="EC2417" s="223"/>
      <c r="ED2417" s="223"/>
      <c r="EE2417" s="223"/>
      <c r="EF2417" s="223"/>
      <c r="EG2417" s="223"/>
      <c r="EH2417" s="223"/>
      <c r="EI2417" s="223"/>
      <c r="EJ2417" s="223"/>
      <c r="EK2417" s="223"/>
      <c r="EL2417" s="223"/>
      <c r="EM2417" s="223"/>
      <c r="EN2417" s="223"/>
      <c r="EO2417" s="223"/>
      <c r="EP2417" s="223"/>
      <c r="EQ2417" s="223"/>
      <c r="ER2417" s="223"/>
      <c r="ES2417" s="223"/>
      <c r="ET2417" s="223"/>
      <c r="EU2417" s="223"/>
      <c r="EV2417" s="223"/>
      <c r="EW2417" s="223"/>
      <c r="EX2417" s="223"/>
      <c r="EY2417" s="223"/>
      <c r="EZ2417" s="223"/>
      <c r="FA2417" s="223"/>
      <c r="FB2417" s="223"/>
      <c r="FC2417" s="223"/>
      <c r="FD2417" s="223"/>
      <c r="FE2417" s="223"/>
      <c r="FF2417" s="223"/>
      <c r="FG2417" s="223"/>
      <c r="FH2417" s="223"/>
      <c r="FI2417" s="223"/>
      <c r="FJ2417" s="223"/>
      <c r="FK2417" s="223"/>
      <c r="FL2417" s="223"/>
      <c r="FM2417" s="223"/>
      <c r="FN2417" s="223"/>
      <c r="FO2417" s="223"/>
      <c r="FP2417" s="223"/>
      <c r="FQ2417" s="223"/>
      <c r="FR2417" s="223"/>
      <c r="FS2417" s="223"/>
      <c r="FT2417" s="223"/>
      <c r="FU2417" s="223"/>
      <c r="FV2417" s="223"/>
      <c r="FW2417" s="223"/>
      <c r="FX2417" s="223"/>
      <c r="FY2417" s="223"/>
      <c r="FZ2417" s="223"/>
      <c r="GA2417" s="223"/>
      <c r="GB2417" s="223"/>
      <c r="GC2417" s="223"/>
      <c r="GD2417" s="223"/>
      <c r="GE2417" s="223"/>
      <c r="GF2417" s="223"/>
      <c r="GG2417" s="223"/>
      <c r="GH2417" s="223"/>
      <c r="GI2417" s="223"/>
      <c r="GJ2417" s="223"/>
      <c r="GK2417" s="223"/>
      <c r="GL2417" s="223"/>
      <c r="GM2417" s="223"/>
      <c r="GN2417" s="223"/>
      <c r="GO2417" s="223"/>
      <c r="GP2417" s="223"/>
      <c r="GQ2417" s="223"/>
      <c r="GR2417" s="223"/>
      <c r="GS2417" s="223"/>
      <c r="GT2417" s="223"/>
      <c r="GU2417" s="223"/>
      <c r="GV2417" s="223"/>
      <c r="GW2417" s="223"/>
      <c r="GX2417" s="223"/>
      <c r="GY2417" s="223"/>
      <c r="GZ2417" s="223"/>
      <c r="HA2417" s="223"/>
      <c r="HB2417" s="223"/>
      <c r="HC2417" s="223"/>
      <c r="HD2417" s="223"/>
      <c r="HE2417" s="223"/>
      <c r="HF2417" s="223"/>
      <c r="HG2417" s="223"/>
      <c r="HH2417" s="223"/>
      <c r="HI2417" s="223"/>
      <c r="HJ2417" s="223"/>
      <c r="HK2417" s="223"/>
      <c r="HL2417" s="223"/>
      <c r="HM2417" s="223"/>
      <c r="HN2417" s="223"/>
      <c r="HO2417" s="223"/>
      <c r="HP2417" s="223"/>
      <c r="HQ2417" s="223"/>
      <c r="HR2417" s="223"/>
      <c r="HS2417" s="223"/>
      <c r="HT2417" s="223"/>
      <c r="HU2417" s="223"/>
      <c r="HV2417" s="223"/>
      <c r="HW2417" s="223"/>
      <c r="HX2417" s="223"/>
      <c r="HY2417" s="223"/>
      <c r="HZ2417" s="223"/>
      <c r="IA2417" s="223"/>
      <c r="IB2417" s="223"/>
      <c r="IC2417" s="223"/>
      <c r="ID2417" s="223"/>
      <c r="IE2417" s="223"/>
      <c r="IF2417" s="223"/>
      <c r="IG2417" s="223"/>
      <c r="IH2417" s="223"/>
      <c r="II2417" s="223"/>
      <c r="IJ2417" s="223"/>
      <c r="IK2417" s="223"/>
      <c r="IL2417" s="223"/>
      <c r="IM2417" s="223"/>
      <c r="IN2417" s="223"/>
      <c r="IO2417" s="223"/>
      <c r="IP2417" s="223"/>
      <c r="IQ2417" s="223"/>
      <c r="IR2417" s="223"/>
      <c r="IS2417" s="223"/>
      <c r="IT2417" s="223"/>
      <c r="IU2417" s="223"/>
      <c r="IV2417" s="223"/>
    </row>
    <row r="2418" spans="46:256" s="221" customFormat="1" x14ac:dyDescent="0.2">
      <c r="AT2418" s="222"/>
      <c r="AU2418" s="222"/>
      <c r="BD2418" s="223"/>
      <c r="BE2418" s="223"/>
      <c r="BF2418" s="223"/>
      <c r="BG2418" s="223"/>
      <c r="BH2418" s="223"/>
      <c r="BI2418" s="223"/>
      <c r="BJ2418" s="223"/>
      <c r="BK2418" s="223"/>
      <c r="BL2418" s="223"/>
      <c r="BM2418" s="223"/>
      <c r="BN2418" s="223"/>
      <c r="BO2418" s="223"/>
      <c r="BP2418" s="223"/>
      <c r="BQ2418" s="223"/>
      <c r="BR2418" s="223"/>
      <c r="BS2418" s="223"/>
      <c r="BT2418" s="223"/>
      <c r="BU2418" s="223"/>
      <c r="BV2418" s="223"/>
      <c r="BW2418" s="223"/>
      <c r="BX2418" s="223"/>
      <c r="BY2418" s="223"/>
      <c r="BZ2418" s="223"/>
      <c r="CA2418" s="223"/>
      <c r="CB2418" s="223"/>
      <c r="CC2418" s="223"/>
      <c r="CD2418" s="223"/>
      <c r="CE2418" s="223"/>
      <c r="CF2418" s="223"/>
      <c r="CG2418" s="223"/>
      <c r="CH2418" s="223"/>
      <c r="CI2418" s="223"/>
      <c r="CJ2418" s="223"/>
      <c r="CK2418" s="223"/>
      <c r="CL2418" s="223"/>
      <c r="CM2418" s="223"/>
      <c r="CN2418" s="223"/>
      <c r="CO2418" s="223"/>
      <c r="CP2418" s="223"/>
      <c r="CQ2418" s="223"/>
      <c r="CR2418" s="223"/>
      <c r="CS2418" s="223"/>
      <c r="CT2418" s="223"/>
      <c r="CU2418" s="223"/>
      <c r="CV2418" s="223"/>
      <c r="CW2418" s="223"/>
      <c r="CX2418" s="223"/>
      <c r="CY2418" s="223"/>
      <c r="CZ2418" s="223"/>
      <c r="DA2418" s="223"/>
      <c r="DB2418" s="223"/>
      <c r="DC2418" s="223"/>
      <c r="DD2418" s="223"/>
      <c r="DE2418" s="223"/>
      <c r="DF2418" s="223"/>
      <c r="DG2418" s="223"/>
      <c r="DH2418" s="223"/>
      <c r="DI2418" s="223"/>
      <c r="DJ2418" s="223"/>
      <c r="DK2418" s="223"/>
      <c r="DL2418" s="223"/>
      <c r="DM2418" s="223"/>
      <c r="DN2418" s="223"/>
      <c r="DO2418" s="223"/>
      <c r="DP2418" s="223"/>
      <c r="DQ2418" s="223"/>
      <c r="DR2418" s="223"/>
      <c r="DS2418" s="223"/>
      <c r="DT2418" s="223"/>
      <c r="DU2418" s="223"/>
      <c r="DV2418" s="223"/>
      <c r="DW2418" s="223"/>
      <c r="DX2418" s="223"/>
      <c r="DY2418" s="223"/>
      <c r="DZ2418" s="223"/>
      <c r="EA2418" s="223"/>
      <c r="EB2418" s="223"/>
      <c r="EC2418" s="223"/>
      <c r="ED2418" s="223"/>
      <c r="EE2418" s="223"/>
      <c r="EF2418" s="223"/>
      <c r="EG2418" s="223"/>
      <c r="EH2418" s="223"/>
      <c r="EI2418" s="223"/>
      <c r="EJ2418" s="223"/>
      <c r="EK2418" s="223"/>
      <c r="EL2418" s="223"/>
      <c r="EM2418" s="223"/>
      <c r="EN2418" s="223"/>
      <c r="EO2418" s="223"/>
      <c r="EP2418" s="223"/>
      <c r="EQ2418" s="223"/>
      <c r="ER2418" s="223"/>
      <c r="ES2418" s="223"/>
      <c r="ET2418" s="223"/>
      <c r="EU2418" s="223"/>
      <c r="EV2418" s="223"/>
      <c r="EW2418" s="223"/>
      <c r="EX2418" s="223"/>
      <c r="EY2418" s="223"/>
      <c r="EZ2418" s="223"/>
      <c r="FA2418" s="223"/>
      <c r="FB2418" s="223"/>
      <c r="FC2418" s="223"/>
      <c r="FD2418" s="223"/>
      <c r="FE2418" s="223"/>
      <c r="FF2418" s="223"/>
      <c r="FG2418" s="223"/>
      <c r="FH2418" s="223"/>
      <c r="FI2418" s="223"/>
      <c r="FJ2418" s="223"/>
      <c r="FK2418" s="223"/>
      <c r="FL2418" s="223"/>
      <c r="FM2418" s="223"/>
      <c r="FN2418" s="223"/>
      <c r="FO2418" s="223"/>
      <c r="FP2418" s="223"/>
      <c r="FQ2418" s="223"/>
      <c r="FR2418" s="223"/>
      <c r="FS2418" s="223"/>
      <c r="FT2418" s="223"/>
      <c r="FU2418" s="223"/>
      <c r="FV2418" s="223"/>
      <c r="FW2418" s="223"/>
      <c r="FX2418" s="223"/>
      <c r="FY2418" s="223"/>
      <c r="FZ2418" s="223"/>
      <c r="GA2418" s="223"/>
      <c r="GB2418" s="223"/>
      <c r="GC2418" s="223"/>
      <c r="GD2418" s="223"/>
      <c r="GE2418" s="223"/>
      <c r="GF2418" s="223"/>
      <c r="GG2418" s="223"/>
      <c r="GH2418" s="223"/>
      <c r="GI2418" s="223"/>
      <c r="GJ2418" s="223"/>
      <c r="GK2418" s="223"/>
      <c r="GL2418" s="223"/>
      <c r="GM2418" s="223"/>
      <c r="GN2418" s="223"/>
      <c r="GO2418" s="223"/>
      <c r="GP2418" s="223"/>
      <c r="GQ2418" s="223"/>
      <c r="GR2418" s="223"/>
      <c r="GS2418" s="223"/>
      <c r="GT2418" s="223"/>
      <c r="GU2418" s="223"/>
      <c r="GV2418" s="223"/>
      <c r="GW2418" s="223"/>
      <c r="GX2418" s="223"/>
      <c r="GY2418" s="223"/>
      <c r="GZ2418" s="223"/>
      <c r="HA2418" s="223"/>
      <c r="HB2418" s="223"/>
      <c r="HC2418" s="223"/>
      <c r="HD2418" s="223"/>
      <c r="HE2418" s="223"/>
      <c r="HF2418" s="223"/>
      <c r="HG2418" s="223"/>
      <c r="HH2418" s="223"/>
      <c r="HI2418" s="223"/>
      <c r="HJ2418" s="223"/>
      <c r="HK2418" s="223"/>
      <c r="HL2418" s="223"/>
      <c r="HM2418" s="223"/>
      <c r="HN2418" s="223"/>
      <c r="HO2418" s="223"/>
      <c r="HP2418" s="223"/>
      <c r="HQ2418" s="223"/>
      <c r="HR2418" s="223"/>
      <c r="HS2418" s="223"/>
      <c r="HT2418" s="223"/>
      <c r="HU2418" s="223"/>
      <c r="HV2418" s="223"/>
      <c r="HW2418" s="223"/>
      <c r="HX2418" s="223"/>
      <c r="HY2418" s="223"/>
      <c r="HZ2418" s="223"/>
      <c r="IA2418" s="223"/>
      <c r="IB2418" s="223"/>
      <c r="IC2418" s="223"/>
      <c r="ID2418" s="223"/>
      <c r="IE2418" s="223"/>
      <c r="IF2418" s="223"/>
      <c r="IG2418" s="223"/>
      <c r="IH2418" s="223"/>
      <c r="II2418" s="223"/>
      <c r="IJ2418" s="223"/>
      <c r="IK2418" s="223"/>
      <c r="IL2418" s="223"/>
      <c r="IM2418" s="223"/>
      <c r="IN2418" s="223"/>
      <c r="IO2418" s="223"/>
      <c r="IP2418" s="223"/>
      <c r="IQ2418" s="223"/>
      <c r="IR2418" s="223"/>
      <c r="IS2418" s="223"/>
      <c r="IT2418" s="223"/>
      <c r="IU2418" s="223"/>
      <c r="IV2418" s="223"/>
    </row>
    <row r="2419" spans="46:256" s="221" customFormat="1" x14ac:dyDescent="0.2">
      <c r="AT2419" s="222"/>
      <c r="AU2419" s="222"/>
      <c r="BD2419" s="223"/>
      <c r="BE2419" s="223"/>
      <c r="BF2419" s="223"/>
      <c r="BG2419" s="223"/>
      <c r="BH2419" s="223"/>
      <c r="BI2419" s="223"/>
      <c r="BJ2419" s="223"/>
      <c r="BK2419" s="223"/>
      <c r="BL2419" s="223"/>
      <c r="BM2419" s="223"/>
      <c r="BN2419" s="223"/>
      <c r="BO2419" s="223"/>
      <c r="BP2419" s="223"/>
      <c r="BQ2419" s="223"/>
      <c r="BR2419" s="223"/>
      <c r="BS2419" s="223"/>
      <c r="BT2419" s="223"/>
      <c r="BU2419" s="223"/>
      <c r="BV2419" s="223"/>
      <c r="BW2419" s="223"/>
      <c r="BX2419" s="223"/>
      <c r="BY2419" s="223"/>
      <c r="BZ2419" s="223"/>
      <c r="CA2419" s="223"/>
      <c r="CB2419" s="223"/>
      <c r="CC2419" s="223"/>
      <c r="CD2419" s="223"/>
      <c r="CE2419" s="223"/>
      <c r="CF2419" s="223"/>
      <c r="CG2419" s="223"/>
      <c r="CH2419" s="223"/>
      <c r="CI2419" s="223"/>
      <c r="CJ2419" s="223"/>
      <c r="CK2419" s="223"/>
      <c r="CL2419" s="223"/>
      <c r="CM2419" s="223"/>
      <c r="CN2419" s="223"/>
      <c r="CO2419" s="223"/>
      <c r="CP2419" s="223"/>
      <c r="CQ2419" s="223"/>
      <c r="CR2419" s="223"/>
      <c r="CS2419" s="223"/>
      <c r="CT2419" s="223"/>
      <c r="CU2419" s="223"/>
      <c r="CV2419" s="223"/>
      <c r="CW2419" s="223"/>
      <c r="CX2419" s="223"/>
      <c r="CY2419" s="223"/>
      <c r="CZ2419" s="223"/>
      <c r="DA2419" s="223"/>
      <c r="DB2419" s="223"/>
      <c r="DC2419" s="223"/>
      <c r="DD2419" s="223"/>
      <c r="DE2419" s="223"/>
      <c r="DF2419" s="223"/>
      <c r="DG2419" s="223"/>
      <c r="DH2419" s="223"/>
      <c r="DI2419" s="223"/>
      <c r="DJ2419" s="223"/>
      <c r="DK2419" s="223"/>
      <c r="DL2419" s="223"/>
      <c r="DM2419" s="223"/>
      <c r="DN2419" s="223"/>
      <c r="DO2419" s="223"/>
      <c r="DP2419" s="223"/>
      <c r="DQ2419" s="223"/>
      <c r="DR2419" s="223"/>
      <c r="DS2419" s="223"/>
      <c r="DT2419" s="223"/>
      <c r="DU2419" s="223"/>
      <c r="DV2419" s="223"/>
      <c r="DW2419" s="223"/>
      <c r="DX2419" s="223"/>
      <c r="DY2419" s="223"/>
      <c r="DZ2419" s="223"/>
      <c r="EA2419" s="223"/>
      <c r="EB2419" s="223"/>
      <c r="EC2419" s="223"/>
      <c r="ED2419" s="223"/>
      <c r="EE2419" s="223"/>
      <c r="EF2419" s="223"/>
      <c r="EG2419" s="223"/>
      <c r="EH2419" s="223"/>
      <c r="EI2419" s="223"/>
      <c r="EJ2419" s="223"/>
      <c r="EK2419" s="223"/>
      <c r="EL2419" s="223"/>
      <c r="EM2419" s="223"/>
      <c r="EN2419" s="223"/>
      <c r="EO2419" s="223"/>
      <c r="EP2419" s="223"/>
      <c r="EQ2419" s="223"/>
      <c r="ER2419" s="223"/>
      <c r="ES2419" s="223"/>
      <c r="ET2419" s="223"/>
      <c r="EU2419" s="223"/>
      <c r="EV2419" s="223"/>
      <c r="EW2419" s="223"/>
      <c r="EX2419" s="223"/>
      <c r="EY2419" s="223"/>
      <c r="EZ2419" s="223"/>
      <c r="FA2419" s="223"/>
      <c r="FB2419" s="223"/>
      <c r="FC2419" s="223"/>
      <c r="FD2419" s="223"/>
      <c r="FE2419" s="223"/>
      <c r="FF2419" s="223"/>
      <c r="FG2419" s="223"/>
      <c r="FH2419" s="223"/>
      <c r="FI2419" s="223"/>
      <c r="FJ2419" s="223"/>
      <c r="FK2419" s="223"/>
      <c r="FL2419" s="223"/>
      <c r="FM2419" s="223"/>
      <c r="FN2419" s="223"/>
      <c r="FO2419" s="223"/>
      <c r="FP2419" s="223"/>
      <c r="FQ2419" s="223"/>
      <c r="FR2419" s="223"/>
      <c r="FS2419" s="223"/>
      <c r="FT2419" s="223"/>
      <c r="FU2419" s="223"/>
      <c r="FV2419" s="223"/>
      <c r="FW2419" s="223"/>
      <c r="FX2419" s="223"/>
      <c r="FY2419" s="223"/>
      <c r="FZ2419" s="223"/>
      <c r="GA2419" s="223"/>
      <c r="GB2419" s="223"/>
      <c r="GC2419" s="223"/>
      <c r="GD2419" s="223"/>
      <c r="GE2419" s="223"/>
      <c r="GF2419" s="223"/>
      <c r="GG2419" s="223"/>
      <c r="GH2419" s="223"/>
      <c r="GI2419" s="223"/>
      <c r="GJ2419" s="223"/>
      <c r="GK2419" s="223"/>
      <c r="GL2419" s="223"/>
      <c r="GM2419" s="223"/>
      <c r="GN2419" s="223"/>
      <c r="GO2419" s="223"/>
      <c r="GP2419" s="223"/>
      <c r="GQ2419" s="223"/>
      <c r="GR2419" s="223"/>
      <c r="GS2419" s="223"/>
      <c r="GT2419" s="223"/>
      <c r="GU2419" s="223"/>
      <c r="GV2419" s="223"/>
      <c r="GW2419" s="223"/>
      <c r="GX2419" s="223"/>
      <c r="GY2419" s="223"/>
      <c r="GZ2419" s="223"/>
      <c r="HA2419" s="223"/>
      <c r="HB2419" s="223"/>
      <c r="HC2419" s="223"/>
      <c r="HD2419" s="223"/>
      <c r="HE2419" s="223"/>
      <c r="HF2419" s="223"/>
      <c r="HG2419" s="223"/>
      <c r="HH2419" s="223"/>
      <c r="HI2419" s="223"/>
      <c r="HJ2419" s="223"/>
      <c r="HK2419" s="223"/>
      <c r="HL2419" s="223"/>
      <c r="HM2419" s="223"/>
      <c r="HN2419" s="223"/>
      <c r="HO2419" s="223"/>
      <c r="HP2419" s="223"/>
      <c r="HQ2419" s="223"/>
      <c r="HR2419" s="223"/>
      <c r="HS2419" s="223"/>
      <c r="HT2419" s="223"/>
      <c r="HU2419" s="223"/>
      <c r="HV2419" s="223"/>
      <c r="HW2419" s="223"/>
      <c r="HX2419" s="223"/>
      <c r="HY2419" s="223"/>
      <c r="HZ2419" s="223"/>
      <c r="IA2419" s="223"/>
      <c r="IB2419" s="223"/>
      <c r="IC2419" s="223"/>
      <c r="ID2419" s="223"/>
      <c r="IE2419" s="223"/>
      <c r="IF2419" s="223"/>
      <c r="IG2419" s="223"/>
      <c r="IH2419" s="223"/>
      <c r="II2419" s="223"/>
      <c r="IJ2419" s="223"/>
      <c r="IK2419" s="223"/>
      <c r="IL2419" s="223"/>
      <c r="IM2419" s="223"/>
      <c r="IN2419" s="223"/>
      <c r="IO2419" s="223"/>
      <c r="IP2419" s="223"/>
      <c r="IQ2419" s="223"/>
      <c r="IR2419" s="223"/>
      <c r="IS2419" s="223"/>
      <c r="IT2419" s="223"/>
      <c r="IU2419" s="223"/>
      <c r="IV2419" s="223"/>
    </row>
    <row r="2420" spans="46:256" s="221" customFormat="1" x14ac:dyDescent="0.2">
      <c r="AT2420" s="222"/>
      <c r="AU2420" s="222"/>
      <c r="BD2420" s="223"/>
      <c r="BE2420" s="223"/>
      <c r="BF2420" s="223"/>
      <c r="BG2420" s="223"/>
      <c r="BH2420" s="223"/>
      <c r="BI2420" s="223"/>
      <c r="BJ2420" s="223"/>
      <c r="BK2420" s="223"/>
      <c r="BL2420" s="223"/>
      <c r="BM2420" s="223"/>
      <c r="BN2420" s="223"/>
      <c r="BO2420" s="223"/>
      <c r="BP2420" s="223"/>
      <c r="BQ2420" s="223"/>
      <c r="BR2420" s="223"/>
      <c r="BS2420" s="223"/>
      <c r="BT2420" s="223"/>
      <c r="BU2420" s="223"/>
      <c r="BV2420" s="223"/>
      <c r="BW2420" s="223"/>
      <c r="BX2420" s="223"/>
      <c r="BY2420" s="223"/>
      <c r="BZ2420" s="223"/>
      <c r="CA2420" s="223"/>
      <c r="CB2420" s="223"/>
      <c r="CC2420" s="223"/>
      <c r="CD2420" s="223"/>
      <c r="CE2420" s="223"/>
      <c r="CF2420" s="223"/>
      <c r="CG2420" s="223"/>
      <c r="CH2420" s="223"/>
      <c r="CI2420" s="223"/>
      <c r="CJ2420" s="223"/>
      <c r="CK2420" s="223"/>
      <c r="CL2420" s="223"/>
      <c r="CM2420" s="223"/>
      <c r="CN2420" s="223"/>
      <c r="CO2420" s="223"/>
      <c r="CP2420" s="223"/>
      <c r="CQ2420" s="223"/>
      <c r="CR2420" s="223"/>
      <c r="CS2420" s="223"/>
      <c r="CT2420" s="223"/>
      <c r="CU2420" s="223"/>
      <c r="CV2420" s="223"/>
      <c r="CW2420" s="223"/>
      <c r="CX2420" s="223"/>
      <c r="CY2420" s="223"/>
      <c r="CZ2420" s="223"/>
      <c r="DA2420" s="223"/>
      <c r="DB2420" s="223"/>
      <c r="DC2420" s="223"/>
      <c r="DD2420" s="223"/>
      <c r="DE2420" s="223"/>
      <c r="DF2420" s="223"/>
      <c r="DG2420" s="223"/>
      <c r="DH2420" s="223"/>
      <c r="DI2420" s="223"/>
      <c r="DJ2420" s="223"/>
      <c r="DK2420" s="223"/>
      <c r="DL2420" s="223"/>
      <c r="DM2420" s="223"/>
      <c r="DN2420" s="223"/>
      <c r="DO2420" s="223"/>
      <c r="DP2420" s="223"/>
      <c r="DQ2420" s="223"/>
      <c r="DR2420" s="223"/>
      <c r="DS2420" s="223"/>
      <c r="DT2420" s="223"/>
      <c r="DU2420" s="223"/>
      <c r="DV2420" s="223"/>
      <c r="DW2420" s="223"/>
      <c r="DX2420" s="223"/>
      <c r="DY2420" s="223"/>
      <c r="DZ2420" s="223"/>
      <c r="EA2420" s="223"/>
      <c r="EB2420" s="223"/>
      <c r="EC2420" s="223"/>
      <c r="ED2420" s="223"/>
      <c r="EE2420" s="223"/>
      <c r="EF2420" s="223"/>
      <c r="EG2420" s="223"/>
      <c r="EH2420" s="223"/>
      <c r="EI2420" s="223"/>
      <c r="EJ2420" s="223"/>
      <c r="EK2420" s="223"/>
      <c r="EL2420" s="223"/>
      <c r="EM2420" s="223"/>
      <c r="EN2420" s="223"/>
      <c r="EO2420" s="223"/>
      <c r="EP2420" s="223"/>
      <c r="EQ2420" s="223"/>
      <c r="ER2420" s="223"/>
      <c r="ES2420" s="223"/>
      <c r="ET2420" s="223"/>
      <c r="EU2420" s="223"/>
      <c r="EV2420" s="223"/>
      <c r="EW2420" s="223"/>
      <c r="EX2420" s="223"/>
      <c r="EY2420" s="223"/>
      <c r="EZ2420" s="223"/>
      <c r="FA2420" s="223"/>
      <c r="FB2420" s="223"/>
      <c r="FC2420" s="223"/>
      <c r="FD2420" s="223"/>
      <c r="FE2420" s="223"/>
      <c r="FF2420" s="223"/>
      <c r="FG2420" s="223"/>
      <c r="FH2420" s="223"/>
      <c r="FI2420" s="223"/>
      <c r="FJ2420" s="223"/>
      <c r="FK2420" s="223"/>
      <c r="FL2420" s="223"/>
      <c r="FM2420" s="223"/>
      <c r="FN2420" s="223"/>
      <c r="FO2420" s="223"/>
      <c r="FP2420" s="223"/>
      <c r="FQ2420" s="223"/>
      <c r="FR2420" s="223"/>
      <c r="FS2420" s="223"/>
      <c r="FT2420" s="223"/>
      <c r="FU2420" s="223"/>
      <c r="FV2420" s="223"/>
      <c r="FW2420" s="223"/>
      <c r="FX2420" s="223"/>
      <c r="FY2420" s="223"/>
      <c r="FZ2420" s="223"/>
      <c r="GA2420" s="223"/>
      <c r="GB2420" s="223"/>
      <c r="GC2420" s="223"/>
      <c r="GD2420" s="223"/>
      <c r="GE2420" s="223"/>
      <c r="GF2420" s="223"/>
      <c r="GG2420" s="223"/>
      <c r="GH2420" s="223"/>
      <c r="GI2420" s="223"/>
      <c r="GJ2420" s="223"/>
      <c r="GK2420" s="223"/>
      <c r="GL2420" s="223"/>
      <c r="GM2420" s="223"/>
      <c r="GN2420" s="223"/>
      <c r="GO2420" s="223"/>
      <c r="GP2420" s="223"/>
      <c r="GQ2420" s="223"/>
      <c r="GR2420" s="223"/>
      <c r="GS2420" s="223"/>
      <c r="GT2420" s="223"/>
      <c r="GU2420" s="223"/>
      <c r="GV2420" s="223"/>
      <c r="GW2420" s="223"/>
      <c r="GX2420" s="223"/>
      <c r="GY2420" s="223"/>
      <c r="GZ2420" s="223"/>
      <c r="HA2420" s="223"/>
      <c r="HB2420" s="223"/>
      <c r="HC2420" s="223"/>
      <c r="HD2420" s="223"/>
      <c r="HE2420" s="223"/>
      <c r="HF2420" s="223"/>
      <c r="HG2420" s="223"/>
      <c r="HH2420" s="223"/>
      <c r="HI2420" s="223"/>
      <c r="HJ2420" s="223"/>
      <c r="HK2420" s="223"/>
      <c r="HL2420" s="223"/>
      <c r="HM2420" s="223"/>
      <c r="HN2420" s="223"/>
      <c r="HO2420" s="223"/>
      <c r="HP2420" s="223"/>
      <c r="HQ2420" s="223"/>
      <c r="HR2420" s="223"/>
      <c r="HS2420" s="223"/>
      <c r="HT2420" s="223"/>
      <c r="HU2420" s="223"/>
      <c r="HV2420" s="223"/>
      <c r="HW2420" s="223"/>
      <c r="HX2420" s="223"/>
      <c r="HY2420" s="223"/>
      <c r="HZ2420" s="223"/>
      <c r="IA2420" s="223"/>
      <c r="IB2420" s="223"/>
      <c r="IC2420" s="223"/>
      <c r="ID2420" s="223"/>
      <c r="IE2420" s="223"/>
      <c r="IF2420" s="223"/>
      <c r="IG2420" s="223"/>
      <c r="IH2420" s="223"/>
      <c r="II2420" s="223"/>
      <c r="IJ2420" s="223"/>
      <c r="IK2420" s="223"/>
      <c r="IL2420" s="223"/>
      <c r="IM2420" s="223"/>
      <c r="IN2420" s="223"/>
      <c r="IO2420" s="223"/>
      <c r="IP2420" s="223"/>
      <c r="IQ2420" s="223"/>
      <c r="IR2420" s="223"/>
      <c r="IS2420" s="223"/>
      <c r="IT2420" s="223"/>
      <c r="IU2420" s="223"/>
      <c r="IV2420" s="223"/>
    </row>
    <row r="2421" spans="46:256" s="221" customFormat="1" x14ac:dyDescent="0.2">
      <c r="AT2421" s="222"/>
      <c r="AU2421" s="222"/>
      <c r="BD2421" s="223"/>
      <c r="BE2421" s="223"/>
      <c r="BF2421" s="223"/>
      <c r="BG2421" s="223"/>
      <c r="BH2421" s="223"/>
      <c r="BI2421" s="223"/>
      <c r="BJ2421" s="223"/>
      <c r="BK2421" s="223"/>
      <c r="BL2421" s="223"/>
      <c r="BM2421" s="223"/>
      <c r="BN2421" s="223"/>
      <c r="BO2421" s="223"/>
      <c r="BP2421" s="223"/>
      <c r="BQ2421" s="223"/>
      <c r="BR2421" s="223"/>
      <c r="BS2421" s="223"/>
      <c r="BT2421" s="223"/>
      <c r="BU2421" s="223"/>
      <c r="BV2421" s="223"/>
      <c r="BW2421" s="223"/>
      <c r="BX2421" s="223"/>
      <c r="BY2421" s="223"/>
      <c r="BZ2421" s="223"/>
      <c r="CA2421" s="223"/>
      <c r="CB2421" s="223"/>
      <c r="CC2421" s="223"/>
      <c r="CD2421" s="223"/>
      <c r="CE2421" s="223"/>
      <c r="CF2421" s="223"/>
      <c r="CG2421" s="223"/>
      <c r="CH2421" s="223"/>
      <c r="CI2421" s="223"/>
      <c r="CJ2421" s="223"/>
      <c r="CK2421" s="223"/>
      <c r="CL2421" s="223"/>
      <c r="CM2421" s="223"/>
      <c r="CN2421" s="223"/>
      <c r="CO2421" s="223"/>
      <c r="CP2421" s="223"/>
      <c r="CQ2421" s="223"/>
      <c r="CR2421" s="223"/>
      <c r="CS2421" s="223"/>
      <c r="CT2421" s="223"/>
      <c r="CU2421" s="223"/>
      <c r="CV2421" s="223"/>
      <c r="CW2421" s="223"/>
      <c r="CX2421" s="223"/>
      <c r="CY2421" s="223"/>
      <c r="CZ2421" s="223"/>
      <c r="DA2421" s="223"/>
      <c r="DB2421" s="223"/>
      <c r="DC2421" s="223"/>
      <c r="DD2421" s="223"/>
      <c r="DE2421" s="223"/>
      <c r="DF2421" s="223"/>
      <c r="DG2421" s="223"/>
      <c r="DH2421" s="223"/>
      <c r="DI2421" s="223"/>
      <c r="DJ2421" s="223"/>
      <c r="DK2421" s="223"/>
      <c r="DL2421" s="223"/>
      <c r="DM2421" s="223"/>
      <c r="DN2421" s="223"/>
      <c r="DO2421" s="223"/>
      <c r="DP2421" s="223"/>
      <c r="DQ2421" s="223"/>
      <c r="DR2421" s="223"/>
      <c r="DS2421" s="223"/>
      <c r="DT2421" s="223"/>
      <c r="DU2421" s="223"/>
      <c r="DV2421" s="223"/>
      <c r="DW2421" s="223"/>
      <c r="DX2421" s="223"/>
      <c r="DY2421" s="223"/>
      <c r="DZ2421" s="223"/>
      <c r="EA2421" s="223"/>
      <c r="EB2421" s="223"/>
      <c r="EC2421" s="223"/>
      <c r="ED2421" s="223"/>
      <c r="EE2421" s="223"/>
      <c r="EF2421" s="223"/>
      <c r="EG2421" s="223"/>
      <c r="EH2421" s="223"/>
      <c r="EI2421" s="223"/>
      <c r="EJ2421" s="223"/>
      <c r="EK2421" s="223"/>
      <c r="EL2421" s="223"/>
      <c r="EM2421" s="223"/>
      <c r="EN2421" s="223"/>
      <c r="EO2421" s="223"/>
      <c r="EP2421" s="223"/>
      <c r="EQ2421" s="223"/>
      <c r="ER2421" s="223"/>
      <c r="ES2421" s="223"/>
      <c r="ET2421" s="223"/>
      <c r="EU2421" s="223"/>
      <c r="EV2421" s="223"/>
      <c r="EW2421" s="223"/>
      <c r="EX2421" s="223"/>
      <c r="EY2421" s="223"/>
      <c r="EZ2421" s="223"/>
      <c r="FA2421" s="223"/>
      <c r="FB2421" s="223"/>
      <c r="FC2421" s="223"/>
      <c r="FD2421" s="223"/>
      <c r="FE2421" s="223"/>
      <c r="FF2421" s="223"/>
      <c r="FG2421" s="223"/>
      <c r="FH2421" s="223"/>
      <c r="FI2421" s="223"/>
      <c r="FJ2421" s="223"/>
      <c r="FK2421" s="223"/>
      <c r="FL2421" s="223"/>
      <c r="FM2421" s="223"/>
      <c r="FN2421" s="223"/>
      <c r="FO2421" s="223"/>
      <c r="FP2421" s="223"/>
      <c r="FQ2421" s="223"/>
      <c r="FR2421" s="223"/>
      <c r="FS2421" s="223"/>
      <c r="FT2421" s="223"/>
      <c r="FU2421" s="223"/>
      <c r="FV2421" s="223"/>
      <c r="FW2421" s="223"/>
      <c r="FX2421" s="223"/>
      <c r="FY2421" s="223"/>
      <c r="FZ2421" s="223"/>
      <c r="GA2421" s="223"/>
      <c r="GB2421" s="223"/>
      <c r="GC2421" s="223"/>
      <c r="GD2421" s="223"/>
      <c r="GE2421" s="223"/>
      <c r="GF2421" s="223"/>
      <c r="GG2421" s="223"/>
      <c r="GH2421" s="223"/>
      <c r="GI2421" s="223"/>
      <c r="GJ2421" s="223"/>
      <c r="GK2421" s="223"/>
      <c r="GL2421" s="223"/>
      <c r="GM2421" s="223"/>
      <c r="GN2421" s="223"/>
      <c r="GO2421" s="223"/>
      <c r="GP2421" s="223"/>
      <c r="GQ2421" s="223"/>
      <c r="GR2421" s="223"/>
      <c r="GS2421" s="223"/>
      <c r="GT2421" s="223"/>
      <c r="GU2421" s="223"/>
      <c r="GV2421" s="223"/>
      <c r="GW2421" s="223"/>
      <c r="GX2421" s="223"/>
      <c r="GY2421" s="223"/>
      <c r="GZ2421" s="223"/>
      <c r="HA2421" s="223"/>
      <c r="HB2421" s="223"/>
      <c r="HC2421" s="223"/>
      <c r="HD2421" s="223"/>
      <c r="HE2421" s="223"/>
      <c r="HF2421" s="223"/>
      <c r="HG2421" s="223"/>
      <c r="HH2421" s="223"/>
      <c r="HI2421" s="223"/>
      <c r="HJ2421" s="223"/>
      <c r="HK2421" s="223"/>
      <c r="HL2421" s="223"/>
      <c r="HM2421" s="223"/>
      <c r="HN2421" s="223"/>
      <c r="HO2421" s="223"/>
      <c r="HP2421" s="223"/>
      <c r="HQ2421" s="223"/>
      <c r="HR2421" s="223"/>
      <c r="HS2421" s="223"/>
      <c r="HT2421" s="223"/>
      <c r="HU2421" s="223"/>
      <c r="HV2421" s="223"/>
      <c r="HW2421" s="223"/>
      <c r="HX2421" s="223"/>
      <c r="HY2421" s="223"/>
      <c r="HZ2421" s="223"/>
      <c r="IA2421" s="223"/>
      <c r="IB2421" s="223"/>
      <c r="IC2421" s="223"/>
      <c r="ID2421" s="223"/>
      <c r="IE2421" s="223"/>
      <c r="IF2421" s="223"/>
      <c r="IG2421" s="223"/>
      <c r="IH2421" s="223"/>
      <c r="II2421" s="223"/>
      <c r="IJ2421" s="223"/>
      <c r="IK2421" s="223"/>
      <c r="IL2421" s="223"/>
      <c r="IM2421" s="223"/>
      <c r="IN2421" s="223"/>
      <c r="IO2421" s="223"/>
      <c r="IP2421" s="223"/>
      <c r="IQ2421" s="223"/>
      <c r="IR2421" s="223"/>
      <c r="IS2421" s="223"/>
      <c r="IT2421" s="223"/>
      <c r="IU2421" s="223"/>
      <c r="IV2421" s="223"/>
    </row>
    <row r="2422" spans="46:256" s="221" customFormat="1" x14ac:dyDescent="0.2">
      <c r="AT2422" s="222"/>
      <c r="AU2422" s="222"/>
      <c r="BD2422" s="223"/>
      <c r="BE2422" s="223"/>
      <c r="BF2422" s="223"/>
      <c r="BG2422" s="223"/>
      <c r="BH2422" s="223"/>
      <c r="BI2422" s="223"/>
      <c r="BJ2422" s="223"/>
      <c r="BK2422" s="223"/>
      <c r="BL2422" s="223"/>
      <c r="BM2422" s="223"/>
      <c r="BN2422" s="223"/>
      <c r="BO2422" s="223"/>
      <c r="BP2422" s="223"/>
      <c r="BQ2422" s="223"/>
      <c r="BR2422" s="223"/>
      <c r="BS2422" s="223"/>
      <c r="BT2422" s="223"/>
      <c r="BU2422" s="223"/>
      <c r="BV2422" s="223"/>
      <c r="BW2422" s="223"/>
      <c r="BX2422" s="223"/>
      <c r="BY2422" s="223"/>
      <c r="BZ2422" s="223"/>
      <c r="CA2422" s="223"/>
      <c r="CB2422" s="223"/>
      <c r="CC2422" s="223"/>
      <c r="CD2422" s="223"/>
      <c r="CE2422" s="223"/>
      <c r="CF2422" s="223"/>
      <c r="CG2422" s="223"/>
      <c r="CH2422" s="223"/>
      <c r="CI2422" s="223"/>
      <c r="CJ2422" s="223"/>
      <c r="CK2422" s="223"/>
      <c r="CL2422" s="223"/>
      <c r="CM2422" s="223"/>
      <c r="CN2422" s="223"/>
      <c r="CO2422" s="223"/>
      <c r="CP2422" s="223"/>
      <c r="CQ2422" s="223"/>
      <c r="CR2422" s="223"/>
      <c r="CS2422" s="223"/>
      <c r="CT2422" s="223"/>
      <c r="CU2422" s="223"/>
      <c r="CV2422" s="223"/>
      <c r="CW2422" s="223"/>
      <c r="CX2422" s="223"/>
      <c r="CY2422" s="223"/>
      <c r="CZ2422" s="223"/>
      <c r="DA2422" s="223"/>
      <c r="DB2422" s="223"/>
      <c r="DC2422" s="223"/>
      <c r="DD2422" s="223"/>
      <c r="DE2422" s="223"/>
      <c r="DF2422" s="223"/>
      <c r="DG2422" s="223"/>
      <c r="DH2422" s="223"/>
      <c r="DI2422" s="223"/>
      <c r="DJ2422" s="223"/>
      <c r="DK2422" s="223"/>
      <c r="DL2422" s="223"/>
      <c r="DM2422" s="223"/>
      <c r="DN2422" s="223"/>
      <c r="DO2422" s="223"/>
      <c r="DP2422" s="223"/>
      <c r="DQ2422" s="223"/>
      <c r="DR2422" s="223"/>
      <c r="DS2422" s="223"/>
      <c r="DT2422" s="223"/>
      <c r="DU2422" s="223"/>
      <c r="DV2422" s="223"/>
      <c r="DW2422" s="223"/>
      <c r="DX2422" s="223"/>
      <c r="DY2422" s="223"/>
      <c r="DZ2422" s="223"/>
      <c r="EA2422" s="223"/>
      <c r="EB2422" s="223"/>
      <c r="EC2422" s="223"/>
      <c r="ED2422" s="223"/>
      <c r="EE2422" s="223"/>
      <c r="EF2422" s="223"/>
      <c r="EG2422" s="223"/>
      <c r="EH2422" s="223"/>
      <c r="EI2422" s="223"/>
      <c r="EJ2422" s="223"/>
      <c r="EK2422" s="223"/>
      <c r="EL2422" s="223"/>
      <c r="EM2422" s="223"/>
      <c r="EN2422" s="223"/>
      <c r="EO2422" s="223"/>
      <c r="EP2422" s="223"/>
      <c r="EQ2422" s="223"/>
      <c r="ER2422" s="223"/>
      <c r="ES2422" s="223"/>
      <c r="ET2422" s="223"/>
      <c r="EU2422" s="223"/>
      <c r="EV2422" s="223"/>
      <c r="EW2422" s="223"/>
      <c r="EX2422" s="223"/>
      <c r="EY2422" s="223"/>
      <c r="EZ2422" s="223"/>
      <c r="FA2422" s="223"/>
      <c r="FB2422" s="223"/>
      <c r="FC2422" s="223"/>
      <c r="FD2422" s="223"/>
      <c r="FE2422" s="223"/>
      <c r="FF2422" s="223"/>
      <c r="FG2422" s="223"/>
      <c r="FH2422" s="223"/>
      <c r="FI2422" s="223"/>
      <c r="FJ2422" s="223"/>
      <c r="FK2422" s="223"/>
      <c r="FL2422" s="223"/>
      <c r="FM2422" s="223"/>
      <c r="FN2422" s="223"/>
      <c r="FO2422" s="223"/>
      <c r="FP2422" s="223"/>
      <c r="FQ2422" s="223"/>
      <c r="FR2422" s="223"/>
      <c r="FS2422" s="223"/>
      <c r="FT2422" s="223"/>
      <c r="FU2422" s="223"/>
      <c r="FV2422" s="223"/>
      <c r="FW2422" s="223"/>
      <c r="FX2422" s="223"/>
      <c r="FY2422" s="223"/>
      <c r="FZ2422" s="223"/>
      <c r="GA2422" s="223"/>
      <c r="GB2422" s="223"/>
      <c r="GC2422" s="223"/>
      <c r="GD2422" s="223"/>
      <c r="GE2422" s="223"/>
      <c r="GF2422" s="223"/>
      <c r="GG2422" s="223"/>
      <c r="GH2422" s="223"/>
      <c r="GI2422" s="223"/>
      <c r="GJ2422" s="223"/>
      <c r="GK2422" s="223"/>
      <c r="GL2422" s="223"/>
      <c r="GM2422" s="223"/>
      <c r="GN2422" s="223"/>
      <c r="GO2422" s="223"/>
      <c r="GP2422" s="223"/>
      <c r="GQ2422" s="223"/>
      <c r="GR2422" s="223"/>
      <c r="GS2422" s="223"/>
      <c r="GT2422" s="223"/>
      <c r="GU2422" s="223"/>
      <c r="GV2422" s="223"/>
      <c r="GW2422" s="223"/>
      <c r="GX2422" s="223"/>
      <c r="GY2422" s="223"/>
      <c r="GZ2422" s="223"/>
      <c r="HA2422" s="223"/>
      <c r="HB2422" s="223"/>
      <c r="HC2422" s="223"/>
      <c r="HD2422" s="223"/>
      <c r="HE2422" s="223"/>
      <c r="HF2422" s="223"/>
      <c r="HG2422" s="223"/>
      <c r="HH2422" s="223"/>
      <c r="HI2422" s="223"/>
      <c r="HJ2422" s="223"/>
      <c r="HK2422" s="223"/>
      <c r="HL2422" s="223"/>
      <c r="HM2422" s="223"/>
      <c r="HN2422" s="223"/>
      <c r="HO2422" s="223"/>
      <c r="HP2422" s="223"/>
      <c r="HQ2422" s="223"/>
      <c r="HR2422" s="223"/>
      <c r="HS2422" s="223"/>
      <c r="HT2422" s="223"/>
      <c r="HU2422" s="223"/>
      <c r="HV2422" s="223"/>
      <c r="HW2422" s="223"/>
      <c r="HX2422" s="223"/>
      <c r="HY2422" s="223"/>
      <c r="HZ2422" s="223"/>
      <c r="IA2422" s="223"/>
      <c r="IB2422" s="223"/>
      <c r="IC2422" s="223"/>
      <c r="ID2422" s="223"/>
      <c r="IE2422" s="223"/>
      <c r="IF2422" s="223"/>
      <c r="IG2422" s="223"/>
      <c r="IH2422" s="223"/>
      <c r="II2422" s="223"/>
      <c r="IJ2422" s="223"/>
      <c r="IK2422" s="223"/>
      <c r="IL2422" s="223"/>
      <c r="IM2422" s="223"/>
      <c r="IN2422" s="223"/>
      <c r="IO2422" s="223"/>
      <c r="IP2422" s="223"/>
      <c r="IQ2422" s="223"/>
      <c r="IR2422" s="223"/>
      <c r="IS2422" s="223"/>
      <c r="IT2422" s="223"/>
      <c r="IU2422" s="223"/>
      <c r="IV2422" s="223"/>
    </row>
    <row r="2423" spans="46:256" s="221" customFormat="1" x14ac:dyDescent="0.2">
      <c r="AT2423" s="222"/>
      <c r="AU2423" s="222"/>
      <c r="BD2423" s="223"/>
      <c r="BE2423" s="223"/>
      <c r="BF2423" s="223"/>
      <c r="BG2423" s="223"/>
      <c r="BH2423" s="223"/>
      <c r="BI2423" s="223"/>
      <c r="BJ2423" s="223"/>
      <c r="BK2423" s="223"/>
      <c r="BL2423" s="223"/>
      <c r="BM2423" s="223"/>
      <c r="BN2423" s="223"/>
      <c r="BO2423" s="223"/>
      <c r="BP2423" s="223"/>
      <c r="BQ2423" s="223"/>
      <c r="BR2423" s="223"/>
      <c r="BS2423" s="223"/>
      <c r="BT2423" s="223"/>
      <c r="BU2423" s="223"/>
      <c r="BV2423" s="223"/>
      <c r="BW2423" s="223"/>
      <c r="BX2423" s="223"/>
      <c r="BY2423" s="223"/>
      <c r="BZ2423" s="223"/>
      <c r="CA2423" s="223"/>
      <c r="CB2423" s="223"/>
      <c r="CC2423" s="223"/>
      <c r="CD2423" s="223"/>
      <c r="CE2423" s="223"/>
      <c r="CF2423" s="223"/>
      <c r="CG2423" s="223"/>
      <c r="CH2423" s="223"/>
      <c r="CI2423" s="223"/>
      <c r="CJ2423" s="223"/>
      <c r="CK2423" s="223"/>
      <c r="CL2423" s="223"/>
      <c r="CM2423" s="223"/>
      <c r="CN2423" s="223"/>
      <c r="CO2423" s="223"/>
      <c r="CP2423" s="223"/>
      <c r="CQ2423" s="223"/>
      <c r="CR2423" s="223"/>
      <c r="CS2423" s="223"/>
      <c r="CT2423" s="223"/>
      <c r="CU2423" s="223"/>
      <c r="CV2423" s="223"/>
      <c r="CW2423" s="223"/>
      <c r="CX2423" s="223"/>
      <c r="CY2423" s="223"/>
      <c r="CZ2423" s="223"/>
      <c r="DA2423" s="223"/>
      <c r="DB2423" s="223"/>
      <c r="DC2423" s="223"/>
      <c r="DD2423" s="223"/>
      <c r="DE2423" s="223"/>
      <c r="DF2423" s="223"/>
      <c r="DG2423" s="223"/>
      <c r="DH2423" s="223"/>
      <c r="DI2423" s="223"/>
      <c r="DJ2423" s="223"/>
      <c r="DK2423" s="223"/>
      <c r="DL2423" s="223"/>
      <c r="DM2423" s="223"/>
      <c r="DN2423" s="223"/>
      <c r="DO2423" s="223"/>
      <c r="DP2423" s="223"/>
      <c r="DQ2423" s="223"/>
      <c r="DR2423" s="223"/>
      <c r="DS2423" s="223"/>
      <c r="DT2423" s="223"/>
      <c r="DU2423" s="223"/>
      <c r="DV2423" s="223"/>
      <c r="DW2423" s="223"/>
      <c r="DX2423" s="223"/>
      <c r="DY2423" s="223"/>
      <c r="DZ2423" s="223"/>
      <c r="EA2423" s="223"/>
      <c r="EB2423" s="223"/>
      <c r="EC2423" s="223"/>
      <c r="ED2423" s="223"/>
      <c r="EE2423" s="223"/>
      <c r="EF2423" s="223"/>
      <c r="EG2423" s="223"/>
      <c r="EH2423" s="223"/>
      <c r="EI2423" s="223"/>
      <c r="EJ2423" s="223"/>
      <c r="EK2423" s="223"/>
      <c r="EL2423" s="223"/>
      <c r="EM2423" s="223"/>
      <c r="EN2423" s="223"/>
      <c r="EO2423" s="223"/>
      <c r="EP2423" s="223"/>
      <c r="EQ2423" s="223"/>
      <c r="ER2423" s="223"/>
      <c r="ES2423" s="223"/>
      <c r="ET2423" s="223"/>
      <c r="EU2423" s="223"/>
      <c r="EV2423" s="223"/>
      <c r="EW2423" s="223"/>
      <c r="EX2423" s="223"/>
      <c r="EY2423" s="223"/>
      <c r="EZ2423" s="223"/>
      <c r="FA2423" s="223"/>
      <c r="FB2423" s="223"/>
      <c r="FC2423" s="223"/>
      <c r="FD2423" s="223"/>
      <c r="FE2423" s="223"/>
      <c r="FF2423" s="223"/>
      <c r="FG2423" s="223"/>
      <c r="FH2423" s="223"/>
      <c r="FI2423" s="223"/>
      <c r="FJ2423" s="223"/>
      <c r="FK2423" s="223"/>
      <c r="FL2423" s="223"/>
      <c r="FM2423" s="223"/>
      <c r="FN2423" s="223"/>
      <c r="FO2423" s="223"/>
      <c r="FP2423" s="223"/>
      <c r="FQ2423" s="223"/>
      <c r="FR2423" s="223"/>
      <c r="FS2423" s="223"/>
      <c r="FT2423" s="223"/>
      <c r="FU2423" s="223"/>
      <c r="FV2423" s="223"/>
      <c r="FW2423" s="223"/>
      <c r="FX2423" s="223"/>
      <c r="FY2423" s="223"/>
      <c r="FZ2423" s="223"/>
      <c r="GA2423" s="223"/>
      <c r="GB2423" s="223"/>
      <c r="GC2423" s="223"/>
      <c r="GD2423" s="223"/>
      <c r="GE2423" s="223"/>
      <c r="GF2423" s="223"/>
      <c r="GG2423" s="223"/>
      <c r="GH2423" s="223"/>
      <c r="GI2423" s="223"/>
      <c r="GJ2423" s="223"/>
      <c r="GK2423" s="223"/>
      <c r="GL2423" s="223"/>
      <c r="GM2423" s="223"/>
      <c r="GN2423" s="223"/>
      <c r="GO2423" s="223"/>
      <c r="GP2423" s="223"/>
      <c r="GQ2423" s="223"/>
      <c r="GR2423" s="223"/>
      <c r="GS2423" s="223"/>
      <c r="GT2423" s="223"/>
      <c r="GU2423" s="223"/>
      <c r="GV2423" s="223"/>
      <c r="GW2423" s="223"/>
      <c r="GX2423" s="223"/>
      <c r="GY2423" s="223"/>
      <c r="GZ2423" s="223"/>
      <c r="HA2423" s="223"/>
      <c r="HB2423" s="223"/>
      <c r="HC2423" s="223"/>
      <c r="HD2423" s="223"/>
      <c r="HE2423" s="223"/>
      <c r="HF2423" s="223"/>
      <c r="HG2423" s="223"/>
      <c r="HH2423" s="223"/>
      <c r="HI2423" s="223"/>
      <c r="HJ2423" s="223"/>
      <c r="HK2423" s="223"/>
      <c r="HL2423" s="223"/>
      <c r="HM2423" s="223"/>
      <c r="HN2423" s="223"/>
      <c r="HO2423" s="223"/>
      <c r="HP2423" s="223"/>
      <c r="HQ2423" s="223"/>
      <c r="HR2423" s="223"/>
      <c r="HS2423" s="223"/>
      <c r="HT2423" s="223"/>
      <c r="HU2423" s="223"/>
      <c r="HV2423" s="223"/>
      <c r="HW2423" s="223"/>
      <c r="HX2423" s="223"/>
      <c r="HY2423" s="223"/>
      <c r="HZ2423" s="223"/>
      <c r="IA2423" s="223"/>
      <c r="IB2423" s="223"/>
      <c r="IC2423" s="223"/>
      <c r="ID2423" s="223"/>
      <c r="IE2423" s="223"/>
      <c r="IF2423" s="223"/>
      <c r="IG2423" s="223"/>
      <c r="IH2423" s="223"/>
      <c r="II2423" s="223"/>
      <c r="IJ2423" s="223"/>
      <c r="IK2423" s="223"/>
      <c r="IL2423" s="223"/>
      <c r="IM2423" s="223"/>
      <c r="IN2423" s="223"/>
      <c r="IO2423" s="223"/>
      <c r="IP2423" s="223"/>
      <c r="IQ2423" s="223"/>
      <c r="IR2423" s="223"/>
      <c r="IS2423" s="223"/>
      <c r="IT2423" s="223"/>
      <c r="IU2423" s="223"/>
      <c r="IV2423" s="223"/>
    </row>
    <row r="2424" spans="46:256" s="221" customFormat="1" x14ac:dyDescent="0.2">
      <c r="AT2424" s="222"/>
      <c r="AU2424" s="222"/>
      <c r="BD2424" s="223"/>
      <c r="BE2424" s="223"/>
      <c r="BF2424" s="223"/>
      <c r="BG2424" s="223"/>
      <c r="BH2424" s="223"/>
      <c r="BI2424" s="223"/>
      <c r="BJ2424" s="223"/>
      <c r="BK2424" s="223"/>
      <c r="BL2424" s="223"/>
      <c r="BM2424" s="223"/>
      <c r="BN2424" s="223"/>
      <c r="BO2424" s="223"/>
      <c r="BP2424" s="223"/>
      <c r="BQ2424" s="223"/>
      <c r="BR2424" s="223"/>
      <c r="BS2424" s="223"/>
      <c r="BT2424" s="223"/>
      <c r="BU2424" s="223"/>
      <c r="BV2424" s="223"/>
      <c r="BW2424" s="223"/>
      <c r="BX2424" s="223"/>
      <c r="BY2424" s="223"/>
      <c r="BZ2424" s="223"/>
      <c r="CA2424" s="223"/>
      <c r="CB2424" s="223"/>
      <c r="CC2424" s="223"/>
      <c r="CD2424" s="223"/>
      <c r="CE2424" s="223"/>
      <c r="CF2424" s="223"/>
      <c r="CG2424" s="223"/>
      <c r="CH2424" s="223"/>
      <c r="CI2424" s="223"/>
      <c r="CJ2424" s="223"/>
      <c r="CK2424" s="223"/>
      <c r="CL2424" s="223"/>
      <c r="CM2424" s="223"/>
      <c r="CN2424" s="223"/>
      <c r="CO2424" s="223"/>
      <c r="CP2424" s="223"/>
      <c r="CQ2424" s="223"/>
      <c r="CR2424" s="223"/>
      <c r="CS2424" s="223"/>
      <c r="CT2424" s="223"/>
      <c r="CU2424" s="223"/>
      <c r="CV2424" s="223"/>
      <c r="CW2424" s="223"/>
      <c r="CX2424" s="223"/>
      <c r="CY2424" s="223"/>
      <c r="CZ2424" s="223"/>
      <c r="DA2424" s="223"/>
      <c r="DB2424" s="223"/>
      <c r="DC2424" s="223"/>
      <c r="DD2424" s="223"/>
      <c r="DE2424" s="223"/>
      <c r="DF2424" s="223"/>
      <c r="DG2424" s="223"/>
      <c r="DH2424" s="223"/>
      <c r="DI2424" s="223"/>
      <c r="DJ2424" s="223"/>
      <c r="DK2424" s="223"/>
      <c r="DL2424" s="223"/>
      <c r="DM2424" s="223"/>
      <c r="DN2424" s="223"/>
      <c r="DO2424" s="223"/>
      <c r="DP2424" s="223"/>
      <c r="DQ2424" s="223"/>
      <c r="DR2424" s="223"/>
      <c r="DS2424" s="223"/>
      <c r="DT2424" s="223"/>
      <c r="DU2424" s="223"/>
      <c r="DV2424" s="223"/>
      <c r="DW2424" s="223"/>
      <c r="DX2424" s="223"/>
      <c r="DY2424" s="223"/>
      <c r="DZ2424" s="223"/>
      <c r="EA2424" s="223"/>
      <c r="EB2424" s="223"/>
      <c r="EC2424" s="223"/>
      <c r="ED2424" s="223"/>
      <c r="EE2424" s="223"/>
      <c r="EF2424" s="223"/>
      <c r="EG2424" s="223"/>
      <c r="EH2424" s="223"/>
      <c r="EI2424" s="223"/>
      <c r="EJ2424" s="223"/>
      <c r="EK2424" s="223"/>
      <c r="EL2424" s="223"/>
      <c r="EM2424" s="223"/>
      <c r="EN2424" s="223"/>
      <c r="EO2424" s="223"/>
      <c r="EP2424" s="223"/>
      <c r="EQ2424" s="223"/>
      <c r="ER2424" s="223"/>
      <c r="ES2424" s="223"/>
      <c r="ET2424" s="223"/>
      <c r="EU2424" s="223"/>
      <c r="EV2424" s="223"/>
      <c r="EW2424" s="223"/>
      <c r="EX2424" s="223"/>
      <c r="EY2424" s="223"/>
      <c r="EZ2424" s="223"/>
      <c r="FA2424" s="223"/>
      <c r="FB2424" s="223"/>
      <c r="FC2424" s="223"/>
      <c r="FD2424" s="223"/>
      <c r="FE2424" s="223"/>
      <c r="FF2424" s="223"/>
      <c r="FG2424" s="223"/>
      <c r="FH2424" s="223"/>
      <c r="FI2424" s="223"/>
      <c r="FJ2424" s="223"/>
      <c r="FK2424" s="223"/>
      <c r="FL2424" s="223"/>
      <c r="FM2424" s="223"/>
      <c r="FN2424" s="223"/>
      <c r="FO2424" s="223"/>
      <c r="FP2424" s="223"/>
      <c r="FQ2424" s="223"/>
      <c r="FR2424" s="223"/>
      <c r="FS2424" s="223"/>
      <c r="FT2424" s="223"/>
      <c r="FU2424" s="223"/>
      <c r="FV2424" s="223"/>
      <c r="FW2424" s="223"/>
      <c r="FX2424" s="223"/>
      <c r="FY2424" s="223"/>
      <c r="FZ2424" s="223"/>
      <c r="GA2424" s="223"/>
      <c r="GB2424" s="223"/>
      <c r="GC2424" s="223"/>
      <c r="GD2424" s="223"/>
      <c r="GE2424" s="223"/>
      <c r="GF2424" s="223"/>
      <c r="GG2424" s="223"/>
      <c r="GH2424" s="223"/>
      <c r="GI2424" s="223"/>
      <c r="GJ2424" s="223"/>
      <c r="GK2424" s="223"/>
      <c r="GL2424" s="223"/>
      <c r="GM2424" s="223"/>
      <c r="GN2424" s="223"/>
      <c r="GO2424" s="223"/>
      <c r="GP2424" s="223"/>
      <c r="GQ2424" s="223"/>
      <c r="GR2424" s="223"/>
      <c r="GS2424" s="223"/>
      <c r="GT2424" s="223"/>
      <c r="GU2424" s="223"/>
      <c r="GV2424" s="223"/>
      <c r="GW2424" s="223"/>
      <c r="GX2424" s="223"/>
      <c r="GY2424" s="223"/>
      <c r="GZ2424" s="223"/>
      <c r="HA2424" s="223"/>
      <c r="HB2424" s="223"/>
      <c r="HC2424" s="223"/>
      <c r="HD2424" s="223"/>
      <c r="HE2424" s="223"/>
      <c r="HF2424" s="223"/>
      <c r="HG2424" s="223"/>
      <c r="HH2424" s="223"/>
      <c r="HI2424" s="223"/>
      <c r="HJ2424" s="223"/>
      <c r="HK2424" s="223"/>
      <c r="HL2424" s="223"/>
      <c r="HM2424" s="223"/>
      <c r="HN2424" s="223"/>
      <c r="HO2424" s="223"/>
      <c r="HP2424" s="223"/>
      <c r="HQ2424" s="223"/>
      <c r="HR2424" s="223"/>
      <c r="HS2424" s="223"/>
      <c r="HT2424" s="223"/>
      <c r="HU2424" s="223"/>
      <c r="HV2424" s="223"/>
      <c r="HW2424" s="223"/>
      <c r="HX2424" s="223"/>
      <c r="HY2424" s="223"/>
      <c r="HZ2424" s="223"/>
      <c r="IA2424" s="223"/>
      <c r="IB2424" s="223"/>
      <c r="IC2424" s="223"/>
      <c r="ID2424" s="223"/>
      <c r="IE2424" s="223"/>
      <c r="IF2424" s="223"/>
      <c r="IG2424" s="223"/>
      <c r="IH2424" s="223"/>
      <c r="II2424" s="223"/>
      <c r="IJ2424" s="223"/>
      <c r="IK2424" s="223"/>
      <c r="IL2424" s="223"/>
      <c r="IM2424" s="223"/>
      <c r="IN2424" s="223"/>
      <c r="IO2424" s="223"/>
      <c r="IP2424" s="223"/>
      <c r="IQ2424" s="223"/>
      <c r="IR2424" s="223"/>
      <c r="IS2424" s="223"/>
      <c r="IT2424" s="223"/>
      <c r="IU2424" s="223"/>
      <c r="IV2424" s="223"/>
    </row>
    <row r="2425" spans="46:256" s="221" customFormat="1" x14ac:dyDescent="0.2">
      <c r="AT2425" s="222"/>
      <c r="AU2425" s="222"/>
      <c r="BD2425" s="223"/>
      <c r="BE2425" s="223"/>
      <c r="BF2425" s="223"/>
      <c r="BG2425" s="223"/>
      <c r="BH2425" s="223"/>
      <c r="BI2425" s="223"/>
      <c r="BJ2425" s="223"/>
      <c r="BK2425" s="223"/>
      <c r="BL2425" s="223"/>
      <c r="BM2425" s="223"/>
      <c r="BN2425" s="223"/>
      <c r="BO2425" s="223"/>
      <c r="BP2425" s="223"/>
      <c r="BQ2425" s="223"/>
      <c r="BR2425" s="223"/>
      <c r="BS2425" s="223"/>
      <c r="BT2425" s="223"/>
      <c r="BU2425" s="223"/>
      <c r="BV2425" s="223"/>
      <c r="BW2425" s="223"/>
      <c r="BX2425" s="223"/>
      <c r="BY2425" s="223"/>
      <c r="BZ2425" s="223"/>
      <c r="CA2425" s="223"/>
      <c r="CB2425" s="223"/>
      <c r="CC2425" s="223"/>
      <c r="CD2425" s="223"/>
      <c r="CE2425" s="223"/>
      <c r="CF2425" s="223"/>
      <c r="CG2425" s="223"/>
      <c r="CH2425" s="223"/>
      <c r="CI2425" s="223"/>
      <c r="CJ2425" s="223"/>
      <c r="CK2425" s="223"/>
      <c r="CL2425" s="223"/>
      <c r="CM2425" s="223"/>
      <c r="CN2425" s="223"/>
      <c r="CO2425" s="223"/>
      <c r="CP2425" s="223"/>
      <c r="CQ2425" s="223"/>
      <c r="CR2425" s="223"/>
      <c r="CS2425" s="223"/>
      <c r="CT2425" s="223"/>
      <c r="CU2425" s="223"/>
      <c r="CV2425" s="223"/>
      <c r="CW2425" s="223"/>
      <c r="CX2425" s="223"/>
      <c r="CY2425" s="223"/>
      <c r="CZ2425" s="223"/>
      <c r="DA2425" s="223"/>
      <c r="DB2425" s="223"/>
      <c r="DC2425" s="223"/>
      <c r="DD2425" s="223"/>
      <c r="DE2425" s="223"/>
      <c r="DF2425" s="223"/>
      <c r="DG2425" s="223"/>
      <c r="DH2425" s="223"/>
      <c r="DI2425" s="223"/>
      <c r="DJ2425" s="223"/>
      <c r="DK2425" s="223"/>
      <c r="DL2425" s="223"/>
      <c r="DM2425" s="223"/>
      <c r="DN2425" s="223"/>
      <c r="DO2425" s="223"/>
      <c r="DP2425" s="223"/>
      <c r="DQ2425" s="223"/>
      <c r="DR2425" s="223"/>
      <c r="DS2425" s="223"/>
      <c r="DT2425" s="223"/>
      <c r="DU2425" s="223"/>
      <c r="DV2425" s="223"/>
      <c r="DW2425" s="223"/>
      <c r="DX2425" s="223"/>
      <c r="DY2425" s="223"/>
      <c r="DZ2425" s="223"/>
      <c r="EA2425" s="223"/>
      <c r="EB2425" s="223"/>
      <c r="EC2425" s="223"/>
      <c r="ED2425" s="223"/>
      <c r="EE2425" s="223"/>
      <c r="EF2425" s="223"/>
      <c r="EG2425" s="223"/>
      <c r="EH2425" s="223"/>
      <c r="EI2425" s="223"/>
      <c r="EJ2425" s="223"/>
      <c r="EK2425" s="223"/>
      <c r="EL2425" s="223"/>
      <c r="EM2425" s="223"/>
      <c r="EN2425" s="223"/>
      <c r="EO2425" s="223"/>
      <c r="EP2425" s="223"/>
      <c r="EQ2425" s="223"/>
      <c r="ER2425" s="223"/>
      <c r="ES2425" s="223"/>
      <c r="ET2425" s="223"/>
      <c r="EU2425" s="223"/>
      <c r="EV2425" s="223"/>
      <c r="EW2425" s="223"/>
      <c r="EX2425" s="223"/>
      <c r="EY2425" s="223"/>
      <c r="EZ2425" s="223"/>
      <c r="FA2425" s="223"/>
      <c r="FB2425" s="223"/>
      <c r="FC2425" s="223"/>
      <c r="FD2425" s="223"/>
      <c r="FE2425" s="223"/>
      <c r="FF2425" s="223"/>
      <c r="FG2425" s="223"/>
      <c r="FH2425" s="223"/>
      <c r="FI2425" s="223"/>
      <c r="FJ2425" s="223"/>
      <c r="FK2425" s="223"/>
      <c r="FL2425" s="223"/>
      <c r="FM2425" s="223"/>
      <c r="FN2425" s="223"/>
      <c r="FO2425" s="223"/>
      <c r="FP2425" s="223"/>
      <c r="FQ2425" s="223"/>
      <c r="FR2425" s="223"/>
      <c r="FS2425" s="223"/>
      <c r="FT2425" s="223"/>
      <c r="FU2425" s="223"/>
      <c r="FV2425" s="223"/>
      <c r="FW2425" s="223"/>
      <c r="FX2425" s="223"/>
      <c r="FY2425" s="223"/>
      <c r="FZ2425" s="223"/>
      <c r="GA2425" s="223"/>
      <c r="GB2425" s="223"/>
      <c r="GC2425" s="223"/>
      <c r="GD2425" s="223"/>
      <c r="GE2425" s="223"/>
      <c r="GF2425" s="223"/>
      <c r="GG2425" s="223"/>
      <c r="GH2425" s="223"/>
      <c r="GI2425" s="223"/>
      <c r="GJ2425" s="223"/>
      <c r="GK2425" s="223"/>
      <c r="GL2425" s="223"/>
      <c r="GM2425" s="223"/>
      <c r="GN2425" s="223"/>
      <c r="GO2425" s="223"/>
      <c r="GP2425" s="223"/>
      <c r="GQ2425" s="223"/>
      <c r="GR2425" s="223"/>
      <c r="GS2425" s="223"/>
      <c r="GT2425" s="223"/>
      <c r="GU2425" s="223"/>
      <c r="GV2425" s="223"/>
      <c r="GW2425" s="223"/>
      <c r="GX2425" s="223"/>
      <c r="GY2425" s="223"/>
      <c r="GZ2425" s="223"/>
      <c r="HA2425" s="223"/>
      <c r="HB2425" s="223"/>
      <c r="HC2425" s="223"/>
      <c r="HD2425" s="223"/>
      <c r="HE2425" s="223"/>
      <c r="HF2425" s="223"/>
      <c r="HG2425" s="223"/>
      <c r="HH2425" s="223"/>
      <c r="HI2425" s="223"/>
      <c r="HJ2425" s="223"/>
      <c r="HK2425" s="223"/>
      <c r="HL2425" s="223"/>
      <c r="HM2425" s="223"/>
      <c r="HN2425" s="223"/>
      <c r="HO2425" s="223"/>
      <c r="HP2425" s="223"/>
      <c r="HQ2425" s="223"/>
      <c r="HR2425" s="223"/>
      <c r="HS2425" s="223"/>
      <c r="HT2425" s="223"/>
      <c r="HU2425" s="223"/>
      <c r="HV2425" s="223"/>
      <c r="HW2425" s="223"/>
      <c r="HX2425" s="223"/>
      <c r="HY2425" s="223"/>
      <c r="HZ2425" s="223"/>
      <c r="IA2425" s="223"/>
      <c r="IB2425" s="223"/>
      <c r="IC2425" s="223"/>
      <c r="ID2425" s="223"/>
      <c r="IE2425" s="223"/>
      <c r="IF2425" s="223"/>
      <c r="IG2425" s="223"/>
      <c r="IH2425" s="223"/>
      <c r="II2425" s="223"/>
      <c r="IJ2425" s="223"/>
      <c r="IK2425" s="223"/>
      <c r="IL2425" s="223"/>
      <c r="IM2425" s="223"/>
      <c r="IN2425" s="223"/>
      <c r="IO2425" s="223"/>
      <c r="IP2425" s="223"/>
      <c r="IQ2425" s="223"/>
      <c r="IR2425" s="223"/>
      <c r="IS2425" s="223"/>
      <c r="IT2425" s="223"/>
      <c r="IU2425" s="223"/>
      <c r="IV2425" s="223"/>
    </row>
    <row r="2426" spans="46:256" s="221" customFormat="1" x14ac:dyDescent="0.2">
      <c r="AT2426" s="222"/>
      <c r="AU2426" s="222"/>
      <c r="BD2426" s="223"/>
      <c r="BE2426" s="223"/>
      <c r="BF2426" s="223"/>
      <c r="BG2426" s="223"/>
      <c r="BH2426" s="223"/>
      <c r="BI2426" s="223"/>
      <c r="BJ2426" s="223"/>
      <c r="BK2426" s="223"/>
      <c r="BL2426" s="223"/>
      <c r="BM2426" s="223"/>
      <c r="BN2426" s="223"/>
      <c r="BO2426" s="223"/>
      <c r="BP2426" s="223"/>
      <c r="BQ2426" s="223"/>
      <c r="BR2426" s="223"/>
      <c r="BS2426" s="223"/>
      <c r="BT2426" s="223"/>
      <c r="BU2426" s="223"/>
      <c r="BV2426" s="223"/>
      <c r="BW2426" s="223"/>
      <c r="BX2426" s="223"/>
      <c r="BY2426" s="223"/>
      <c r="BZ2426" s="223"/>
      <c r="CA2426" s="223"/>
      <c r="CB2426" s="223"/>
      <c r="CC2426" s="223"/>
      <c r="CD2426" s="223"/>
      <c r="CE2426" s="223"/>
      <c r="CF2426" s="223"/>
      <c r="CG2426" s="223"/>
      <c r="CH2426" s="223"/>
      <c r="CI2426" s="223"/>
      <c r="CJ2426" s="223"/>
      <c r="CK2426" s="223"/>
      <c r="CL2426" s="223"/>
      <c r="CM2426" s="223"/>
      <c r="CN2426" s="223"/>
      <c r="CO2426" s="223"/>
      <c r="CP2426" s="223"/>
      <c r="CQ2426" s="223"/>
      <c r="CR2426" s="223"/>
      <c r="CS2426" s="223"/>
      <c r="CT2426" s="223"/>
      <c r="CU2426" s="223"/>
      <c r="CV2426" s="223"/>
      <c r="CW2426" s="223"/>
      <c r="CX2426" s="223"/>
      <c r="CY2426" s="223"/>
      <c r="CZ2426" s="223"/>
      <c r="DA2426" s="223"/>
      <c r="DB2426" s="223"/>
      <c r="DC2426" s="223"/>
      <c r="DD2426" s="223"/>
      <c r="DE2426" s="223"/>
      <c r="DF2426" s="223"/>
      <c r="DG2426" s="223"/>
      <c r="DH2426" s="223"/>
      <c r="DI2426" s="223"/>
      <c r="DJ2426" s="223"/>
      <c r="DK2426" s="223"/>
      <c r="DL2426" s="223"/>
      <c r="DM2426" s="223"/>
      <c r="DN2426" s="223"/>
      <c r="DO2426" s="223"/>
      <c r="DP2426" s="223"/>
      <c r="DQ2426" s="223"/>
      <c r="DR2426" s="223"/>
      <c r="DS2426" s="223"/>
      <c r="DT2426" s="223"/>
      <c r="DU2426" s="223"/>
      <c r="DV2426" s="223"/>
      <c r="DW2426" s="223"/>
      <c r="DX2426" s="223"/>
      <c r="DY2426" s="223"/>
      <c r="DZ2426" s="223"/>
      <c r="EA2426" s="223"/>
      <c r="EB2426" s="223"/>
      <c r="EC2426" s="223"/>
      <c r="ED2426" s="223"/>
      <c r="EE2426" s="223"/>
      <c r="EF2426" s="223"/>
      <c r="EG2426" s="223"/>
      <c r="EH2426" s="223"/>
      <c r="EI2426" s="223"/>
      <c r="EJ2426" s="223"/>
      <c r="EK2426" s="223"/>
      <c r="EL2426" s="223"/>
      <c r="EM2426" s="223"/>
      <c r="EN2426" s="223"/>
      <c r="EO2426" s="223"/>
      <c r="EP2426" s="223"/>
      <c r="EQ2426" s="223"/>
      <c r="ER2426" s="223"/>
      <c r="ES2426" s="223"/>
      <c r="ET2426" s="223"/>
      <c r="EU2426" s="223"/>
      <c r="EV2426" s="223"/>
      <c r="EW2426" s="223"/>
      <c r="EX2426" s="223"/>
      <c r="EY2426" s="223"/>
      <c r="EZ2426" s="223"/>
      <c r="FA2426" s="223"/>
      <c r="FB2426" s="223"/>
      <c r="FC2426" s="223"/>
      <c r="FD2426" s="223"/>
      <c r="FE2426" s="223"/>
      <c r="FF2426" s="223"/>
      <c r="FG2426" s="223"/>
      <c r="FH2426" s="223"/>
      <c r="FI2426" s="223"/>
      <c r="FJ2426" s="223"/>
      <c r="FK2426" s="223"/>
      <c r="FL2426" s="223"/>
      <c r="FM2426" s="223"/>
      <c r="FN2426" s="223"/>
      <c r="FO2426" s="223"/>
      <c r="FP2426" s="223"/>
      <c r="FQ2426" s="223"/>
      <c r="FR2426" s="223"/>
      <c r="FS2426" s="223"/>
      <c r="FT2426" s="223"/>
      <c r="FU2426" s="223"/>
      <c r="FV2426" s="223"/>
      <c r="FW2426" s="223"/>
      <c r="FX2426" s="223"/>
      <c r="FY2426" s="223"/>
      <c r="FZ2426" s="223"/>
      <c r="GA2426" s="223"/>
      <c r="GB2426" s="223"/>
      <c r="GC2426" s="223"/>
      <c r="GD2426" s="223"/>
      <c r="GE2426" s="223"/>
      <c r="GF2426" s="223"/>
      <c r="GG2426" s="223"/>
      <c r="GH2426" s="223"/>
      <c r="GI2426" s="223"/>
      <c r="GJ2426" s="223"/>
      <c r="GK2426" s="223"/>
      <c r="GL2426" s="223"/>
      <c r="GM2426" s="223"/>
      <c r="GN2426" s="223"/>
      <c r="GO2426" s="223"/>
      <c r="GP2426" s="223"/>
      <c r="GQ2426" s="223"/>
      <c r="GR2426" s="223"/>
      <c r="GS2426" s="223"/>
      <c r="GT2426" s="223"/>
      <c r="GU2426" s="223"/>
      <c r="GV2426" s="223"/>
      <c r="GW2426" s="223"/>
      <c r="GX2426" s="223"/>
      <c r="GY2426" s="223"/>
      <c r="GZ2426" s="223"/>
      <c r="HA2426" s="223"/>
      <c r="HB2426" s="223"/>
      <c r="HC2426" s="223"/>
      <c r="HD2426" s="223"/>
      <c r="HE2426" s="223"/>
      <c r="HF2426" s="223"/>
      <c r="HG2426" s="223"/>
      <c r="HH2426" s="223"/>
      <c r="HI2426" s="223"/>
      <c r="HJ2426" s="223"/>
      <c r="HK2426" s="223"/>
      <c r="HL2426" s="223"/>
      <c r="HM2426" s="223"/>
      <c r="HN2426" s="223"/>
      <c r="HO2426" s="223"/>
      <c r="HP2426" s="223"/>
      <c r="HQ2426" s="223"/>
      <c r="HR2426" s="223"/>
      <c r="HS2426" s="223"/>
      <c r="HT2426" s="223"/>
      <c r="HU2426" s="223"/>
      <c r="HV2426" s="223"/>
      <c r="HW2426" s="223"/>
      <c r="HX2426" s="223"/>
      <c r="HY2426" s="223"/>
      <c r="HZ2426" s="223"/>
      <c r="IA2426" s="223"/>
      <c r="IB2426" s="223"/>
      <c r="IC2426" s="223"/>
      <c r="ID2426" s="223"/>
      <c r="IE2426" s="223"/>
      <c r="IF2426" s="223"/>
      <c r="IG2426" s="223"/>
      <c r="IH2426" s="223"/>
      <c r="II2426" s="223"/>
      <c r="IJ2426" s="223"/>
      <c r="IK2426" s="223"/>
      <c r="IL2426" s="223"/>
      <c r="IM2426" s="223"/>
      <c r="IN2426" s="223"/>
      <c r="IO2426" s="223"/>
      <c r="IP2426" s="223"/>
      <c r="IQ2426" s="223"/>
      <c r="IR2426" s="223"/>
      <c r="IS2426" s="223"/>
      <c r="IT2426" s="223"/>
      <c r="IU2426" s="223"/>
      <c r="IV2426" s="223"/>
    </row>
    <row r="2427" spans="46:256" s="221" customFormat="1" x14ac:dyDescent="0.2">
      <c r="AT2427" s="222"/>
      <c r="AU2427" s="222"/>
      <c r="BD2427" s="223"/>
      <c r="BE2427" s="223"/>
      <c r="BF2427" s="223"/>
      <c r="BG2427" s="223"/>
      <c r="BH2427" s="223"/>
      <c r="BI2427" s="223"/>
      <c r="BJ2427" s="223"/>
      <c r="BK2427" s="223"/>
      <c r="BL2427" s="223"/>
      <c r="BM2427" s="223"/>
      <c r="BN2427" s="223"/>
      <c r="BO2427" s="223"/>
      <c r="BP2427" s="223"/>
      <c r="BQ2427" s="223"/>
      <c r="BR2427" s="223"/>
      <c r="BS2427" s="223"/>
      <c r="BT2427" s="223"/>
      <c r="BU2427" s="223"/>
      <c r="BV2427" s="223"/>
      <c r="BW2427" s="223"/>
      <c r="BX2427" s="223"/>
      <c r="BY2427" s="223"/>
      <c r="BZ2427" s="223"/>
      <c r="CA2427" s="223"/>
      <c r="CB2427" s="223"/>
      <c r="CC2427" s="223"/>
      <c r="CD2427" s="223"/>
      <c r="CE2427" s="223"/>
      <c r="CF2427" s="223"/>
      <c r="CG2427" s="223"/>
      <c r="CH2427" s="223"/>
      <c r="CI2427" s="223"/>
      <c r="CJ2427" s="223"/>
      <c r="CK2427" s="223"/>
      <c r="CL2427" s="223"/>
      <c r="CM2427" s="223"/>
      <c r="CN2427" s="223"/>
      <c r="CO2427" s="223"/>
      <c r="CP2427" s="223"/>
      <c r="CQ2427" s="223"/>
      <c r="CR2427" s="223"/>
      <c r="CS2427" s="223"/>
      <c r="CT2427" s="223"/>
      <c r="CU2427" s="223"/>
      <c r="CV2427" s="223"/>
      <c r="CW2427" s="223"/>
      <c r="CX2427" s="223"/>
      <c r="CY2427" s="223"/>
      <c r="CZ2427" s="223"/>
      <c r="DA2427" s="223"/>
      <c r="DB2427" s="223"/>
      <c r="DC2427" s="223"/>
      <c r="DD2427" s="223"/>
      <c r="DE2427" s="223"/>
      <c r="DF2427" s="223"/>
      <c r="DG2427" s="223"/>
      <c r="DH2427" s="223"/>
      <c r="DI2427" s="223"/>
      <c r="DJ2427" s="223"/>
      <c r="DK2427" s="223"/>
      <c r="DL2427" s="223"/>
      <c r="DM2427" s="223"/>
      <c r="DN2427" s="223"/>
      <c r="DO2427" s="223"/>
      <c r="DP2427" s="223"/>
      <c r="DQ2427" s="223"/>
      <c r="DR2427" s="223"/>
      <c r="DS2427" s="223"/>
      <c r="DT2427" s="223"/>
      <c r="DU2427" s="223"/>
      <c r="DV2427" s="223"/>
      <c r="DW2427" s="223"/>
      <c r="DX2427" s="223"/>
      <c r="DY2427" s="223"/>
      <c r="DZ2427" s="223"/>
      <c r="EA2427" s="223"/>
      <c r="EB2427" s="223"/>
      <c r="EC2427" s="223"/>
      <c r="ED2427" s="223"/>
      <c r="EE2427" s="223"/>
      <c r="EF2427" s="223"/>
      <c r="EG2427" s="223"/>
      <c r="EH2427" s="223"/>
      <c r="EI2427" s="223"/>
      <c r="EJ2427" s="223"/>
      <c r="EK2427" s="223"/>
      <c r="EL2427" s="223"/>
      <c r="EM2427" s="223"/>
      <c r="EN2427" s="223"/>
      <c r="EO2427" s="223"/>
      <c r="EP2427" s="223"/>
      <c r="EQ2427" s="223"/>
      <c r="ER2427" s="223"/>
      <c r="ES2427" s="223"/>
      <c r="ET2427" s="223"/>
      <c r="EU2427" s="223"/>
      <c r="EV2427" s="223"/>
      <c r="EW2427" s="223"/>
      <c r="EX2427" s="223"/>
      <c r="EY2427" s="223"/>
      <c r="EZ2427" s="223"/>
      <c r="FA2427" s="223"/>
      <c r="FB2427" s="223"/>
      <c r="FC2427" s="223"/>
      <c r="FD2427" s="223"/>
      <c r="FE2427" s="223"/>
      <c r="FF2427" s="223"/>
      <c r="FG2427" s="223"/>
      <c r="FH2427" s="223"/>
      <c r="FI2427" s="223"/>
      <c r="FJ2427" s="223"/>
      <c r="FK2427" s="223"/>
      <c r="FL2427" s="223"/>
      <c r="FM2427" s="223"/>
      <c r="FN2427" s="223"/>
      <c r="FO2427" s="223"/>
      <c r="FP2427" s="223"/>
      <c r="FQ2427" s="223"/>
      <c r="FR2427" s="223"/>
      <c r="FS2427" s="223"/>
      <c r="FT2427" s="223"/>
      <c r="FU2427" s="223"/>
      <c r="FV2427" s="223"/>
      <c r="FW2427" s="223"/>
      <c r="FX2427" s="223"/>
      <c r="FY2427" s="223"/>
      <c r="FZ2427" s="223"/>
      <c r="GA2427" s="223"/>
      <c r="GB2427" s="223"/>
      <c r="GC2427" s="223"/>
      <c r="GD2427" s="223"/>
      <c r="GE2427" s="223"/>
      <c r="GF2427" s="223"/>
      <c r="GG2427" s="223"/>
      <c r="GH2427" s="223"/>
      <c r="GI2427" s="223"/>
      <c r="GJ2427" s="223"/>
      <c r="GK2427" s="223"/>
      <c r="GL2427" s="223"/>
      <c r="GM2427" s="223"/>
      <c r="GN2427" s="223"/>
      <c r="GO2427" s="223"/>
      <c r="GP2427" s="223"/>
      <c r="GQ2427" s="223"/>
      <c r="GR2427" s="223"/>
      <c r="GS2427" s="223"/>
      <c r="GT2427" s="223"/>
      <c r="GU2427" s="223"/>
      <c r="GV2427" s="223"/>
      <c r="GW2427" s="223"/>
      <c r="GX2427" s="223"/>
      <c r="GY2427" s="223"/>
      <c r="GZ2427" s="223"/>
      <c r="HA2427" s="223"/>
      <c r="HB2427" s="223"/>
      <c r="HC2427" s="223"/>
      <c r="HD2427" s="223"/>
      <c r="HE2427" s="223"/>
      <c r="HF2427" s="223"/>
      <c r="HG2427" s="223"/>
      <c r="HH2427" s="223"/>
      <c r="HI2427" s="223"/>
      <c r="HJ2427" s="223"/>
      <c r="HK2427" s="223"/>
      <c r="HL2427" s="223"/>
      <c r="HM2427" s="223"/>
      <c r="HN2427" s="223"/>
      <c r="HO2427" s="223"/>
      <c r="HP2427" s="223"/>
      <c r="HQ2427" s="223"/>
      <c r="HR2427" s="223"/>
      <c r="HS2427" s="223"/>
      <c r="HT2427" s="223"/>
      <c r="HU2427" s="223"/>
      <c r="HV2427" s="223"/>
      <c r="HW2427" s="223"/>
      <c r="HX2427" s="223"/>
      <c r="HY2427" s="223"/>
      <c r="HZ2427" s="223"/>
      <c r="IA2427" s="223"/>
      <c r="IB2427" s="223"/>
      <c r="IC2427" s="223"/>
      <c r="ID2427" s="223"/>
      <c r="IE2427" s="223"/>
      <c r="IF2427" s="223"/>
      <c r="IG2427" s="223"/>
      <c r="IH2427" s="223"/>
      <c r="II2427" s="223"/>
      <c r="IJ2427" s="223"/>
      <c r="IK2427" s="223"/>
      <c r="IL2427" s="223"/>
      <c r="IM2427" s="223"/>
      <c r="IN2427" s="223"/>
      <c r="IO2427" s="223"/>
      <c r="IP2427" s="223"/>
      <c r="IQ2427" s="223"/>
      <c r="IR2427" s="223"/>
      <c r="IS2427" s="223"/>
      <c r="IT2427" s="223"/>
      <c r="IU2427" s="223"/>
      <c r="IV2427" s="223"/>
    </row>
    <row r="2428" spans="46:256" s="221" customFormat="1" x14ac:dyDescent="0.2">
      <c r="AT2428" s="222"/>
      <c r="AU2428" s="222"/>
      <c r="BD2428" s="223"/>
      <c r="BE2428" s="223"/>
      <c r="BF2428" s="223"/>
      <c r="BG2428" s="223"/>
      <c r="BH2428" s="223"/>
      <c r="BI2428" s="223"/>
      <c r="BJ2428" s="223"/>
      <c r="BK2428" s="223"/>
      <c r="BL2428" s="223"/>
      <c r="BM2428" s="223"/>
      <c r="BN2428" s="223"/>
      <c r="BO2428" s="223"/>
      <c r="BP2428" s="223"/>
      <c r="BQ2428" s="223"/>
      <c r="BR2428" s="223"/>
      <c r="BS2428" s="223"/>
      <c r="BT2428" s="223"/>
      <c r="BU2428" s="223"/>
      <c r="BV2428" s="223"/>
      <c r="BW2428" s="223"/>
      <c r="BX2428" s="223"/>
      <c r="BY2428" s="223"/>
      <c r="BZ2428" s="223"/>
      <c r="CA2428" s="223"/>
      <c r="CB2428" s="223"/>
      <c r="CC2428" s="223"/>
      <c r="CD2428" s="223"/>
      <c r="CE2428" s="223"/>
      <c r="CF2428" s="223"/>
      <c r="CG2428" s="223"/>
      <c r="CH2428" s="223"/>
      <c r="CI2428" s="223"/>
      <c r="CJ2428" s="223"/>
      <c r="CK2428" s="223"/>
      <c r="CL2428" s="223"/>
      <c r="CM2428" s="223"/>
      <c r="CN2428" s="223"/>
      <c r="CO2428" s="223"/>
      <c r="CP2428" s="223"/>
      <c r="CQ2428" s="223"/>
      <c r="CR2428" s="223"/>
      <c r="CS2428" s="223"/>
      <c r="CT2428" s="223"/>
      <c r="CU2428" s="223"/>
      <c r="CV2428" s="223"/>
      <c r="CW2428" s="223"/>
      <c r="CX2428" s="223"/>
      <c r="CY2428" s="223"/>
      <c r="CZ2428" s="223"/>
      <c r="DA2428" s="223"/>
      <c r="DB2428" s="223"/>
      <c r="DC2428" s="223"/>
      <c r="DD2428" s="223"/>
      <c r="DE2428" s="223"/>
      <c r="DF2428" s="223"/>
      <c r="DG2428" s="223"/>
      <c r="DH2428" s="223"/>
      <c r="DI2428" s="223"/>
      <c r="DJ2428" s="223"/>
      <c r="DK2428" s="223"/>
      <c r="DL2428" s="223"/>
      <c r="DM2428" s="223"/>
      <c r="DN2428" s="223"/>
      <c r="DO2428" s="223"/>
      <c r="DP2428" s="223"/>
      <c r="DQ2428" s="223"/>
      <c r="DR2428" s="223"/>
      <c r="DS2428" s="223"/>
      <c r="DT2428" s="223"/>
      <c r="DU2428" s="223"/>
      <c r="DV2428" s="223"/>
      <c r="DW2428" s="223"/>
      <c r="DX2428" s="223"/>
      <c r="DY2428" s="223"/>
      <c r="DZ2428" s="223"/>
      <c r="EA2428" s="223"/>
      <c r="EB2428" s="223"/>
      <c r="EC2428" s="223"/>
      <c r="ED2428" s="223"/>
      <c r="EE2428" s="223"/>
      <c r="EF2428" s="223"/>
      <c r="EG2428" s="223"/>
      <c r="EH2428" s="223"/>
      <c r="EI2428" s="223"/>
      <c r="EJ2428" s="223"/>
      <c r="EK2428" s="223"/>
      <c r="EL2428" s="223"/>
      <c r="EM2428" s="223"/>
      <c r="EN2428" s="223"/>
      <c r="EO2428" s="223"/>
      <c r="EP2428" s="223"/>
      <c r="EQ2428" s="223"/>
      <c r="ER2428" s="223"/>
      <c r="ES2428" s="223"/>
      <c r="ET2428" s="223"/>
      <c r="EU2428" s="223"/>
      <c r="EV2428" s="223"/>
      <c r="EW2428" s="223"/>
      <c r="EX2428" s="223"/>
      <c r="EY2428" s="223"/>
      <c r="EZ2428" s="223"/>
      <c r="FA2428" s="223"/>
      <c r="FB2428" s="223"/>
      <c r="FC2428" s="223"/>
      <c r="FD2428" s="223"/>
      <c r="FE2428" s="223"/>
      <c r="FF2428" s="223"/>
      <c r="FG2428" s="223"/>
      <c r="FH2428" s="223"/>
      <c r="FI2428" s="223"/>
      <c r="FJ2428" s="223"/>
      <c r="FK2428" s="223"/>
      <c r="FL2428" s="223"/>
      <c r="FM2428" s="223"/>
      <c r="FN2428" s="223"/>
      <c r="FO2428" s="223"/>
      <c r="FP2428" s="223"/>
      <c r="FQ2428" s="223"/>
      <c r="FR2428" s="223"/>
      <c r="FS2428" s="223"/>
      <c r="FT2428" s="223"/>
      <c r="FU2428" s="223"/>
      <c r="FV2428" s="223"/>
      <c r="FW2428" s="223"/>
      <c r="FX2428" s="223"/>
      <c r="FY2428" s="223"/>
      <c r="FZ2428" s="223"/>
      <c r="GA2428" s="223"/>
      <c r="GB2428" s="223"/>
      <c r="GC2428" s="223"/>
      <c r="GD2428" s="223"/>
      <c r="GE2428" s="223"/>
      <c r="GF2428" s="223"/>
      <c r="GG2428" s="223"/>
      <c r="GH2428" s="223"/>
      <c r="GI2428" s="223"/>
      <c r="GJ2428" s="223"/>
      <c r="GK2428" s="223"/>
      <c r="GL2428" s="223"/>
      <c r="GM2428" s="223"/>
      <c r="GN2428" s="223"/>
      <c r="GO2428" s="223"/>
      <c r="GP2428" s="223"/>
      <c r="GQ2428" s="223"/>
      <c r="GR2428" s="223"/>
      <c r="GS2428" s="223"/>
      <c r="GT2428" s="223"/>
      <c r="GU2428" s="223"/>
      <c r="GV2428" s="223"/>
      <c r="GW2428" s="223"/>
      <c r="GX2428" s="223"/>
      <c r="GY2428" s="223"/>
      <c r="GZ2428" s="223"/>
      <c r="HA2428" s="223"/>
      <c r="HB2428" s="223"/>
      <c r="HC2428" s="223"/>
      <c r="HD2428" s="223"/>
      <c r="HE2428" s="223"/>
      <c r="HF2428" s="223"/>
      <c r="HG2428" s="223"/>
      <c r="HH2428" s="223"/>
      <c r="HI2428" s="223"/>
      <c r="HJ2428" s="223"/>
      <c r="HK2428" s="223"/>
      <c r="HL2428" s="223"/>
      <c r="HM2428" s="223"/>
      <c r="HN2428" s="223"/>
      <c r="HO2428" s="223"/>
      <c r="HP2428" s="223"/>
      <c r="HQ2428" s="223"/>
      <c r="HR2428" s="223"/>
      <c r="HS2428" s="223"/>
      <c r="HT2428" s="223"/>
      <c r="HU2428" s="223"/>
      <c r="HV2428" s="223"/>
      <c r="HW2428" s="223"/>
      <c r="HX2428" s="223"/>
      <c r="HY2428" s="223"/>
      <c r="HZ2428" s="223"/>
      <c r="IA2428" s="223"/>
      <c r="IB2428" s="223"/>
      <c r="IC2428" s="223"/>
      <c r="ID2428" s="223"/>
      <c r="IE2428" s="223"/>
      <c r="IF2428" s="223"/>
      <c r="IG2428" s="223"/>
      <c r="IH2428" s="223"/>
      <c r="II2428" s="223"/>
      <c r="IJ2428" s="223"/>
      <c r="IK2428" s="223"/>
      <c r="IL2428" s="223"/>
      <c r="IM2428" s="223"/>
      <c r="IN2428" s="223"/>
      <c r="IO2428" s="223"/>
      <c r="IP2428" s="223"/>
      <c r="IQ2428" s="223"/>
      <c r="IR2428" s="223"/>
      <c r="IS2428" s="223"/>
      <c r="IT2428" s="223"/>
      <c r="IU2428" s="223"/>
      <c r="IV2428" s="223"/>
    </row>
    <row r="2429" spans="46:256" s="221" customFormat="1" x14ac:dyDescent="0.2">
      <c r="AT2429" s="222"/>
      <c r="AU2429" s="222"/>
      <c r="BD2429" s="223"/>
      <c r="BE2429" s="223"/>
      <c r="BF2429" s="223"/>
      <c r="BG2429" s="223"/>
      <c r="BH2429" s="223"/>
      <c r="BI2429" s="223"/>
      <c r="BJ2429" s="223"/>
      <c r="BK2429" s="223"/>
      <c r="BL2429" s="223"/>
      <c r="BM2429" s="223"/>
      <c r="BN2429" s="223"/>
      <c r="BO2429" s="223"/>
      <c r="BP2429" s="223"/>
      <c r="BQ2429" s="223"/>
      <c r="BR2429" s="223"/>
      <c r="BS2429" s="223"/>
      <c r="BT2429" s="223"/>
      <c r="BU2429" s="223"/>
      <c r="BV2429" s="223"/>
      <c r="BW2429" s="223"/>
      <c r="BX2429" s="223"/>
      <c r="BY2429" s="223"/>
      <c r="BZ2429" s="223"/>
      <c r="CA2429" s="223"/>
      <c r="CB2429" s="223"/>
      <c r="CC2429" s="223"/>
      <c r="CD2429" s="223"/>
      <c r="CE2429" s="223"/>
      <c r="CF2429" s="223"/>
      <c r="CG2429" s="223"/>
      <c r="CH2429" s="223"/>
      <c r="CI2429" s="223"/>
      <c r="CJ2429" s="223"/>
      <c r="CK2429" s="223"/>
      <c r="CL2429" s="223"/>
      <c r="CM2429" s="223"/>
      <c r="CN2429" s="223"/>
      <c r="CO2429" s="223"/>
      <c r="CP2429" s="223"/>
      <c r="CQ2429" s="223"/>
      <c r="CR2429" s="223"/>
      <c r="CS2429" s="223"/>
      <c r="CT2429" s="223"/>
      <c r="CU2429" s="223"/>
      <c r="CV2429" s="223"/>
      <c r="CW2429" s="223"/>
      <c r="CX2429" s="223"/>
      <c r="CY2429" s="223"/>
      <c r="CZ2429" s="223"/>
      <c r="DA2429" s="223"/>
      <c r="DB2429" s="223"/>
      <c r="DC2429" s="223"/>
      <c r="DD2429" s="223"/>
      <c r="DE2429" s="223"/>
      <c r="DF2429" s="223"/>
      <c r="DG2429" s="223"/>
      <c r="DH2429" s="223"/>
      <c r="DI2429" s="223"/>
      <c r="DJ2429" s="223"/>
      <c r="DK2429" s="223"/>
      <c r="DL2429" s="223"/>
      <c r="DM2429" s="223"/>
      <c r="DN2429" s="223"/>
      <c r="DO2429" s="223"/>
      <c r="DP2429" s="223"/>
      <c r="DQ2429" s="223"/>
      <c r="DR2429" s="223"/>
      <c r="DS2429" s="223"/>
      <c r="DT2429" s="223"/>
      <c r="DU2429" s="223"/>
      <c r="DV2429" s="223"/>
      <c r="DW2429" s="223"/>
      <c r="DX2429" s="223"/>
      <c r="DY2429" s="223"/>
      <c r="DZ2429" s="223"/>
      <c r="EA2429" s="223"/>
      <c r="EB2429" s="223"/>
      <c r="EC2429" s="223"/>
      <c r="ED2429" s="223"/>
      <c r="EE2429" s="223"/>
      <c r="EF2429" s="223"/>
      <c r="EG2429" s="223"/>
      <c r="EH2429" s="223"/>
      <c r="EI2429" s="223"/>
      <c r="EJ2429" s="223"/>
      <c r="EK2429" s="223"/>
      <c r="EL2429" s="223"/>
      <c r="EM2429" s="223"/>
      <c r="EN2429" s="223"/>
      <c r="EO2429" s="223"/>
      <c r="EP2429" s="223"/>
      <c r="EQ2429" s="223"/>
      <c r="ER2429" s="223"/>
      <c r="ES2429" s="223"/>
      <c r="ET2429" s="223"/>
      <c r="EU2429" s="223"/>
      <c r="EV2429" s="223"/>
      <c r="EW2429" s="223"/>
      <c r="EX2429" s="223"/>
      <c r="EY2429" s="223"/>
      <c r="EZ2429" s="223"/>
      <c r="FA2429" s="223"/>
      <c r="FB2429" s="223"/>
      <c r="FC2429" s="223"/>
      <c r="FD2429" s="223"/>
      <c r="FE2429" s="223"/>
      <c r="FF2429" s="223"/>
      <c r="FG2429" s="223"/>
      <c r="FH2429" s="223"/>
      <c r="FI2429" s="223"/>
      <c r="FJ2429" s="223"/>
      <c r="FK2429" s="223"/>
      <c r="FL2429" s="223"/>
      <c r="FM2429" s="223"/>
      <c r="FN2429" s="223"/>
      <c r="FO2429" s="223"/>
      <c r="FP2429" s="223"/>
      <c r="FQ2429" s="223"/>
      <c r="FR2429" s="223"/>
      <c r="FS2429" s="223"/>
      <c r="FT2429" s="223"/>
      <c r="FU2429" s="223"/>
      <c r="FV2429" s="223"/>
      <c r="FW2429" s="223"/>
      <c r="FX2429" s="223"/>
      <c r="FY2429" s="223"/>
      <c r="FZ2429" s="223"/>
      <c r="GA2429" s="223"/>
      <c r="GB2429" s="223"/>
      <c r="GC2429" s="223"/>
      <c r="GD2429" s="223"/>
      <c r="GE2429" s="223"/>
      <c r="GF2429" s="223"/>
      <c r="GG2429" s="223"/>
      <c r="GH2429" s="223"/>
      <c r="GI2429" s="223"/>
      <c r="GJ2429" s="223"/>
      <c r="GK2429" s="223"/>
      <c r="GL2429" s="223"/>
      <c r="GM2429" s="223"/>
      <c r="GN2429" s="223"/>
      <c r="GO2429" s="223"/>
      <c r="GP2429" s="223"/>
      <c r="GQ2429" s="223"/>
      <c r="GR2429" s="223"/>
      <c r="GS2429" s="223"/>
      <c r="GT2429" s="223"/>
      <c r="GU2429" s="223"/>
      <c r="GV2429" s="223"/>
      <c r="GW2429" s="223"/>
      <c r="GX2429" s="223"/>
      <c r="GY2429" s="223"/>
      <c r="GZ2429" s="223"/>
      <c r="HA2429" s="223"/>
      <c r="HB2429" s="223"/>
      <c r="HC2429" s="223"/>
      <c r="HD2429" s="223"/>
      <c r="HE2429" s="223"/>
      <c r="HF2429" s="223"/>
      <c r="HG2429" s="223"/>
      <c r="HH2429" s="223"/>
      <c r="HI2429" s="223"/>
      <c r="HJ2429" s="223"/>
      <c r="HK2429" s="223"/>
      <c r="HL2429" s="223"/>
      <c r="HM2429" s="223"/>
      <c r="HN2429" s="223"/>
      <c r="HO2429" s="223"/>
      <c r="HP2429" s="223"/>
      <c r="HQ2429" s="223"/>
      <c r="HR2429" s="223"/>
      <c r="HS2429" s="223"/>
      <c r="HT2429" s="223"/>
      <c r="HU2429" s="223"/>
      <c r="HV2429" s="223"/>
      <c r="HW2429" s="223"/>
      <c r="HX2429" s="223"/>
      <c r="HY2429" s="223"/>
      <c r="HZ2429" s="223"/>
      <c r="IA2429" s="223"/>
      <c r="IB2429" s="223"/>
      <c r="IC2429" s="223"/>
      <c r="ID2429" s="223"/>
      <c r="IE2429" s="223"/>
      <c r="IF2429" s="223"/>
      <c r="IG2429" s="223"/>
      <c r="IH2429" s="223"/>
      <c r="II2429" s="223"/>
      <c r="IJ2429" s="223"/>
      <c r="IK2429" s="223"/>
      <c r="IL2429" s="223"/>
      <c r="IM2429" s="223"/>
      <c r="IN2429" s="223"/>
      <c r="IO2429" s="223"/>
      <c r="IP2429" s="223"/>
      <c r="IQ2429" s="223"/>
      <c r="IR2429" s="223"/>
      <c r="IS2429" s="223"/>
      <c r="IT2429" s="223"/>
      <c r="IU2429" s="223"/>
      <c r="IV2429" s="223"/>
    </row>
    <row r="2430" spans="46:256" s="221" customFormat="1" x14ac:dyDescent="0.2">
      <c r="AT2430" s="222"/>
      <c r="AU2430" s="222"/>
      <c r="BD2430" s="223"/>
      <c r="BE2430" s="223"/>
      <c r="BF2430" s="223"/>
      <c r="BG2430" s="223"/>
      <c r="BH2430" s="223"/>
      <c r="BI2430" s="223"/>
      <c r="BJ2430" s="223"/>
      <c r="BK2430" s="223"/>
      <c r="BL2430" s="223"/>
      <c r="BM2430" s="223"/>
      <c r="BN2430" s="223"/>
      <c r="BO2430" s="223"/>
      <c r="BP2430" s="223"/>
      <c r="BQ2430" s="223"/>
      <c r="BR2430" s="223"/>
      <c r="BS2430" s="223"/>
      <c r="BT2430" s="223"/>
      <c r="BU2430" s="223"/>
      <c r="BV2430" s="223"/>
      <c r="BW2430" s="223"/>
      <c r="BX2430" s="223"/>
      <c r="BY2430" s="223"/>
      <c r="BZ2430" s="223"/>
      <c r="CA2430" s="223"/>
      <c r="CB2430" s="223"/>
      <c r="CC2430" s="223"/>
      <c r="CD2430" s="223"/>
      <c r="CE2430" s="223"/>
      <c r="CF2430" s="223"/>
      <c r="CG2430" s="223"/>
      <c r="CH2430" s="223"/>
      <c r="CI2430" s="223"/>
      <c r="CJ2430" s="223"/>
      <c r="CK2430" s="223"/>
      <c r="CL2430" s="223"/>
      <c r="CM2430" s="223"/>
      <c r="CN2430" s="223"/>
      <c r="CO2430" s="223"/>
      <c r="CP2430" s="223"/>
      <c r="CQ2430" s="223"/>
      <c r="CR2430" s="223"/>
      <c r="CS2430" s="223"/>
      <c r="CT2430" s="223"/>
      <c r="CU2430" s="223"/>
      <c r="CV2430" s="223"/>
      <c r="CW2430" s="223"/>
      <c r="CX2430" s="223"/>
      <c r="CY2430" s="223"/>
      <c r="CZ2430" s="223"/>
      <c r="DA2430" s="223"/>
      <c r="DB2430" s="223"/>
      <c r="DC2430" s="223"/>
      <c r="DD2430" s="223"/>
      <c r="DE2430" s="223"/>
      <c r="DF2430" s="223"/>
      <c r="DG2430" s="223"/>
      <c r="DH2430" s="223"/>
      <c r="DI2430" s="223"/>
      <c r="DJ2430" s="223"/>
      <c r="DK2430" s="223"/>
      <c r="DL2430" s="223"/>
      <c r="DM2430" s="223"/>
      <c r="DN2430" s="223"/>
      <c r="DO2430" s="223"/>
      <c r="DP2430" s="223"/>
      <c r="DQ2430" s="223"/>
      <c r="DR2430" s="223"/>
      <c r="DS2430" s="223"/>
      <c r="DT2430" s="223"/>
      <c r="DU2430" s="223"/>
      <c r="DV2430" s="223"/>
      <c r="DW2430" s="223"/>
      <c r="DX2430" s="223"/>
      <c r="DY2430" s="223"/>
      <c r="DZ2430" s="223"/>
      <c r="EA2430" s="223"/>
      <c r="EB2430" s="223"/>
      <c r="EC2430" s="223"/>
      <c r="ED2430" s="223"/>
      <c r="EE2430" s="223"/>
      <c r="EF2430" s="223"/>
      <c r="EG2430" s="223"/>
      <c r="EH2430" s="223"/>
      <c r="EI2430" s="223"/>
      <c r="EJ2430" s="223"/>
      <c r="EK2430" s="223"/>
      <c r="EL2430" s="223"/>
      <c r="EM2430" s="223"/>
      <c r="EN2430" s="223"/>
      <c r="EO2430" s="223"/>
      <c r="EP2430" s="223"/>
      <c r="EQ2430" s="223"/>
      <c r="ER2430" s="223"/>
      <c r="ES2430" s="223"/>
      <c r="ET2430" s="223"/>
      <c r="EU2430" s="223"/>
      <c r="EV2430" s="223"/>
      <c r="EW2430" s="223"/>
      <c r="EX2430" s="223"/>
      <c r="EY2430" s="223"/>
      <c r="EZ2430" s="223"/>
      <c r="FA2430" s="223"/>
      <c r="FB2430" s="223"/>
      <c r="FC2430" s="223"/>
      <c r="FD2430" s="223"/>
      <c r="FE2430" s="223"/>
      <c r="FF2430" s="223"/>
      <c r="FG2430" s="223"/>
      <c r="FH2430" s="223"/>
      <c r="FI2430" s="223"/>
      <c r="FJ2430" s="223"/>
      <c r="FK2430" s="223"/>
      <c r="FL2430" s="223"/>
      <c r="FM2430" s="223"/>
      <c r="FN2430" s="223"/>
      <c r="FO2430" s="223"/>
      <c r="FP2430" s="223"/>
      <c r="FQ2430" s="223"/>
      <c r="FR2430" s="223"/>
      <c r="FS2430" s="223"/>
      <c r="FT2430" s="223"/>
      <c r="FU2430" s="223"/>
      <c r="FV2430" s="223"/>
      <c r="FW2430" s="223"/>
      <c r="FX2430" s="223"/>
      <c r="FY2430" s="223"/>
      <c r="FZ2430" s="223"/>
      <c r="GA2430" s="223"/>
      <c r="GB2430" s="223"/>
      <c r="GC2430" s="223"/>
      <c r="GD2430" s="223"/>
      <c r="GE2430" s="223"/>
      <c r="GF2430" s="223"/>
      <c r="GG2430" s="223"/>
      <c r="GH2430" s="223"/>
      <c r="GI2430" s="223"/>
      <c r="GJ2430" s="223"/>
      <c r="GK2430" s="223"/>
      <c r="GL2430" s="223"/>
      <c r="GM2430" s="223"/>
      <c r="GN2430" s="223"/>
      <c r="GO2430" s="223"/>
      <c r="GP2430" s="223"/>
      <c r="GQ2430" s="223"/>
      <c r="GR2430" s="223"/>
      <c r="GS2430" s="223"/>
      <c r="GT2430" s="223"/>
      <c r="GU2430" s="223"/>
      <c r="GV2430" s="223"/>
      <c r="GW2430" s="223"/>
      <c r="GX2430" s="223"/>
      <c r="GY2430" s="223"/>
      <c r="GZ2430" s="223"/>
      <c r="HA2430" s="223"/>
      <c r="HB2430" s="223"/>
      <c r="HC2430" s="223"/>
      <c r="HD2430" s="223"/>
      <c r="HE2430" s="223"/>
      <c r="HF2430" s="223"/>
      <c r="HG2430" s="223"/>
      <c r="HH2430" s="223"/>
      <c r="HI2430" s="223"/>
      <c r="HJ2430" s="223"/>
      <c r="HK2430" s="223"/>
      <c r="HL2430" s="223"/>
      <c r="HM2430" s="223"/>
      <c r="HN2430" s="223"/>
      <c r="HO2430" s="223"/>
      <c r="HP2430" s="223"/>
      <c r="HQ2430" s="223"/>
      <c r="HR2430" s="223"/>
      <c r="HS2430" s="223"/>
      <c r="HT2430" s="223"/>
      <c r="HU2430" s="223"/>
      <c r="HV2430" s="223"/>
      <c r="HW2430" s="223"/>
      <c r="HX2430" s="223"/>
      <c r="HY2430" s="223"/>
      <c r="HZ2430" s="223"/>
      <c r="IA2430" s="223"/>
      <c r="IB2430" s="223"/>
      <c r="IC2430" s="223"/>
      <c r="ID2430" s="223"/>
      <c r="IE2430" s="223"/>
      <c r="IF2430" s="223"/>
      <c r="IG2430" s="223"/>
      <c r="IH2430" s="223"/>
      <c r="II2430" s="223"/>
      <c r="IJ2430" s="223"/>
      <c r="IK2430" s="223"/>
      <c r="IL2430" s="223"/>
      <c r="IM2430" s="223"/>
      <c r="IN2430" s="223"/>
      <c r="IO2430" s="223"/>
      <c r="IP2430" s="223"/>
      <c r="IQ2430" s="223"/>
      <c r="IR2430" s="223"/>
      <c r="IS2430" s="223"/>
      <c r="IT2430" s="223"/>
      <c r="IU2430" s="223"/>
      <c r="IV2430" s="223"/>
    </row>
    <row r="2431" spans="46:256" s="221" customFormat="1" x14ac:dyDescent="0.2">
      <c r="AT2431" s="222"/>
      <c r="AU2431" s="222"/>
      <c r="BD2431" s="223"/>
      <c r="BE2431" s="223"/>
      <c r="BF2431" s="223"/>
      <c r="BG2431" s="223"/>
      <c r="BH2431" s="223"/>
      <c r="BI2431" s="223"/>
      <c r="BJ2431" s="223"/>
      <c r="BK2431" s="223"/>
      <c r="BL2431" s="223"/>
      <c r="BM2431" s="223"/>
      <c r="BN2431" s="223"/>
      <c r="BO2431" s="223"/>
      <c r="BP2431" s="223"/>
      <c r="BQ2431" s="223"/>
      <c r="BR2431" s="223"/>
      <c r="BS2431" s="223"/>
      <c r="BT2431" s="223"/>
      <c r="BU2431" s="223"/>
      <c r="BV2431" s="223"/>
      <c r="BW2431" s="223"/>
      <c r="BX2431" s="223"/>
      <c r="BY2431" s="223"/>
      <c r="BZ2431" s="223"/>
      <c r="CA2431" s="223"/>
      <c r="CB2431" s="223"/>
      <c r="CC2431" s="223"/>
      <c r="CD2431" s="223"/>
      <c r="CE2431" s="223"/>
      <c r="CF2431" s="223"/>
      <c r="CG2431" s="223"/>
      <c r="CH2431" s="223"/>
      <c r="CI2431" s="223"/>
      <c r="CJ2431" s="223"/>
      <c r="CK2431" s="223"/>
      <c r="CL2431" s="223"/>
      <c r="CM2431" s="223"/>
      <c r="CN2431" s="223"/>
      <c r="CO2431" s="223"/>
      <c r="CP2431" s="223"/>
      <c r="CQ2431" s="223"/>
      <c r="CR2431" s="223"/>
      <c r="CS2431" s="223"/>
      <c r="CT2431" s="223"/>
      <c r="CU2431" s="223"/>
      <c r="CV2431" s="223"/>
      <c r="CW2431" s="223"/>
      <c r="CX2431" s="223"/>
      <c r="CY2431" s="223"/>
      <c r="CZ2431" s="223"/>
      <c r="DA2431" s="223"/>
      <c r="DB2431" s="223"/>
      <c r="DC2431" s="223"/>
      <c r="DD2431" s="223"/>
      <c r="DE2431" s="223"/>
      <c r="DF2431" s="223"/>
      <c r="DG2431" s="223"/>
      <c r="DH2431" s="223"/>
      <c r="DI2431" s="223"/>
      <c r="DJ2431" s="223"/>
      <c r="DK2431" s="223"/>
      <c r="DL2431" s="223"/>
      <c r="DM2431" s="223"/>
      <c r="DN2431" s="223"/>
      <c r="DO2431" s="223"/>
      <c r="DP2431" s="223"/>
      <c r="DQ2431" s="223"/>
      <c r="DR2431" s="223"/>
      <c r="DS2431" s="223"/>
      <c r="DT2431" s="223"/>
      <c r="DU2431" s="223"/>
      <c r="DV2431" s="223"/>
      <c r="DW2431" s="223"/>
      <c r="DX2431" s="223"/>
      <c r="DY2431" s="223"/>
      <c r="DZ2431" s="223"/>
      <c r="EA2431" s="223"/>
      <c r="EB2431" s="223"/>
      <c r="EC2431" s="223"/>
      <c r="ED2431" s="223"/>
      <c r="EE2431" s="223"/>
      <c r="EF2431" s="223"/>
      <c r="EG2431" s="223"/>
      <c r="EH2431" s="223"/>
      <c r="EI2431" s="223"/>
      <c r="EJ2431" s="223"/>
      <c r="EK2431" s="223"/>
      <c r="EL2431" s="223"/>
      <c r="EM2431" s="223"/>
      <c r="EN2431" s="223"/>
      <c r="EO2431" s="223"/>
      <c r="EP2431" s="223"/>
      <c r="EQ2431" s="223"/>
      <c r="ER2431" s="223"/>
      <c r="ES2431" s="223"/>
      <c r="ET2431" s="223"/>
      <c r="EU2431" s="223"/>
      <c r="EV2431" s="223"/>
      <c r="EW2431" s="223"/>
      <c r="EX2431" s="223"/>
      <c r="EY2431" s="223"/>
      <c r="EZ2431" s="223"/>
      <c r="FA2431" s="223"/>
      <c r="FB2431" s="223"/>
      <c r="FC2431" s="223"/>
      <c r="FD2431" s="223"/>
      <c r="FE2431" s="223"/>
      <c r="FF2431" s="223"/>
      <c r="FG2431" s="223"/>
      <c r="FH2431" s="223"/>
      <c r="FI2431" s="223"/>
      <c r="FJ2431" s="223"/>
      <c r="FK2431" s="223"/>
      <c r="FL2431" s="223"/>
      <c r="FM2431" s="223"/>
      <c r="FN2431" s="223"/>
      <c r="FO2431" s="223"/>
      <c r="FP2431" s="223"/>
      <c r="FQ2431" s="223"/>
      <c r="FR2431" s="223"/>
      <c r="FS2431" s="223"/>
      <c r="FT2431" s="223"/>
      <c r="FU2431" s="223"/>
      <c r="FV2431" s="223"/>
      <c r="FW2431" s="223"/>
      <c r="FX2431" s="223"/>
      <c r="FY2431" s="223"/>
      <c r="FZ2431" s="223"/>
      <c r="GA2431" s="223"/>
      <c r="GB2431" s="223"/>
      <c r="GC2431" s="223"/>
      <c r="GD2431" s="223"/>
      <c r="GE2431" s="223"/>
      <c r="GF2431" s="223"/>
      <c r="GG2431" s="223"/>
      <c r="GH2431" s="223"/>
      <c r="GI2431" s="223"/>
      <c r="GJ2431" s="223"/>
      <c r="GK2431" s="223"/>
      <c r="GL2431" s="223"/>
      <c r="GM2431" s="223"/>
      <c r="GN2431" s="223"/>
      <c r="GO2431" s="223"/>
      <c r="GP2431" s="223"/>
      <c r="GQ2431" s="223"/>
      <c r="GR2431" s="223"/>
      <c r="GS2431" s="223"/>
      <c r="GT2431" s="223"/>
      <c r="GU2431" s="223"/>
      <c r="GV2431" s="223"/>
      <c r="GW2431" s="223"/>
      <c r="GX2431" s="223"/>
      <c r="GY2431" s="223"/>
      <c r="GZ2431" s="223"/>
      <c r="HA2431" s="223"/>
      <c r="HB2431" s="223"/>
      <c r="HC2431" s="223"/>
      <c r="HD2431" s="223"/>
      <c r="HE2431" s="223"/>
      <c r="HF2431" s="223"/>
      <c r="HG2431" s="223"/>
      <c r="HH2431" s="223"/>
      <c r="HI2431" s="223"/>
      <c r="HJ2431" s="223"/>
      <c r="HK2431" s="223"/>
      <c r="HL2431" s="223"/>
      <c r="HM2431" s="223"/>
      <c r="HN2431" s="223"/>
      <c r="HO2431" s="223"/>
      <c r="HP2431" s="223"/>
      <c r="HQ2431" s="223"/>
      <c r="HR2431" s="223"/>
      <c r="HS2431" s="223"/>
      <c r="HT2431" s="223"/>
      <c r="HU2431" s="223"/>
      <c r="HV2431" s="223"/>
      <c r="HW2431" s="223"/>
      <c r="HX2431" s="223"/>
      <c r="HY2431" s="223"/>
      <c r="HZ2431" s="223"/>
      <c r="IA2431" s="223"/>
      <c r="IB2431" s="223"/>
      <c r="IC2431" s="223"/>
      <c r="ID2431" s="223"/>
      <c r="IE2431" s="223"/>
      <c r="IF2431" s="223"/>
      <c r="IG2431" s="223"/>
      <c r="IH2431" s="223"/>
      <c r="II2431" s="223"/>
      <c r="IJ2431" s="223"/>
      <c r="IK2431" s="223"/>
      <c r="IL2431" s="223"/>
      <c r="IM2431" s="223"/>
      <c r="IN2431" s="223"/>
      <c r="IO2431" s="223"/>
      <c r="IP2431" s="223"/>
      <c r="IQ2431" s="223"/>
      <c r="IR2431" s="223"/>
      <c r="IS2431" s="223"/>
      <c r="IT2431" s="223"/>
      <c r="IU2431" s="223"/>
      <c r="IV2431" s="223"/>
    </row>
    <row r="2432" spans="46:256" s="221" customFormat="1" x14ac:dyDescent="0.2">
      <c r="AT2432" s="222"/>
      <c r="AU2432" s="222"/>
      <c r="BD2432" s="223"/>
      <c r="BE2432" s="223"/>
      <c r="BF2432" s="223"/>
      <c r="BG2432" s="223"/>
      <c r="BH2432" s="223"/>
      <c r="BI2432" s="223"/>
      <c r="BJ2432" s="223"/>
      <c r="BK2432" s="223"/>
      <c r="BL2432" s="223"/>
      <c r="BM2432" s="223"/>
      <c r="BN2432" s="223"/>
      <c r="BO2432" s="223"/>
      <c r="BP2432" s="223"/>
      <c r="BQ2432" s="223"/>
      <c r="BR2432" s="223"/>
      <c r="BS2432" s="223"/>
      <c r="BT2432" s="223"/>
      <c r="BU2432" s="223"/>
      <c r="BV2432" s="223"/>
      <c r="BW2432" s="223"/>
      <c r="BX2432" s="223"/>
      <c r="BY2432" s="223"/>
      <c r="BZ2432" s="223"/>
      <c r="CA2432" s="223"/>
      <c r="CB2432" s="223"/>
      <c r="CC2432" s="223"/>
      <c r="CD2432" s="223"/>
      <c r="CE2432" s="223"/>
      <c r="CF2432" s="223"/>
      <c r="CG2432" s="223"/>
      <c r="CH2432" s="223"/>
      <c r="CI2432" s="223"/>
      <c r="CJ2432" s="223"/>
      <c r="CK2432" s="223"/>
      <c r="CL2432" s="223"/>
      <c r="CM2432" s="223"/>
      <c r="CN2432" s="223"/>
      <c r="CO2432" s="223"/>
      <c r="CP2432" s="223"/>
      <c r="CQ2432" s="223"/>
      <c r="CR2432" s="223"/>
      <c r="CS2432" s="223"/>
      <c r="CT2432" s="223"/>
      <c r="CU2432" s="223"/>
      <c r="CV2432" s="223"/>
      <c r="CW2432" s="223"/>
      <c r="CX2432" s="223"/>
      <c r="CY2432" s="223"/>
      <c r="CZ2432" s="223"/>
      <c r="DA2432" s="223"/>
      <c r="DB2432" s="223"/>
      <c r="DC2432" s="223"/>
      <c r="DD2432" s="223"/>
      <c r="DE2432" s="223"/>
      <c r="DF2432" s="223"/>
      <c r="DG2432" s="223"/>
      <c r="DH2432" s="223"/>
      <c r="DI2432" s="223"/>
      <c r="DJ2432" s="223"/>
      <c r="DK2432" s="223"/>
      <c r="DL2432" s="223"/>
      <c r="DM2432" s="223"/>
      <c r="DN2432" s="223"/>
      <c r="DO2432" s="223"/>
      <c r="DP2432" s="223"/>
      <c r="DQ2432" s="223"/>
      <c r="DR2432" s="223"/>
      <c r="DS2432" s="223"/>
      <c r="DT2432" s="223"/>
      <c r="DU2432" s="223"/>
      <c r="DV2432" s="223"/>
      <c r="DW2432" s="223"/>
      <c r="DX2432" s="223"/>
      <c r="DY2432" s="223"/>
      <c r="DZ2432" s="223"/>
      <c r="EA2432" s="223"/>
      <c r="EB2432" s="223"/>
      <c r="EC2432" s="223"/>
      <c r="ED2432" s="223"/>
      <c r="EE2432" s="223"/>
      <c r="EF2432" s="223"/>
      <c r="EG2432" s="223"/>
      <c r="EH2432" s="223"/>
      <c r="EI2432" s="223"/>
      <c r="EJ2432" s="223"/>
      <c r="EK2432" s="223"/>
      <c r="EL2432" s="223"/>
      <c r="EM2432" s="223"/>
      <c r="EN2432" s="223"/>
      <c r="EO2432" s="223"/>
      <c r="EP2432" s="223"/>
      <c r="EQ2432" s="223"/>
      <c r="ER2432" s="223"/>
      <c r="ES2432" s="223"/>
      <c r="ET2432" s="223"/>
      <c r="EU2432" s="223"/>
      <c r="EV2432" s="223"/>
      <c r="EW2432" s="223"/>
      <c r="EX2432" s="223"/>
      <c r="EY2432" s="223"/>
      <c r="EZ2432" s="223"/>
      <c r="FA2432" s="223"/>
      <c r="FB2432" s="223"/>
      <c r="FC2432" s="223"/>
      <c r="FD2432" s="223"/>
      <c r="FE2432" s="223"/>
      <c r="FF2432" s="223"/>
      <c r="FG2432" s="223"/>
      <c r="FH2432" s="223"/>
      <c r="FI2432" s="223"/>
      <c r="FJ2432" s="223"/>
      <c r="FK2432" s="223"/>
      <c r="FL2432" s="223"/>
      <c r="FM2432" s="223"/>
      <c r="FN2432" s="223"/>
      <c r="FO2432" s="223"/>
      <c r="FP2432" s="223"/>
      <c r="FQ2432" s="223"/>
      <c r="FR2432" s="223"/>
      <c r="FS2432" s="223"/>
      <c r="FT2432" s="223"/>
      <c r="FU2432" s="223"/>
      <c r="FV2432" s="223"/>
      <c r="FW2432" s="223"/>
      <c r="FX2432" s="223"/>
      <c r="FY2432" s="223"/>
      <c r="FZ2432" s="223"/>
      <c r="GA2432" s="223"/>
      <c r="GB2432" s="223"/>
      <c r="GC2432" s="223"/>
      <c r="GD2432" s="223"/>
      <c r="GE2432" s="223"/>
      <c r="GF2432" s="223"/>
      <c r="GG2432" s="223"/>
      <c r="GH2432" s="223"/>
      <c r="GI2432" s="223"/>
      <c r="GJ2432" s="223"/>
      <c r="GK2432" s="223"/>
      <c r="GL2432" s="223"/>
      <c r="GM2432" s="223"/>
      <c r="GN2432" s="223"/>
      <c r="GO2432" s="223"/>
      <c r="GP2432" s="223"/>
      <c r="GQ2432" s="223"/>
      <c r="GR2432" s="223"/>
      <c r="GS2432" s="223"/>
      <c r="GT2432" s="223"/>
      <c r="GU2432" s="223"/>
      <c r="GV2432" s="223"/>
      <c r="GW2432" s="223"/>
      <c r="GX2432" s="223"/>
      <c r="GY2432" s="223"/>
      <c r="GZ2432" s="223"/>
      <c r="HA2432" s="223"/>
      <c r="HB2432" s="223"/>
      <c r="HC2432" s="223"/>
      <c r="HD2432" s="223"/>
      <c r="HE2432" s="223"/>
      <c r="HF2432" s="223"/>
      <c r="HG2432" s="223"/>
      <c r="HH2432" s="223"/>
      <c r="HI2432" s="223"/>
      <c r="HJ2432" s="223"/>
      <c r="HK2432" s="223"/>
      <c r="HL2432" s="223"/>
      <c r="HM2432" s="223"/>
      <c r="HN2432" s="223"/>
      <c r="HO2432" s="223"/>
      <c r="HP2432" s="223"/>
      <c r="HQ2432" s="223"/>
      <c r="HR2432" s="223"/>
      <c r="HS2432" s="223"/>
      <c r="HT2432" s="223"/>
      <c r="HU2432" s="223"/>
      <c r="HV2432" s="223"/>
      <c r="HW2432" s="223"/>
      <c r="HX2432" s="223"/>
      <c r="HY2432" s="223"/>
      <c r="HZ2432" s="223"/>
      <c r="IA2432" s="223"/>
      <c r="IB2432" s="223"/>
      <c r="IC2432" s="223"/>
      <c r="ID2432" s="223"/>
      <c r="IE2432" s="223"/>
      <c r="IF2432" s="223"/>
      <c r="IG2432" s="223"/>
      <c r="IH2432" s="223"/>
      <c r="II2432" s="223"/>
      <c r="IJ2432" s="223"/>
      <c r="IK2432" s="223"/>
      <c r="IL2432" s="223"/>
      <c r="IM2432" s="223"/>
      <c r="IN2432" s="223"/>
      <c r="IO2432" s="223"/>
      <c r="IP2432" s="223"/>
      <c r="IQ2432" s="223"/>
      <c r="IR2432" s="223"/>
      <c r="IS2432" s="223"/>
      <c r="IT2432" s="223"/>
      <c r="IU2432" s="223"/>
      <c r="IV2432" s="223"/>
    </row>
    <row r="2433" spans="46:256" s="221" customFormat="1" x14ac:dyDescent="0.2">
      <c r="AT2433" s="222"/>
      <c r="AU2433" s="222"/>
      <c r="BD2433" s="223"/>
      <c r="BE2433" s="223"/>
      <c r="BF2433" s="223"/>
      <c r="BG2433" s="223"/>
      <c r="BH2433" s="223"/>
      <c r="BI2433" s="223"/>
      <c r="BJ2433" s="223"/>
      <c r="BK2433" s="223"/>
      <c r="BL2433" s="223"/>
      <c r="BM2433" s="223"/>
      <c r="BN2433" s="223"/>
      <c r="BO2433" s="223"/>
      <c r="BP2433" s="223"/>
      <c r="BQ2433" s="223"/>
      <c r="BR2433" s="223"/>
      <c r="BS2433" s="223"/>
      <c r="BT2433" s="223"/>
      <c r="BU2433" s="223"/>
      <c r="BV2433" s="223"/>
      <c r="BW2433" s="223"/>
      <c r="BX2433" s="223"/>
      <c r="BY2433" s="223"/>
      <c r="BZ2433" s="223"/>
      <c r="CA2433" s="223"/>
      <c r="CB2433" s="223"/>
      <c r="CC2433" s="223"/>
      <c r="CD2433" s="223"/>
      <c r="CE2433" s="223"/>
      <c r="CF2433" s="223"/>
      <c r="CG2433" s="223"/>
      <c r="CH2433" s="223"/>
      <c r="CI2433" s="223"/>
      <c r="CJ2433" s="223"/>
      <c r="CK2433" s="223"/>
      <c r="CL2433" s="223"/>
      <c r="CM2433" s="223"/>
      <c r="CN2433" s="223"/>
      <c r="CO2433" s="223"/>
      <c r="CP2433" s="223"/>
      <c r="CQ2433" s="223"/>
      <c r="CR2433" s="223"/>
      <c r="CS2433" s="223"/>
      <c r="CT2433" s="223"/>
      <c r="CU2433" s="223"/>
      <c r="CV2433" s="223"/>
      <c r="CW2433" s="223"/>
      <c r="CX2433" s="223"/>
      <c r="CY2433" s="223"/>
      <c r="CZ2433" s="223"/>
      <c r="DA2433" s="223"/>
      <c r="DB2433" s="223"/>
      <c r="DC2433" s="223"/>
      <c r="DD2433" s="223"/>
      <c r="DE2433" s="223"/>
      <c r="DF2433" s="223"/>
      <c r="DG2433" s="223"/>
      <c r="DH2433" s="223"/>
      <c r="DI2433" s="223"/>
      <c r="DJ2433" s="223"/>
      <c r="DK2433" s="223"/>
      <c r="DL2433" s="223"/>
      <c r="DM2433" s="223"/>
      <c r="DN2433" s="223"/>
      <c r="DO2433" s="223"/>
      <c r="DP2433" s="223"/>
      <c r="DQ2433" s="223"/>
      <c r="DR2433" s="223"/>
      <c r="DS2433" s="223"/>
      <c r="DT2433" s="223"/>
      <c r="DU2433" s="223"/>
      <c r="DV2433" s="223"/>
      <c r="DW2433" s="223"/>
      <c r="DX2433" s="223"/>
      <c r="DY2433" s="223"/>
      <c r="DZ2433" s="223"/>
      <c r="EA2433" s="223"/>
      <c r="EB2433" s="223"/>
      <c r="EC2433" s="223"/>
      <c r="ED2433" s="223"/>
      <c r="EE2433" s="223"/>
      <c r="EF2433" s="223"/>
      <c r="EG2433" s="223"/>
      <c r="EH2433" s="223"/>
      <c r="EI2433" s="223"/>
      <c r="EJ2433" s="223"/>
      <c r="EK2433" s="223"/>
      <c r="EL2433" s="223"/>
      <c r="EM2433" s="223"/>
      <c r="EN2433" s="223"/>
      <c r="EO2433" s="223"/>
      <c r="EP2433" s="223"/>
      <c r="EQ2433" s="223"/>
      <c r="ER2433" s="223"/>
      <c r="ES2433" s="223"/>
      <c r="ET2433" s="223"/>
      <c r="EU2433" s="223"/>
      <c r="EV2433" s="223"/>
      <c r="EW2433" s="223"/>
      <c r="EX2433" s="223"/>
      <c r="EY2433" s="223"/>
      <c r="EZ2433" s="223"/>
      <c r="FA2433" s="223"/>
      <c r="FB2433" s="223"/>
      <c r="FC2433" s="223"/>
      <c r="FD2433" s="223"/>
      <c r="FE2433" s="223"/>
      <c r="FF2433" s="223"/>
      <c r="FG2433" s="223"/>
      <c r="FH2433" s="223"/>
      <c r="FI2433" s="223"/>
      <c r="FJ2433" s="223"/>
      <c r="FK2433" s="223"/>
      <c r="FL2433" s="223"/>
      <c r="FM2433" s="223"/>
      <c r="FN2433" s="223"/>
      <c r="FO2433" s="223"/>
      <c r="FP2433" s="223"/>
      <c r="FQ2433" s="223"/>
      <c r="FR2433" s="223"/>
      <c r="FS2433" s="223"/>
      <c r="FT2433" s="223"/>
      <c r="FU2433" s="223"/>
      <c r="FV2433" s="223"/>
      <c r="FW2433" s="223"/>
      <c r="FX2433" s="223"/>
      <c r="FY2433" s="223"/>
      <c r="FZ2433" s="223"/>
      <c r="GA2433" s="223"/>
      <c r="GB2433" s="223"/>
      <c r="GC2433" s="223"/>
      <c r="GD2433" s="223"/>
      <c r="GE2433" s="223"/>
      <c r="GF2433" s="223"/>
      <c r="GG2433" s="223"/>
      <c r="GH2433" s="223"/>
      <c r="GI2433" s="223"/>
      <c r="GJ2433" s="223"/>
      <c r="GK2433" s="223"/>
      <c r="GL2433" s="223"/>
      <c r="GM2433" s="223"/>
      <c r="GN2433" s="223"/>
      <c r="GO2433" s="223"/>
      <c r="GP2433" s="223"/>
      <c r="GQ2433" s="223"/>
      <c r="GR2433" s="223"/>
      <c r="GS2433" s="223"/>
      <c r="GT2433" s="223"/>
      <c r="GU2433" s="223"/>
      <c r="GV2433" s="223"/>
      <c r="GW2433" s="223"/>
      <c r="GX2433" s="223"/>
      <c r="GY2433" s="223"/>
      <c r="GZ2433" s="223"/>
      <c r="HA2433" s="223"/>
      <c r="HB2433" s="223"/>
      <c r="HC2433" s="223"/>
      <c r="HD2433" s="223"/>
      <c r="HE2433" s="223"/>
      <c r="HF2433" s="223"/>
      <c r="HG2433" s="223"/>
      <c r="HH2433" s="223"/>
      <c r="HI2433" s="223"/>
      <c r="HJ2433" s="223"/>
      <c r="HK2433" s="223"/>
      <c r="HL2433" s="223"/>
      <c r="HM2433" s="223"/>
      <c r="HN2433" s="223"/>
      <c r="HO2433" s="223"/>
      <c r="HP2433" s="223"/>
      <c r="HQ2433" s="223"/>
      <c r="HR2433" s="223"/>
      <c r="HS2433" s="223"/>
      <c r="HT2433" s="223"/>
      <c r="HU2433" s="223"/>
      <c r="HV2433" s="223"/>
      <c r="HW2433" s="223"/>
      <c r="HX2433" s="223"/>
      <c r="HY2433" s="223"/>
      <c r="HZ2433" s="223"/>
      <c r="IA2433" s="223"/>
      <c r="IB2433" s="223"/>
      <c r="IC2433" s="223"/>
      <c r="ID2433" s="223"/>
      <c r="IE2433" s="223"/>
      <c r="IF2433" s="223"/>
      <c r="IG2433" s="223"/>
      <c r="IH2433" s="223"/>
      <c r="II2433" s="223"/>
      <c r="IJ2433" s="223"/>
      <c r="IK2433" s="223"/>
      <c r="IL2433" s="223"/>
      <c r="IM2433" s="223"/>
      <c r="IN2433" s="223"/>
      <c r="IO2433" s="223"/>
      <c r="IP2433" s="223"/>
      <c r="IQ2433" s="223"/>
      <c r="IR2433" s="223"/>
      <c r="IS2433" s="223"/>
      <c r="IT2433" s="223"/>
      <c r="IU2433" s="223"/>
      <c r="IV2433" s="223"/>
    </row>
    <row r="2434" spans="46:256" s="221" customFormat="1" x14ac:dyDescent="0.2">
      <c r="AT2434" s="222"/>
      <c r="AU2434" s="222"/>
      <c r="BD2434" s="223"/>
      <c r="BE2434" s="223"/>
      <c r="BF2434" s="223"/>
      <c r="BG2434" s="223"/>
      <c r="BH2434" s="223"/>
      <c r="BI2434" s="223"/>
      <c r="BJ2434" s="223"/>
      <c r="BK2434" s="223"/>
      <c r="BL2434" s="223"/>
      <c r="BM2434" s="223"/>
      <c r="BN2434" s="223"/>
      <c r="BO2434" s="223"/>
      <c r="BP2434" s="223"/>
      <c r="BQ2434" s="223"/>
      <c r="BR2434" s="223"/>
      <c r="BS2434" s="223"/>
      <c r="BT2434" s="223"/>
      <c r="BU2434" s="223"/>
      <c r="BV2434" s="223"/>
      <c r="BW2434" s="223"/>
      <c r="BX2434" s="223"/>
      <c r="BY2434" s="223"/>
      <c r="BZ2434" s="223"/>
      <c r="CA2434" s="223"/>
      <c r="CB2434" s="223"/>
      <c r="CC2434" s="223"/>
      <c r="CD2434" s="223"/>
      <c r="CE2434" s="223"/>
      <c r="CF2434" s="223"/>
      <c r="CG2434" s="223"/>
      <c r="CH2434" s="223"/>
      <c r="CI2434" s="223"/>
      <c r="CJ2434" s="223"/>
      <c r="CK2434" s="223"/>
      <c r="CL2434" s="223"/>
      <c r="CM2434" s="223"/>
      <c r="CN2434" s="223"/>
      <c r="CO2434" s="223"/>
      <c r="CP2434" s="223"/>
      <c r="CQ2434" s="223"/>
      <c r="CR2434" s="223"/>
      <c r="CS2434" s="223"/>
      <c r="CT2434" s="223"/>
      <c r="CU2434" s="223"/>
      <c r="CV2434" s="223"/>
      <c r="CW2434" s="223"/>
      <c r="CX2434" s="223"/>
      <c r="CY2434" s="223"/>
      <c r="CZ2434" s="223"/>
      <c r="DA2434" s="223"/>
      <c r="DB2434" s="223"/>
      <c r="DC2434" s="223"/>
      <c r="DD2434" s="223"/>
      <c r="DE2434" s="223"/>
      <c r="DF2434" s="223"/>
      <c r="DG2434" s="223"/>
      <c r="DH2434" s="223"/>
      <c r="DI2434" s="223"/>
      <c r="DJ2434" s="223"/>
      <c r="DK2434" s="223"/>
      <c r="DL2434" s="223"/>
      <c r="DM2434" s="223"/>
      <c r="DN2434" s="223"/>
      <c r="DO2434" s="223"/>
      <c r="DP2434" s="223"/>
      <c r="DQ2434" s="223"/>
      <c r="DR2434" s="223"/>
      <c r="DS2434" s="223"/>
      <c r="DT2434" s="223"/>
      <c r="DU2434" s="223"/>
      <c r="DV2434" s="223"/>
      <c r="DW2434" s="223"/>
      <c r="DX2434" s="223"/>
      <c r="DY2434" s="223"/>
      <c r="DZ2434" s="223"/>
      <c r="EA2434" s="223"/>
      <c r="EB2434" s="223"/>
      <c r="EC2434" s="223"/>
      <c r="ED2434" s="223"/>
      <c r="EE2434" s="223"/>
      <c r="EF2434" s="223"/>
      <c r="EG2434" s="223"/>
      <c r="EH2434" s="223"/>
      <c r="EI2434" s="223"/>
      <c r="EJ2434" s="223"/>
      <c r="EK2434" s="223"/>
      <c r="EL2434" s="223"/>
      <c r="EM2434" s="223"/>
      <c r="EN2434" s="223"/>
      <c r="EO2434" s="223"/>
      <c r="EP2434" s="223"/>
      <c r="EQ2434" s="223"/>
      <c r="ER2434" s="223"/>
      <c r="ES2434" s="223"/>
      <c r="ET2434" s="223"/>
      <c r="EU2434" s="223"/>
      <c r="EV2434" s="223"/>
      <c r="EW2434" s="223"/>
      <c r="EX2434" s="223"/>
      <c r="EY2434" s="223"/>
      <c r="EZ2434" s="223"/>
      <c r="FA2434" s="223"/>
      <c r="FB2434" s="223"/>
      <c r="FC2434" s="223"/>
      <c r="FD2434" s="223"/>
      <c r="FE2434" s="223"/>
      <c r="FF2434" s="223"/>
      <c r="FG2434" s="223"/>
      <c r="FH2434" s="223"/>
      <c r="FI2434" s="223"/>
      <c r="FJ2434" s="223"/>
      <c r="FK2434" s="223"/>
      <c r="FL2434" s="223"/>
      <c r="FM2434" s="223"/>
      <c r="FN2434" s="223"/>
      <c r="FO2434" s="223"/>
      <c r="FP2434" s="223"/>
      <c r="FQ2434" s="223"/>
      <c r="FR2434" s="223"/>
      <c r="FS2434" s="223"/>
      <c r="FT2434" s="223"/>
      <c r="FU2434" s="223"/>
      <c r="FV2434" s="223"/>
      <c r="FW2434" s="223"/>
      <c r="FX2434" s="223"/>
      <c r="FY2434" s="223"/>
      <c r="FZ2434" s="223"/>
      <c r="GA2434" s="223"/>
      <c r="GB2434" s="223"/>
      <c r="GC2434" s="223"/>
      <c r="GD2434" s="223"/>
      <c r="GE2434" s="223"/>
      <c r="GF2434" s="223"/>
      <c r="GG2434" s="223"/>
      <c r="GH2434" s="223"/>
      <c r="GI2434" s="223"/>
      <c r="GJ2434" s="223"/>
      <c r="GK2434" s="223"/>
      <c r="GL2434" s="223"/>
      <c r="GM2434" s="223"/>
      <c r="GN2434" s="223"/>
      <c r="GO2434" s="223"/>
      <c r="GP2434" s="223"/>
      <c r="GQ2434" s="223"/>
      <c r="GR2434" s="223"/>
      <c r="GS2434" s="223"/>
      <c r="GT2434" s="223"/>
      <c r="GU2434" s="223"/>
      <c r="GV2434" s="223"/>
      <c r="GW2434" s="223"/>
      <c r="GX2434" s="223"/>
      <c r="GY2434" s="223"/>
      <c r="GZ2434" s="223"/>
      <c r="HA2434" s="223"/>
      <c r="HB2434" s="223"/>
      <c r="HC2434" s="223"/>
      <c r="HD2434" s="223"/>
      <c r="HE2434" s="223"/>
      <c r="HF2434" s="223"/>
      <c r="HG2434" s="223"/>
      <c r="HH2434" s="223"/>
      <c r="HI2434" s="223"/>
      <c r="HJ2434" s="223"/>
      <c r="HK2434" s="223"/>
      <c r="HL2434" s="223"/>
      <c r="HM2434" s="223"/>
      <c r="HN2434" s="223"/>
      <c r="HO2434" s="223"/>
      <c r="HP2434" s="223"/>
      <c r="HQ2434" s="223"/>
      <c r="HR2434" s="223"/>
      <c r="HS2434" s="223"/>
      <c r="HT2434" s="223"/>
      <c r="HU2434" s="223"/>
      <c r="HV2434" s="223"/>
      <c r="HW2434" s="223"/>
      <c r="HX2434" s="223"/>
      <c r="HY2434" s="223"/>
      <c r="HZ2434" s="223"/>
      <c r="IA2434" s="223"/>
      <c r="IB2434" s="223"/>
      <c r="IC2434" s="223"/>
      <c r="ID2434" s="223"/>
      <c r="IE2434" s="223"/>
      <c r="IF2434" s="223"/>
      <c r="IG2434" s="223"/>
      <c r="IH2434" s="223"/>
      <c r="II2434" s="223"/>
      <c r="IJ2434" s="223"/>
      <c r="IK2434" s="223"/>
      <c r="IL2434" s="223"/>
      <c r="IM2434" s="223"/>
      <c r="IN2434" s="223"/>
      <c r="IO2434" s="223"/>
      <c r="IP2434" s="223"/>
      <c r="IQ2434" s="223"/>
      <c r="IR2434" s="223"/>
      <c r="IS2434" s="223"/>
      <c r="IT2434" s="223"/>
      <c r="IU2434" s="223"/>
      <c r="IV2434" s="223"/>
    </row>
    <row r="2435" spans="46:256" s="221" customFormat="1" x14ac:dyDescent="0.2">
      <c r="AT2435" s="222"/>
      <c r="AU2435" s="222"/>
      <c r="BD2435" s="223"/>
      <c r="BE2435" s="223"/>
      <c r="BF2435" s="223"/>
      <c r="BG2435" s="223"/>
      <c r="BH2435" s="223"/>
      <c r="BI2435" s="223"/>
      <c r="BJ2435" s="223"/>
      <c r="BK2435" s="223"/>
      <c r="BL2435" s="223"/>
      <c r="BM2435" s="223"/>
      <c r="BN2435" s="223"/>
      <c r="BO2435" s="223"/>
      <c r="BP2435" s="223"/>
      <c r="BQ2435" s="223"/>
      <c r="BR2435" s="223"/>
      <c r="BS2435" s="223"/>
      <c r="BT2435" s="223"/>
      <c r="BU2435" s="223"/>
      <c r="BV2435" s="223"/>
      <c r="BW2435" s="223"/>
      <c r="BX2435" s="223"/>
      <c r="BY2435" s="223"/>
      <c r="BZ2435" s="223"/>
      <c r="CA2435" s="223"/>
      <c r="CB2435" s="223"/>
      <c r="CC2435" s="223"/>
      <c r="CD2435" s="223"/>
      <c r="CE2435" s="223"/>
      <c r="CF2435" s="223"/>
      <c r="CG2435" s="223"/>
      <c r="CH2435" s="223"/>
      <c r="CI2435" s="223"/>
      <c r="CJ2435" s="223"/>
      <c r="CK2435" s="223"/>
      <c r="CL2435" s="223"/>
      <c r="CM2435" s="223"/>
      <c r="CN2435" s="223"/>
      <c r="CO2435" s="223"/>
      <c r="CP2435" s="223"/>
      <c r="CQ2435" s="223"/>
      <c r="CR2435" s="223"/>
      <c r="CS2435" s="223"/>
      <c r="CT2435" s="223"/>
      <c r="CU2435" s="223"/>
      <c r="CV2435" s="223"/>
      <c r="CW2435" s="223"/>
      <c r="CX2435" s="223"/>
      <c r="CY2435" s="223"/>
      <c r="CZ2435" s="223"/>
      <c r="DA2435" s="223"/>
      <c r="DB2435" s="223"/>
      <c r="DC2435" s="223"/>
      <c r="DD2435" s="223"/>
      <c r="DE2435" s="223"/>
      <c r="DF2435" s="223"/>
      <c r="DG2435" s="223"/>
      <c r="DH2435" s="223"/>
      <c r="DI2435" s="223"/>
      <c r="DJ2435" s="223"/>
      <c r="DK2435" s="223"/>
      <c r="DL2435" s="223"/>
      <c r="DM2435" s="223"/>
      <c r="DN2435" s="223"/>
      <c r="DO2435" s="223"/>
      <c r="DP2435" s="223"/>
      <c r="DQ2435" s="223"/>
      <c r="DR2435" s="223"/>
      <c r="DS2435" s="223"/>
      <c r="DT2435" s="223"/>
      <c r="DU2435" s="223"/>
      <c r="DV2435" s="223"/>
      <c r="DW2435" s="223"/>
      <c r="DX2435" s="223"/>
      <c r="DY2435" s="223"/>
      <c r="DZ2435" s="223"/>
      <c r="EA2435" s="223"/>
      <c r="EB2435" s="223"/>
      <c r="EC2435" s="223"/>
      <c r="ED2435" s="223"/>
      <c r="EE2435" s="223"/>
      <c r="EF2435" s="223"/>
      <c r="EG2435" s="223"/>
      <c r="EH2435" s="223"/>
      <c r="EI2435" s="223"/>
      <c r="EJ2435" s="223"/>
      <c r="EK2435" s="223"/>
      <c r="EL2435" s="223"/>
      <c r="EM2435" s="223"/>
      <c r="EN2435" s="223"/>
      <c r="EO2435" s="223"/>
      <c r="EP2435" s="223"/>
      <c r="EQ2435" s="223"/>
      <c r="ER2435" s="223"/>
      <c r="ES2435" s="223"/>
      <c r="ET2435" s="223"/>
      <c r="EU2435" s="223"/>
      <c r="EV2435" s="223"/>
      <c r="EW2435" s="223"/>
      <c r="EX2435" s="223"/>
      <c r="EY2435" s="223"/>
      <c r="EZ2435" s="223"/>
      <c r="FA2435" s="223"/>
      <c r="FB2435" s="223"/>
      <c r="FC2435" s="223"/>
      <c r="FD2435" s="223"/>
      <c r="FE2435" s="223"/>
      <c r="FF2435" s="223"/>
      <c r="FG2435" s="223"/>
      <c r="FH2435" s="223"/>
      <c r="FI2435" s="223"/>
      <c r="FJ2435" s="223"/>
      <c r="FK2435" s="223"/>
      <c r="FL2435" s="223"/>
      <c r="FM2435" s="223"/>
      <c r="FN2435" s="223"/>
      <c r="FO2435" s="223"/>
      <c r="FP2435" s="223"/>
      <c r="FQ2435" s="223"/>
      <c r="FR2435" s="223"/>
      <c r="FS2435" s="223"/>
      <c r="FT2435" s="223"/>
      <c r="FU2435" s="223"/>
      <c r="FV2435" s="223"/>
      <c r="FW2435" s="223"/>
      <c r="FX2435" s="223"/>
      <c r="FY2435" s="223"/>
      <c r="FZ2435" s="223"/>
      <c r="GA2435" s="223"/>
      <c r="GB2435" s="223"/>
      <c r="GC2435" s="223"/>
      <c r="GD2435" s="223"/>
      <c r="GE2435" s="223"/>
      <c r="GF2435" s="223"/>
      <c r="GG2435" s="223"/>
      <c r="GH2435" s="223"/>
      <c r="GI2435" s="223"/>
      <c r="GJ2435" s="223"/>
      <c r="GK2435" s="223"/>
      <c r="GL2435" s="223"/>
      <c r="GM2435" s="223"/>
      <c r="GN2435" s="223"/>
      <c r="GO2435" s="223"/>
      <c r="GP2435" s="223"/>
      <c r="GQ2435" s="223"/>
      <c r="GR2435" s="223"/>
      <c r="GS2435" s="223"/>
      <c r="GT2435" s="223"/>
      <c r="GU2435" s="223"/>
      <c r="GV2435" s="223"/>
      <c r="GW2435" s="223"/>
      <c r="GX2435" s="223"/>
      <c r="GY2435" s="223"/>
      <c r="GZ2435" s="223"/>
      <c r="HA2435" s="223"/>
      <c r="HB2435" s="223"/>
      <c r="HC2435" s="223"/>
      <c r="HD2435" s="223"/>
      <c r="HE2435" s="223"/>
      <c r="HF2435" s="223"/>
      <c r="HG2435" s="223"/>
      <c r="HH2435" s="223"/>
      <c r="HI2435" s="223"/>
      <c r="HJ2435" s="223"/>
      <c r="HK2435" s="223"/>
      <c r="HL2435" s="223"/>
      <c r="HM2435" s="223"/>
      <c r="HN2435" s="223"/>
      <c r="HO2435" s="223"/>
      <c r="HP2435" s="223"/>
      <c r="HQ2435" s="223"/>
      <c r="HR2435" s="223"/>
      <c r="HS2435" s="223"/>
      <c r="HT2435" s="223"/>
      <c r="HU2435" s="223"/>
      <c r="HV2435" s="223"/>
      <c r="HW2435" s="223"/>
      <c r="HX2435" s="223"/>
      <c r="HY2435" s="223"/>
      <c r="HZ2435" s="223"/>
      <c r="IA2435" s="223"/>
      <c r="IB2435" s="223"/>
      <c r="IC2435" s="223"/>
      <c r="ID2435" s="223"/>
      <c r="IE2435" s="223"/>
      <c r="IF2435" s="223"/>
      <c r="IG2435" s="223"/>
      <c r="IH2435" s="223"/>
      <c r="II2435" s="223"/>
      <c r="IJ2435" s="223"/>
      <c r="IK2435" s="223"/>
      <c r="IL2435" s="223"/>
      <c r="IM2435" s="223"/>
      <c r="IN2435" s="223"/>
      <c r="IO2435" s="223"/>
      <c r="IP2435" s="223"/>
      <c r="IQ2435" s="223"/>
      <c r="IR2435" s="223"/>
      <c r="IS2435" s="223"/>
      <c r="IT2435" s="223"/>
      <c r="IU2435" s="223"/>
      <c r="IV2435" s="223"/>
    </row>
    <row r="2436" spans="46:256" s="221" customFormat="1" x14ac:dyDescent="0.2">
      <c r="AT2436" s="222"/>
      <c r="AU2436" s="222"/>
      <c r="BD2436" s="223"/>
      <c r="BE2436" s="223"/>
      <c r="BF2436" s="223"/>
      <c r="BG2436" s="223"/>
      <c r="BH2436" s="223"/>
      <c r="BI2436" s="223"/>
      <c r="BJ2436" s="223"/>
      <c r="BK2436" s="223"/>
      <c r="BL2436" s="223"/>
      <c r="BM2436" s="223"/>
      <c r="BN2436" s="223"/>
      <c r="BO2436" s="223"/>
      <c r="BP2436" s="223"/>
      <c r="BQ2436" s="223"/>
      <c r="BR2436" s="223"/>
      <c r="BS2436" s="223"/>
      <c r="BT2436" s="223"/>
      <c r="BU2436" s="223"/>
      <c r="BV2436" s="223"/>
      <c r="BW2436" s="223"/>
      <c r="BX2436" s="223"/>
      <c r="BY2436" s="223"/>
      <c r="BZ2436" s="223"/>
      <c r="CA2436" s="223"/>
      <c r="CB2436" s="223"/>
      <c r="CC2436" s="223"/>
      <c r="CD2436" s="223"/>
      <c r="CE2436" s="223"/>
      <c r="CF2436" s="223"/>
      <c r="CG2436" s="223"/>
      <c r="CH2436" s="223"/>
      <c r="CI2436" s="223"/>
      <c r="CJ2436" s="223"/>
      <c r="CK2436" s="223"/>
      <c r="CL2436" s="223"/>
      <c r="CM2436" s="223"/>
      <c r="CN2436" s="223"/>
      <c r="CO2436" s="223"/>
      <c r="CP2436" s="223"/>
      <c r="CQ2436" s="223"/>
      <c r="CR2436" s="223"/>
      <c r="CS2436" s="223"/>
      <c r="CT2436" s="223"/>
      <c r="CU2436" s="223"/>
      <c r="CV2436" s="223"/>
      <c r="CW2436" s="223"/>
      <c r="CX2436" s="223"/>
      <c r="CY2436" s="223"/>
      <c r="CZ2436" s="223"/>
      <c r="DA2436" s="223"/>
      <c r="DB2436" s="223"/>
      <c r="DC2436" s="223"/>
      <c r="DD2436" s="223"/>
      <c r="DE2436" s="223"/>
      <c r="DF2436" s="223"/>
      <c r="DG2436" s="223"/>
      <c r="DH2436" s="223"/>
      <c r="DI2436" s="223"/>
      <c r="DJ2436" s="223"/>
      <c r="DK2436" s="223"/>
      <c r="DL2436" s="223"/>
      <c r="DM2436" s="223"/>
      <c r="DN2436" s="223"/>
      <c r="DO2436" s="223"/>
      <c r="DP2436" s="223"/>
      <c r="DQ2436" s="223"/>
      <c r="DR2436" s="223"/>
      <c r="DS2436" s="223"/>
      <c r="DT2436" s="223"/>
      <c r="DU2436" s="223"/>
      <c r="DV2436" s="223"/>
      <c r="DW2436" s="223"/>
      <c r="DX2436" s="223"/>
      <c r="DY2436" s="223"/>
      <c r="DZ2436" s="223"/>
      <c r="EA2436" s="223"/>
      <c r="EB2436" s="223"/>
      <c r="EC2436" s="223"/>
      <c r="ED2436" s="223"/>
      <c r="EE2436" s="223"/>
      <c r="EF2436" s="223"/>
      <c r="EG2436" s="223"/>
      <c r="EH2436" s="223"/>
      <c r="EI2436" s="223"/>
      <c r="EJ2436" s="223"/>
      <c r="EK2436" s="223"/>
      <c r="EL2436" s="223"/>
      <c r="EM2436" s="223"/>
      <c r="EN2436" s="223"/>
      <c r="EO2436" s="223"/>
      <c r="EP2436" s="223"/>
      <c r="EQ2436" s="223"/>
      <c r="ER2436" s="223"/>
      <c r="ES2436" s="223"/>
      <c r="ET2436" s="223"/>
      <c r="EU2436" s="223"/>
      <c r="EV2436" s="223"/>
      <c r="EW2436" s="223"/>
      <c r="EX2436" s="223"/>
      <c r="EY2436" s="223"/>
      <c r="EZ2436" s="223"/>
      <c r="FA2436" s="223"/>
      <c r="FB2436" s="223"/>
      <c r="FC2436" s="223"/>
      <c r="FD2436" s="223"/>
      <c r="FE2436" s="223"/>
      <c r="FF2436" s="223"/>
      <c r="FG2436" s="223"/>
      <c r="FH2436" s="223"/>
      <c r="FI2436" s="223"/>
      <c r="FJ2436" s="223"/>
      <c r="FK2436" s="223"/>
      <c r="FL2436" s="223"/>
      <c r="FM2436" s="223"/>
      <c r="FN2436" s="223"/>
      <c r="FO2436" s="223"/>
      <c r="FP2436" s="223"/>
      <c r="FQ2436" s="223"/>
      <c r="FR2436" s="223"/>
      <c r="FS2436" s="223"/>
      <c r="FT2436" s="223"/>
      <c r="FU2436" s="223"/>
      <c r="FV2436" s="223"/>
      <c r="FW2436" s="223"/>
      <c r="FX2436" s="223"/>
      <c r="FY2436" s="223"/>
      <c r="FZ2436" s="223"/>
      <c r="GA2436" s="223"/>
      <c r="GB2436" s="223"/>
      <c r="GC2436" s="223"/>
      <c r="GD2436" s="223"/>
      <c r="GE2436" s="223"/>
      <c r="GF2436" s="223"/>
      <c r="GG2436" s="223"/>
      <c r="GH2436" s="223"/>
      <c r="GI2436" s="223"/>
      <c r="GJ2436" s="223"/>
      <c r="GK2436" s="223"/>
      <c r="GL2436" s="223"/>
      <c r="GM2436" s="223"/>
      <c r="GN2436" s="223"/>
      <c r="GO2436" s="223"/>
      <c r="GP2436" s="223"/>
      <c r="GQ2436" s="223"/>
      <c r="GR2436" s="223"/>
      <c r="GS2436" s="223"/>
      <c r="GT2436" s="223"/>
      <c r="GU2436" s="223"/>
      <c r="GV2436" s="223"/>
      <c r="GW2436" s="223"/>
      <c r="GX2436" s="223"/>
      <c r="GY2436" s="223"/>
      <c r="GZ2436" s="223"/>
      <c r="HA2436" s="223"/>
      <c r="HB2436" s="223"/>
      <c r="HC2436" s="223"/>
      <c r="HD2436" s="223"/>
      <c r="HE2436" s="223"/>
      <c r="HF2436" s="223"/>
      <c r="HG2436" s="223"/>
      <c r="HH2436" s="223"/>
      <c r="HI2436" s="223"/>
      <c r="HJ2436" s="223"/>
      <c r="HK2436" s="223"/>
      <c r="HL2436" s="223"/>
      <c r="HM2436" s="223"/>
      <c r="HN2436" s="223"/>
      <c r="HO2436" s="223"/>
      <c r="HP2436" s="223"/>
      <c r="HQ2436" s="223"/>
      <c r="HR2436" s="223"/>
      <c r="HS2436" s="223"/>
      <c r="HT2436" s="223"/>
      <c r="HU2436" s="223"/>
      <c r="HV2436" s="223"/>
      <c r="HW2436" s="223"/>
      <c r="HX2436" s="223"/>
      <c r="HY2436" s="223"/>
      <c r="HZ2436" s="223"/>
      <c r="IA2436" s="223"/>
      <c r="IB2436" s="223"/>
      <c r="IC2436" s="223"/>
      <c r="ID2436" s="223"/>
      <c r="IE2436" s="223"/>
      <c r="IF2436" s="223"/>
      <c r="IG2436" s="223"/>
      <c r="IH2436" s="223"/>
      <c r="II2436" s="223"/>
      <c r="IJ2436" s="223"/>
      <c r="IK2436" s="223"/>
      <c r="IL2436" s="223"/>
      <c r="IM2436" s="223"/>
      <c r="IN2436" s="223"/>
      <c r="IO2436" s="223"/>
      <c r="IP2436" s="223"/>
      <c r="IQ2436" s="223"/>
      <c r="IR2436" s="223"/>
      <c r="IS2436" s="223"/>
      <c r="IT2436" s="223"/>
      <c r="IU2436" s="223"/>
      <c r="IV2436" s="223"/>
    </row>
    <row r="2437" spans="46:256" s="221" customFormat="1" x14ac:dyDescent="0.2">
      <c r="AT2437" s="222"/>
      <c r="AU2437" s="222"/>
      <c r="BD2437" s="223"/>
      <c r="BE2437" s="223"/>
      <c r="BF2437" s="223"/>
      <c r="BG2437" s="223"/>
      <c r="BH2437" s="223"/>
      <c r="BI2437" s="223"/>
      <c r="BJ2437" s="223"/>
      <c r="BK2437" s="223"/>
      <c r="BL2437" s="223"/>
      <c r="BM2437" s="223"/>
      <c r="BN2437" s="223"/>
      <c r="BO2437" s="223"/>
      <c r="BP2437" s="223"/>
      <c r="BQ2437" s="223"/>
      <c r="BR2437" s="223"/>
      <c r="BS2437" s="223"/>
      <c r="BT2437" s="223"/>
      <c r="BU2437" s="223"/>
      <c r="BV2437" s="223"/>
      <c r="BW2437" s="223"/>
      <c r="BX2437" s="223"/>
      <c r="BY2437" s="223"/>
      <c r="BZ2437" s="223"/>
      <c r="CA2437" s="223"/>
      <c r="CB2437" s="223"/>
      <c r="CC2437" s="223"/>
      <c r="CD2437" s="223"/>
      <c r="CE2437" s="223"/>
      <c r="CF2437" s="223"/>
      <c r="CG2437" s="223"/>
      <c r="CH2437" s="223"/>
      <c r="CI2437" s="223"/>
      <c r="CJ2437" s="223"/>
      <c r="CK2437" s="223"/>
      <c r="CL2437" s="223"/>
      <c r="CM2437" s="223"/>
      <c r="CN2437" s="223"/>
      <c r="CO2437" s="223"/>
      <c r="CP2437" s="223"/>
      <c r="CQ2437" s="223"/>
      <c r="CR2437" s="223"/>
      <c r="CS2437" s="223"/>
      <c r="CT2437" s="223"/>
      <c r="CU2437" s="223"/>
      <c r="CV2437" s="223"/>
      <c r="CW2437" s="223"/>
      <c r="CX2437" s="223"/>
      <c r="CY2437" s="223"/>
      <c r="CZ2437" s="223"/>
      <c r="DA2437" s="223"/>
      <c r="DB2437" s="223"/>
      <c r="DC2437" s="223"/>
      <c r="DD2437" s="223"/>
      <c r="DE2437" s="223"/>
      <c r="DF2437" s="223"/>
      <c r="DG2437" s="223"/>
      <c r="DH2437" s="223"/>
      <c r="DI2437" s="223"/>
      <c r="DJ2437" s="223"/>
      <c r="DK2437" s="223"/>
      <c r="DL2437" s="223"/>
      <c r="DM2437" s="223"/>
      <c r="DN2437" s="223"/>
      <c r="DO2437" s="223"/>
      <c r="DP2437" s="223"/>
      <c r="DQ2437" s="223"/>
      <c r="DR2437" s="223"/>
      <c r="DS2437" s="223"/>
      <c r="DT2437" s="223"/>
      <c r="DU2437" s="223"/>
      <c r="DV2437" s="223"/>
      <c r="DW2437" s="223"/>
      <c r="DX2437" s="223"/>
      <c r="DY2437" s="223"/>
      <c r="DZ2437" s="223"/>
      <c r="EA2437" s="223"/>
      <c r="EB2437" s="223"/>
      <c r="EC2437" s="223"/>
      <c r="ED2437" s="223"/>
      <c r="EE2437" s="223"/>
      <c r="EF2437" s="223"/>
      <c r="EG2437" s="223"/>
      <c r="EH2437" s="223"/>
      <c r="EI2437" s="223"/>
      <c r="EJ2437" s="223"/>
      <c r="EK2437" s="223"/>
      <c r="EL2437" s="223"/>
      <c r="EM2437" s="223"/>
      <c r="EN2437" s="223"/>
      <c r="EO2437" s="223"/>
      <c r="EP2437" s="223"/>
      <c r="EQ2437" s="223"/>
      <c r="ER2437" s="223"/>
      <c r="ES2437" s="223"/>
      <c r="ET2437" s="223"/>
      <c r="EU2437" s="223"/>
      <c r="EV2437" s="223"/>
      <c r="EW2437" s="223"/>
      <c r="EX2437" s="223"/>
      <c r="EY2437" s="223"/>
      <c r="EZ2437" s="223"/>
      <c r="FA2437" s="223"/>
      <c r="FB2437" s="223"/>
      <c r="FC2437" s="223"/>
      <c r="FD2437" s="223"/>
      <c r="FE2437" s="223"/>
      <c r="FF2437" s="223"/>
      <c r="FG2437" s="223"/>
      <c r="FH2437" s="223"/>
      <c r="FI2437" s="223"/>
      <c r="FJ2437" s="223"/>
      <c r="FK2437" s="223"/>
      <c r="FL2437" s="223"/>
      <c r="FM2437" s="223"/>
      <c r="FN2437" s="223"/>
      <c r="FO2437" s="223"/>
      <c r="FP2437" s="223"/>
      <c r="FQ2437" s="223"/>
      <c r="FR2437" s="223"/>
      <c r="FS2437" s="223"/>
      <c r="FT2437" s="223"/>
      <c r="FU2437" s="223"/>
      <c r="FV2437" s="223"/>
      <c r="FW2437" s="223"/>
      <c r="FX2437" s="223"/>
      <c r="FY2437" s="223"/>
      <c r="FZ2437" s="223"/>
      <c r="GA2437" s="223"/>
      <c r="GB2437" s="223"/>
      <c r="GC2437" s="223"/>
      <c r="GD2437" s="223"/>
      <c r="GE2437" s="223"/>
      <c r="GF2437" s="223"/>
      <c r="GG2437" s="223"/>
      <c r="GH2437" s="223"/>
      <c r="GI2437" s="223"/>
      <c r="GJ2437" s="223"/>
      <c r="GK2437" s="223"/>
      <c r="GL2437" s="223"/>
      <c r="GM2437" s="223"/>
      <c r="GN2437" s="223"/>
      <c r="GO2437" s="223"/>
      <c r="GP2437" s="223"/>
      <c r="GQ2437" s="223"/>
      <c r="GR2437" s="223"/>
      <c r="GS2437" s="223"/>
      <c r="GT2437" s="223"/>
      <c r="GU2437" s="223"/>
      <c r="GV2437" s="223"/>
      <c r="GW2437" s="223"/>
      <c r="GX2437" s="223"/>
      <c r="GY2437" s="223"/>
      <c r="GZ2437" s="223"/>
      <c r="HA2437" s="223"/>
      <c r="HB2437" s="223"/>
      <c r="HC2437" s="223"/>
      <c r="HD2437" s="223"/>
      <c r="HE2437" s="223"/>
      <c r="HF2437" s="223"/>
      <c r="HG2437" s="223"/>
      <c r="HH2437" s="223"/>
      <c r="HI2437" s="223"/>
      <c r="HJ2437" s="223"/>
      <c r="HK2437" s="223"/>
      <c r="HL2437" s="223"/>
      <c r="HM2437" s="223"/>
      <c r="HN2437" s="223"/>
      <c r="HO2437" s="223"/>
      <c r="HP2437" s="223"/>
      <c r="HQ2437" s="223"/>
      <c r="HR2437" s="223"/>
      <c r="HS2437" s="223"/>
      <c r="HT2437" s="223"/>
      <c r="HU2437" s="223"/>
      <c r="HV2437" s="223"/>
      <c r="HW2437" s="223"/>
      <c r="HX2437" s="223"/>
      <c r="HY2437" s="223"/>
      <c r="HZ2437" s="223"/>
      <c r="IA2437" s="223"/>
      <c r="IB2437" s="223"/>
      <c r="IC2437" s="223"/>
      <c r="ID2437" s="223"/>
      <c r="IE2437" s="223"/>
      <c r="IF2437" s="223"/>
      <c r="IG2437" s="223"/>
      <c r="IH2437" s="223"/>
      <c r="II2437" s="223"/>
      <c r="IJ2437" s="223"/>
      <c r="IK2437" s="223"/>
      <c r="IL2437" s="223"/>
      <c r="IM2437" s="223"/>
      <c r="IN2437" s="223"/>
      <c r="IO2437" s="223"/>
      <c r="IP2437" s="223"/>
      <c r="IQ2437" s="223"/>
      <c r="IR2437" s="223"/>
      <c r="IS2437" s="223"/>
      <c r="IT2437" s="223"/>
      <c r="IU2437" s="223"/>
      <c r="IV2437" s="223"/>
    </row>
    <row r="2438" spans="46:256" s="221" customFormat="1" x14ac:dyDescent="0.2">
      <c r="AT2438" s="222"/>
      <c r="AU2438" s="222"/>
      <c r="BD2438" s="223"/>
      <c r="BE2438" s="223"/>
      <c r="BF2438" s="223"/>
      <c r="BG2438" s="223"/>
      <c r="BH2438" s="223"/>
      <c r="BI2438" s="223"/>
      <c r="BJ2438" s="223"/>
      <c r="BK2438" s="223"/>
      <c r="BL2438" s="223"/>
      <c r="BM2438" s="223"/>
      <c r="BN2438" s="223"/>
      <c r="BO2438" s="223"/>
      <c r="BP2438" s="223"/>
      <c r="BQ2438" s="223"/>
      <c r="BR2438" s="223"/>
      <c r="BS2438" s="223"/>
      <c r="BT2438" s="223"/>
      <c r="BU2438" s="223"/>
      <c r="BV2438" s="223"/>
      <c r="BW2438" s="223"/>
      <c r="BX2438" s="223"/>
      <c r="BY2438" s="223"/>
      <c r="BZ2438" s="223"/>
      <c r="CA2438" s="223"/>
      <c r="CB2438" s="223"/>
      <c r="CC2438" s="223"/>
      <c r="CD2438" s="223"/>
      <c r="CE2438" s="223"/>
      <c r="CF2438" s="223"/>
      <c r="CG2438" s="223"/>
      <c r="CH2438" s="223"/>
      <c r="CI2438" s="223"/>
      <c r="CJ2438" s="223"/>
      <c r="CK2438" s="223"/>
      <c r="CL2438" s="223"/>
      <c r="CM2438" s="223"/>
      <c r="CN2438" s="223"/>
      <c r="CO2438" s="223"/>
      <c r="CP2438" s="223"/>
      <c r="CQ2438" s="223"/>
      <c r="CR2438" s="223"/>
      <c r="CS2438" s="223"/>
      <c r="CT2438" s="223"/>
      <c r="CU2438" s="223"/>
      <c r="CV2438" s="223"/>
      <c r="CW2438" s="223"/>
      <c r="CX2438" s="223"/>
      <c r="CY2438" s="223"/>
      <c r="CZ2438" s="223"/>
      <c r="DA2438" s="223"/>
      <c r="DB2438" s="223"/>
      <c r="DC2438" s="223"/>
      <c r="DD2438" s="223"/>
      <c r="DE2438" s="223"/>
      <c r="DF2438" s="223"/>
      <c r="DG2438" s="223"/>
      <c r="DH2438" s="223"/>
      <c r="DI2438" s="223"/>
      <c r="DJ2438" s="223"/>
      <c r="DK2438" s="223"/>
      <c r="DL2438" s="223"/>
      <c r="DM2438" s="223"/>
      <c r="DN2438" s="223"/>
      <c r="DO2438" s="223"/>
      <c r="DP2438" s="223"/>
      <c r="DQ2438" s="223"/>
      <c r="DR2438" s="223"/>
      <c r="DS2438" s="223"/>
      <c r="DT2438" s="223"/>
      <c r="DU2438" s="223"/>
      <c r="DV2438" s="223"/>
      <c r="DW2438" s="223"/>
      <c r="DX2438" s="223"/>
      <c r="DY2438" s="223"/>
      <c r="DZ2438" s="223"/>
      <c r="EA2438" s="223"/>
      <c r="EB2438" s="223"/>
      <c r="EC2438" s="223"/>
      <c r="ED2438" s="223"/>
      <c r="EE2438" s="223"/>
      <c r="EF2438" s="223"/>
      <c r="EG2438" s="223"/>
      <c r="EH2438" s="223"/>
      <c r="EI2438" s="223"/>
      <c r="EJ2438" s="223"/>
      <c r="EK2438" s="223"/>
      <c r="EL2438" s="223"/>
      <c r="EM2438" s="223"/>
      <c r="EN2438" s="223"/>
      <c r="EO2438" s="223"/>
      <c r="EP2438" s="223"/>
      <c r="EQ2438" s="223"/>
      <c r="ER2438" s="223"/>
      <c r="ES2438" s="223"/>
      <c r="ET2438" s="223"/>
      <c r="EU2438" s="223"/>
      <c r="EV2438" s="223"/>
      <c r="EW2438" s="223"/>
      <c r="EX2438" s="223"/>
      <c r="EY2438" s="223"/>
      <c r="EZ2438" s="223"/>
      <c r="FA2438" s="223"/>
      <c r="FB2438" s="223"/>
      <c r="FC2438" s="223"/>
      <c r="FD2438" s="223"/>
      <c r="FE2438" s="223"/>
      <c r="FF2438" s="223"/>
      <c r="FG2438" s="223"/>
      <c r="FH2438" s="223"/>
      <c r="FI2438" s="223"/>
      <c r="FJ2438" s="223"/>
      <c r="FK2438" s="223"/>
      <c r="FL2438" s="223"/>
      <c r="FM2438" s="223"/>
      <c r="FN2438" s="223"/>
      <c r="FO2438" s="223"/>
      <c r="FP2438" s="223"/>
      <c r="FQ2438" s="223"/>
      <c r="FR2438" s="223"/>
      <c r="FS2438" s="223"/>
      <c r="FT2438" s="223"/>
      <c r="FU2438" s="223"/>
      <c r="FV2438" s="223"/>
      <c r="FW2438" s="223"/>
      <c r="FX2438" s="223"/>
      <c r="FY2438" s="223"/>
      <c r="FZ2438" s="223"/>
      <c r="GA2438" s="223"/>
      <c r="GB2438" s="223"/>
      <c r="GC2438" s="223"/>
      <c r="GD2438" s="223"/>
      <c r="GE2438" s="223"/>
      <c r="GF2438" s="223"/>
      <c r="GG2438" s="223"/>
      <c r="GH2438" s="223"/>
      <c r="GI2438" s="223"/>
      <c r="GJ2438" s="223"/>
      <c r="GK2438" s="223"/>
      <c r="GL2438" s="223"/>
      <c r="GM2438" s="223"/>
      <c r="GN2438" s="223"/>
      <c r="GO2438" s="223"/>
      <c r="GP2438" s="223"/>
      <c r="GQ2438" s="223"/>
      <c r="GR2438" s="223"/>
      <c r="GS2438" s="223"/>
      <c r="GT2438" s="223"/>
      <c r="GU2438" s="223"/>
      <c r="GV2438" s="223"/>
      <c r="GW2438" s="223"/>
      <c r="GX2438" s="223"/>
      <c r="GY2438" s="223"/>
      <c r="GZ2438" s="223"/>
      <c r="HA2438" s="223"/>
      <c r="HB2438" s="223"/>
      <c r="HC2438" s="223"/>
      <c r="HD2438" s="223"/>
      <c r="HE2438" s="223"/>
      <c r="HF2438" s="223"/>
      <c r="HG2438" s="223"/>
      <c r="HH2438" s="223"/>
      <c r="HI2438" s="223"/>
      <c r="HJ2438" s="223"/>
      <c r="HK2438" s="223"/>
      <c r="HL2438" s="223"/>
      <c r="HM2438" s="223"/>
      <c r="HN2438" s="223"/>
      <c r="HO2438" s="223"/>
      <c r="HP2438" s="223"/>
      <c r="HQ2438" s="223"/>
      <c r="HR2438" s="223"/>
      <c r="HS2438" s="223"/>
      <c r="HT2438" s="223"/>
      <c r="HU2438" s="223"/>
      <c r="HV2438" s="223"/>
      <c r="HW2438" s="223"/>
      <c r="HX2438" s="223"/>
      <c r="HY2438" s="223"/>
      <c r="HZ2438" s="223"/>
      <c r="IA2438" s="223"/>
      <c r="IB2438" s="223"/>
      <c r="IC2438" s="223"/>
      <c r="ID2438" s="223"/>
      <c r="IE2438" s="223"/>
      <c r="IF2438" s="223"/>
      <c r="IG2438" s="223"/>
      <c r="IH2438" s="223"/>
      <c r="II2438" s="223"/>
      <c r="IJ2438" s="223"/>
      <c r="IK2438" s="223"/>
      <c r="IL2438" s="223"/>
      <c r="IM2438" s="223"/>
      <c r="IN2438" s="223"/>
      <c r="IO2438" s="223"/>
      <c r="IP2438" s="223"/>
      <c r="IQ2438" s="223"/>
      <c r="IR2438" s="223"/>
      <c r="IS2438" s="223"/>
      <c r="IT2438" s="223"/>
      <c r="IU2438" s="223"/>
      <c r="IV2438" s="223"/>
    </row>
    <row r="2439" spans="46:256" s="221" customFormat="1" x14ac:dyDescent="0.2">
      <c r="AT2439" s="222"/>
      <c r="AU2439" s="222"/>
      <c r="BD2439" s="223"/>
      <c r="BE2439" s="223"/>
      <c r="BF2439" s="223"/>
      <c r="BG2439" s="223"/>
      <c r="BH2439" s="223"/>
      <c r="BI2439" s="223"/>
      <c r="BJ2439" s="223"/>
      <c r="BK2439" s="223"/>
      <c r="BL2439" s="223"/>
      <c r="BM2439" s="223"/>
      <c r="BN2439" s="223"/>
      <c r="BO2439" s="223"/>
      <c r="BP2439" s="223"/>
      <c r="BQ2439" s="223"/>
      <c r="BR2439" s="223"/>
      <c r="BS2439" s="223"/>
      <c r="BT2439" s="223"/>
      <c r="BU2439" s="223"/>
      <c r="BV2439" s="223"/>
      <c r="BW2439" s="223"/>
      <c r="BX2439" s="223"/>
      <c r="BY2439" s="223"/>
      <c r="BZ2439" s="223"/>
      <c r="CA2439" s="223"/>
      <c r="CB2439" s="223"/>
      <c r="CC2439" s="223"/>
      <c r="CD2439" s="223"/>
      <c r="CE2439" s="223"/>
      <c r="CF2439" s="223"/>
      <c r="CG2439" s="223"/>
      <c r="CH2439" s="223"/>
      <c r="CI2439" s="223"/>
      <c r="CJ2439" s="223"/>
      <c r="CK2439" s="223"/>
      <c r="CL2439" s="223"/>
      <c r="CM2439" s="223"/>
      <c r="CN2439" s="223"/>
      <c r="CO2439" s="223"/>
      <c r="CP2439" s="223"/>
      <c r="CQ2439" s="223"/>
      <c r="CR2439" s="223"/>
      <c r="CS2439" s="223"/>
      <c r="CT2439" s="223"/>
      <c r="CU2439" s="223"/>
      <c r="CV2439" s="223"/>
      <c r="CW2439" s="223"/>
      <c r="CX2439" s="223"/>
      <c r="CY2439" s="223"/>
      <c r="CZ2439" s="223"/>
      <c r="DA2439" s="223"/>
      <c r="DB2439" s="223"/>
      <c r="DC2439" s="223"/>
      <c r="DD2439" s="223"/>
      <c r="DE2439" s="223"/>
      <c r="DF2439" s="223"/>
      <c r="DG2439" s="223"/>
      <c r="DH2439" s="223"/>
      <c r="DI2439" s="223"/>
      <c r="DJ2439" s="223"/>
      <c r="DK2439" s="223"/>
      <c r="DL2439" s="223"/>
      <c r="DM2439" s="223"/>
      <c r="DN2439" s="223"/>
      <c r="DO2439" s="223"/>
      <c r="DP2439" s="223"/>
      <c r="DQ2439" s="223"/>
      <c r="DR2439" s="223"/>
      <c r="DS2439" s="223"/>
      <c r="DT2439" s="223"/>
      <c r="DU2439" s="223"/>
      <c r="DV2439" s="223"/>
      <c r="DW2439" s="223"/>
      <c r="DX2439" s="223"/>
      <c r="DY2439" s="223"/>
      <c r="DZ2439" s="223"/>
      <c r="EA2439" s="223"/>
      <c r="EB2439" s="223"/>
      <c r="EC2439" s="223"/>
      <c r="ED2439" s="223"/>
      <c r="EE2439" s="223"/>
      <c r="EF2439" s="223"/>
      <c r="EG2439" s="223"/>
      <c r="EH2439" s="223"/>
      <c r="EI2439" s="223"/>
      <c r="EJ2439" s="223"/>
      <c r="EK2439" s="223"/>
      <c r="EL2439" s="223"/>
      <c r="EM2439" s="223"/>
      <c r="EN2439" s="223"/>
      <c r="EO2439" s="223"/>
      <c r="EP2439" s="223"/>
      <c r="EQ2439" s="223"/>
      <c r="ER2439" s="223"/>
      <c r="ES2439" s="223"/>
      <c r="ET2439" s="223"/>
      <c r="EU2439" s="223"/>
      <c r="EV2439" s="223"/>
      <c r="EW2439" s="223"/>
      <c r="EX2439" s="223"/>
      <c r="EY2439" s="223"/>
      <c r="EZ2439" s="223"/>
      <c r="FA2439" s="223"/>
      <c r="FB2439" s="223"/>
      <c r="FC2439" s="223"/>
      <c r="FD2439" s="223"/>
      <c r="FE2439" s="223"/>
      <c r="FF2439" s="223"/>
      <c r="FG2439" s="223"/>
      <c r="FH2439" s="223"/>
      <c r="FI2439" s="223"/>
      <c r="FJ2439" s="223"/>
      <c r="FK2439" s="223"/>
      <c r="FL2439" s="223"/>
      <c r="FM2439" s="223"/>
      <c r="FN2439" s="223"/>
      <c r="FO2439" s="223"/>
      <c r="FP2439" s="223"/>
      <c r="FQ2439" s="223"/>
      <c r="FR2439" s="223"/>
      <c r="FS2439" s="223"/>
      <c r="FT2439" s="223"/>
      <c r="FU2439" s="223"/>
      <c r="FV2439" s="223"/>
      <c r="FW2439" s="223"/>
      <c r="FX2439" s="223"/>
      <c r="FY2439" s="223"/>
      <c r="FZ2439" s="223"/>
      <c r="GA2439" s="223"/>
      <c r="GB2439" s="223"/>
      <c r="GC2439" s="223"/>
      <c r="GD2439" s="223"/>
      <c r="GE2439" s="223"/>
      <c r="GF2439" s="223"/>
      <c r="GG2439" s="223"/>
      <c r="GH2439" s="223"/>
      <c r="GI2439" s="223"/>
      <c r="GJ2439" s="223"/>
      <c r="GK2439" s="223"/>
      <c r="GL2439" s="223"/>
      <c r="GM2439" s="223"/>
      <c r="GN2439" s="223"/>
      <c r="GO2439" s="223"/>
      <c r="GP2439" s="223"/>
      <c r="GQ2439" s="223"/>
      <c r="GR2439" s="223"/>
      <c r="GS2439" s="223"/>
      <c r="GT2439" s="223"/>
      <c r="GU2439" s="223"/>
      <c r="GV2439" s="223"/>
      <c r="GW2439" s="223"/>
      <c r="GX2439" s="223"/>
      <c r="GY2439" s="223"/>
      <c r="GZ2439" s="223"/>
      <c r="HA2439" s="223"/>
      <c r="HB2439" s="223"/>
      <c r="HC2439" s="223"/>
      <c r="HD2439" s="223"/>
      <c r="HE2439" s="223"/>
      <c r="HF2439" s="223"/>
      <c r="HG2439" s="223"/>
      <c r="HH2439" s="223"/>
      <c r="HI2439" s="223"/>
      <c r="HJ2439" s="223"/>
      <c r="HK2439" s="223"/>
      <c r="HL2439" s="223"/>
      <c r="HM2439" s="223"/>
      <c r="HN2439" s="223"/>
      <c r="HO2439" s="223"/>
      <c r="HP2439" s="223"/>
      <c r="HQ2439" s="223"/>
      <c r="HR2439" s="223"/>
      <c r="HS2439" s="223"/>
      <c r="HT2439" s="223"/>
      <c r="HU2439" s="223"/>
      <c r="HV2439" s="223"/>
      <c r="HW2439" s="223"/>
      <c r="HX2439" s="223"/>
      <c r="HY2439" s="223"/>
      <c r="HZ2439" s="223"/>
      <c r="IA2439" s="223"/>
      <c r="IB2439" s="223"/>
      <c r="IC2439" s="223"/>
      <c r="ID2439" s="223"/>
      <c r="IE2439" s="223"/>
      <c r="IF2439" s="223"/>
      <c r="IG2439" s="223"/>
      <c r="IH2439" s="223"/>
      <c r="II2439" s="223"/>
      <c r="IJ2439" s="223"/>
      <c r="IK2439" s="223"/>
      <c r="IL2439" s="223"/>
      <c r="IM2439" s="223"/>
      <c r="IN2439" s="223"/>
      <c r="IO2439" s="223"/>
      <c r="IP2439" s="223"/>
      <c r="IQ2439" s="223"/>
      <c r="IR2439" s="223"/>
      <c r="IS2439" s="223"/>
      <c r="IT2439" s="223"/>
      <c r="IU2439" s="223"/>
      <c r="IV2439" s="223"/>
    </row>
    <row r="2440" spans="46:256" s="221" customFormat="1" x14ac:dyDescent="0.2">
      <c r="AT2440" s="222"/>
      <c r="AU2440" s="222"/>
      <c r="BD2440" s="223"/>
      <c r="BE2440" s="223"/>
      <c r="BF2440" s="223"/>
      <c r="BG2440" s="223"/>
      <c r="BH2440" s="223"/>
      <c r="BI2440" s="223"/>
      <c r="BJ2440" s="223"/>
      <c r="BK2440" s="223"/>
      <c r="BL2440" s="223"/>
      <c r="BM2440" s="223"/>
      <c r="BN2440" s="223"/>
      <c r="BO2440" s="223"/>
      <c r="BP2440" s="223"/>
      <c r="BQ2440" s="223"/>
      <c r="BR2440" s="223"/>
      <c r="BS2440" s="223"/>
      <c r="BT2440" s="223"/>
      <c r="BU2440" s="223"/>
      <c r="BV2440" s="223"/>
      <c r="BW2440" s="223"/>
      <c r="BX2440" s="223"/>
      <c r="BY2440" s="223"/>
      <c r="BZ2440" s="223"/>
      <c r="CA2440" s="223"/>
      <c r="CB2440" s="223"/>
      <c r="CC2440" s="223"/>
      <c r="CD2440" s="223"/>
      <c r="CE2440" s="223"/>
      <c r="CF2440" s="223"/>
      <c r="CG2440" s="223"/>
      <c r="CH2440" s="223"/>
      <c r="CI2440" s="223"/>
      <c r="CJ2440" s="223"/>
      <c r="CK2440" s="223"/>
      <c r="CL2440" s="223"/>
      <c r="CM2440" s="223"/>
      <c r="CN2440" s="223"/>
      <c r="CO2440" s="223"/>
      <c r="CP2440" s="223"/>
      <c r="CQ2440" s="223"/>
      <c r="CR2440" s="223"/>
      <c r="CS2440" s="223"/>
      <c r="CT2440" s="223"/>
      <c r="CU2440" s="223"/>
      <c r="CV2440" s="223"/>
      <c r="CW2440" s="223"/>
      <c r="CX2440" s="223"/>
      <c r="CY2440" s="223"/>
      <c r="CZ2440" s="223"/>
      <c r="DA2440" s="223"/>
      <c r="DB2440" s="223"/>
      <c r="DC2440" s="223"/>
      <c r="DD2440" s="223"/>
      <c r="DE2440" s="223"/>
      <c r="DF2440" s="223"/>
      <c r="DG2440" s="223"/>
      <c r="DH2440" s="223"/>
      <c r="DI2440" s="223"/>
      <c r="DJ2440" s="223"/>
      <c r="DK2440" s="223"/>
      <c r="DL2440" s="223"/>
      <c r="DM2440" s="223"/>
      <c r="DN2440" s="223"/>
      <c r="DO2440" s="223"/>
      <c r="DP2440" s="223"/>
      <c r="DQ2440" s="223"/>
      <c r="DR2440" s="223"/>
      <c r="DS2440" s="223"/>
      <c r="DT2440" s="223"/>
      <c r="DU2440" s="223"/>
      <c r="DV2440" s="223"/>
      <c r="DW2440" s="223"/>
      <c r="DX2440" s="223"/>
      <c r="DY2440" s="223"/>
      <c r="DZ2440" s="223"/>
      <c r="EA2440" s="223"/>
      <c r="EB2440" s="223"/>
      <c r="EC2440" s="223"/>
      <c r="ED2440" s="223"/>
      <c r="EE2440" s="223"/>
      <c r="EF2440" s="223"/>
      <c r="EG2440" s="223"/>
      <c r="EH2440" s="223"/>
      <c r="EI2440" s="223"/>
      <c r="EJ2440" s="223"/>
      <c r="EK2440" s="223"/>
      <c r="EL2440" s="223"/>
      <c r="EM2440" s="223"/>
      <c r="EN2440" s="223"/>
      <c r="EO2440" s="223"/>
      <c r="EP2440" s="223"/>
      <c r="EQ2440" s="223"/>
      <c r="ER2440" s="223"/>
      <c r="ES2440" s="223"/>
      <c r="ET2440" s="223"/>
      <c r="EU2440" s="223"/>
      <c r="EV2440" s="223"/>
      <c r="EW2440" s="223"/>
      <c r="EX2440" s="223"/>
      <c r="EY2440" s="223"/>
      <c r="EZ2440" s="223"/>
      <c r="FA2440" s="223"/>
      <c r="FB2440" s="223"/>
      <c r="FC2440" s="223"/>
      <c r="FD2440" s="223"/>
      <c r="FE2440" s="223"/>
      <c r="FF2440" s="223"/>
      <c r="FG2440" s="223"/>
      <c r="FH2440" s="223"/>
      <c r="FI2440" s="223"/>
      <c r="FJ2440" s="223"/>
      <c r="FK2440" s="223"/>
      <c r="FL2440" s="223"/>
      <c r="FM2440" s="223"/>
      <c r="FN2440" s="223"/>
      <c r="FO2440" s="223"/>
      <c r="FP2440" s="223"/>
      <c r="FQ2440" s="223"/>
      <c r="FR2440" s="223"/>
      <c r="FS2440" s="223"/>
      <c r="FT2440" s="223"/>
      <c r="FU2440" s="223"/>
      <c r="FV2440" s="223"/>
      <c r="FW2440" s="223"/>
      <c r="FX2440" s="223"/>
      <c r="FY2440" s="223"/>
      <c r="FZ2440" s="223"/>
      <c r="GA2440" s="223"/>
      <c r="GB2440" s="223"/>
      <c r="GC2440" s="223"/>
      <c r="GD2440" s="223"/>
      <c r="GE2440" s="223"/>
      <c r="GF2440" s="223"/>
      <c r="GG2440" s="223"/>
      <c r="GH2440" s="223"/>
      <c r="GI2440" s="223"/>
      <c r="GJ2440" s="223"/>
      <c r="GK2440" s="223"/>
      <c r="GL2440" s="223"/>
      <c r="GM2440" s="223"/>
      <c r="GN2440" s="223"/>
      <c r="GO2440" s="223"/>
      <c r="GP2440" s="223"/>
      <c r="GQ2440" s="223"/>
      <c r="GR2440" s="223"/>
      <c r="GS2440" s="223"/>
      <c r="GT2440" s="223"/>
      <c r="GU2440" s="223"/>
      <c r="GV2440" s="223"/>
      <c r="GW2440" s="223"/>
      <c r="GX2440" s="223"/>
      <c r="GY2440" s="223"/>
      <c r="GZ2440" s="223"/>
      <c r="HA2440" s="223"/>
      <c r="HB2440" s="223"/>
      <c r="HC2440" s="223"/>
      <c r="HD2440" s="223"/>
      <c r="HE2440" s="223"/>
      <c r="HF2440" s="223"/>
      <c r="HG2440" s="223"/>
      <c r="HH2440" s="223"/>
      <c r="HI2440" s="223"/>
      <c r="HJ2440" s="223"/>
      <c r="HK2440" s="223"/>
      <c r="HL2440" s="223"/>
      <c r="HM2440" s="223"/>
      <c r="HN2440" s="223"/>
      <c r="HO2440" s="223"/>
      <c r="HP2440" s="223"/>
      <c r="HQ2440" s="223"/>
      <c r="HR2440" s="223"/>
      <c r="HS2440" s="223"/>
      <c r="HT2440" s="223"/>
      <c r="HU2440" s="223"/>
      <c r="HV2440" s="223"/>
      <c r="HW2440" s="223"/>
      <c r="HX2440" s="223"/>
      <c r="HY2440" s="223"/>
      <c r="HZ2440" s="223"/>
      <c r="IA2440" s="223"/>
      <c r="IB2440" s="223"/>
      <c r="IC2440" s="223"/>
      <c r="ID2440" s="223"/>
      <c r="IE2440" s="223"/>
      <c r="IF2440" s="223"/>
      <c r="IG2440" s="223"/>
      <c r="IH2440" s="223"/>
      <c r="II2440" s="223"/>
      <c r="IJ2440" s="223"/>
      <c r="IK2440" s="223"/>
      <c r="IL2440" s="223"/>
      <c r="IM2440" s="223"/>
      <c r="IN2440" s="223"/>
      <c r="IO2440" s="223"/>
      <c r="IP2440" s="223"/>
      <c r="IQ2440" s="223"/>
      <c r="IR2440" s="223"/>
      <c r="IS2440" s="223"/>
      <c r="IT2440" s="223"/>
      <c r="IU2440" s="223"/>
      <c r="IV2440" s="223"/>
    </row>
    <row r="2441" spans="46:256" s="221" customFormat="1" x14ac:dyDescent="0.2">
      <c r="AT2441" s="222"/>
      <c r="AU2441" s="222"/>
      <c r="BD2441" s="223"/>
      <c r="BE2441" s="223"/>
      <c r="BF2441" s="223"/>
      <c r="BG2441" s="223"/>
      <c r="BH2441" s="223"/>
      <c r="BI2441" s="223"/>
      <c r="BJ2441" s="223"/>
      <c r="BK2441" s="223"/>
      <c r="BL2441" s="223"/>
      <c r="BM2441" s="223"/>
      <c r="BN2441" s="223"/>
      <c r="BO2441" s="223"/>
      <c r="BP2441" s="223"/>
      <c r="BQ2441" s="223"/>
      <c r="BR2441" s="223"/>
      <c r="BS2441" s="223"/>
      <c r="BT2441" s="223"/>
      <c r="BU2441" s="223"/>
      <c r="BV2441" s="223"/>
      <c r="BW2441" s="223"/>
      <c r="BX2441" s="223"/>
      <c r="BY2441" s="223"/>
      <c r="BZ2441" s="223"/>
      <c r="CA2441" s="223"/>
      <c r="CB2441" s="223"/>
      <c r="CC2441" s="223"/>
      <c r="CD2441" s="223"/>
      <c r="CE2441" s="223"/>
      <c r="CF2441" s="223"/>
      <c r="CG2441" s="223"/>
      <c r="CH2441" s="223"/>
      <c r="CI2441" s="223"/>
      <c r="CJ2441" s="223"/>
      <c r="CK2441" s="223"/>
      <c r="CL2441" s="223"/>
      <c r="CM2441" s="223"/>
      <c r="CN2441" s="223"/>
      <c r="CO2441" s="223"/>
      <c r="CP2441" s="223"/>
      <c r="CQ2441" s="223"/>
      <c r="CR2441" s="223"/>
      <c r="CS2441" s="223"/>
      <c r="CT2441" s="223"/>
      <c r="CU2441" s="223"/>
      <c r="CV2441" s="223"/>
      <c r="CW2441" s="223"/>
      <c r="CX2441" s="223"/>
      <c r="CY2441" s="223"/>
      <c r="CZ2441" s="223"/>
      <c r="DA2441" s="223"/>
      <c r="DB2441" s="223"/>
      <c r="DC2441" s="223"/>
      <c r="DD2441" s="223"/>
      <c r="DE2441" s="223"/>
      <c r="DF2441" s="223"/>
      <c r="DG2441" s="223"/>
      <c r="DH2441" s="223"/>
      <c r="DI2441" s="223"/>
      <c r="DJ2441" s="223"/>
      <c r="DK2441" s="223"/>
      <c r="DL2441" s="223"/>
      <c r="DM2441" s="223"/>
      <c r="DN2441" s="223"/>
      <c r="DO2441" s="223"/>
      <c r="DP2441" s="223"/>
      <c r="DQ2441" s="223"/>
      <c r="DR2441" s="223"/>
      <c r="DS2441" s="223"/>
      <c r="DT2441" s="223"/>
      <c r="DU2441" s="223"/>
      <c r="DV2441" s="223"/>
      <c r="DW2441" s="223"/>
      <c r="DX2441" s="223"/>
      <c r="DY2441" s="223"/>
      <c r="DZ2441" s="223"/>
      <c r="EA2441" s="223"/>
      <c r="EB2441" s="223"/>
      <c r="EC2441" s="223"/>
      <c r="ED2441" s="223"/>
      <c r="EE2441" s="223"/>
      <c r="EF2441" s="223"/>
      <c r="EG2441" s="223"/>
      <c r="EH2441" s="223"/>
      <c r="EI2441" s="223"/>
      <c r="EJ2441" s="223"/>
      <c r="EK2441" s="223"/>
      <c r="EL2441" s="223"/>
      <c r="EM2441" s="223"/>
      <c r="EN2441" s="223"/>
      <c r="EO2441" s="223"/>
      <c r="EP2441" s="223"/>
      <c r="EQ2441" s="223"/>
      <c r="ER2441" s="223"/>
      <c r="ES2441" s="223"/>
      <c r="ET2441" s="223"/>
      <c r="EU2441" s="223"/>
      <c r="EV2441" s="223"/>
      <c r="EW2441" s="223"/>
      <c r="EX2441" s="223"/>
      <c r="EY2441" s="223"/>
      <c r="EZ2441" s="223"/>
      <c r="FA2441" s="223"/>
      <c r="FB2441" s="223"/>
      <c r="FC2441" s="223"/>
      <c r="FD2441" s="223"/>
      <c r="FE2441" s="223"/>
      <c r="FF2441" s="223"/>
      <c r="FG2441" s="223"/>
      <c r="FH2441" s="223"/>
      <c r="FI2441" s="223"/>
      <c r="FJ2441" s="223"/>
      <c r="FK2441" s="223"/>
      <c r="FL2441" s="223"/>
      <c r="FM2441" s="223"/>
      <c r="FN2441" s="223"/>
      <c r="FO2441" s="223"/>
      <c r="FP2441" s="223"/>
      <c r="FQ2441" s="223"/>
      <c r="FR2441" s="223"/>
      <c r="FS2441" s="223"/>
      <c r="FT2441" s="223"/>
      <c r="FU2441" s="223"/>
      <c r="FV2441" s="223"/>
      <c r="FW2441" s="223"/>
      <c r="FX2441" s="223"/>
      <c r="FY2441" s="223"/>
      <c r="FZ2441" s="223"/>
      <c r="GA2441" s="223"/>
      <c r="GB2441" s="223"/>
      <c r="GC2441" s="223"/>
      <c r="GD2441" s="223"/>
      <c r="GE2441" s="223"/>
      <c r="GF2441" s="223"/>
      <c r="GG2441" s="223"/>
      <c r="GH2441" s="223"/>
      <c r="GI2441" s="223"/>
      <c r="GJ2441" s="223"/>
      <c r="GK2441" s="223"/>
      <c r="GL2441" s="223"/>
      <c r="GM2441" s="223"/>
      <c r="GN2441" s="223"/>
      <c r="GO2441" s="223"/>
      <c r="GP2441" s="223"/>
      <c r="GQ2441" s="223"/>
      <c r="GR2441" s="223"/>
      <c r="GS2441" s="223"/>
      <c r="GT2441" s="223"/>
      <c r="GU2441" s="223"/>
      <c r="GV2441" s="223"/>
      <c r="GW2441" s="223"/>
      <c r="GX2441" s="223"/>
      <c r="GY2441" s="223"/>
      <c r="GZ2441" s="223"/>
      <c r="HA2441" s="223"/>
      <c r="HB2441" s="223"/>
      <c r="HC2441" s="223"/>
      <c r="HD2441" s="223"/>
      <c r="HE2441" s="223"/>
      <c r="HF2441" s="223"/>
      <c r="HG2441" s="223"/>
      <c r="HH2441" s="223"/>
      <c r="HI2441" s="223"/>
      <c r="HJ2441" s="223"/>
      <c r="HK2441" s="223"/>
      <c r="HL2441" s="223"/>
      <c r="HM2441" s="223"/>
      <c r="HN2441" s="223"/>
      <c r="HO2441" s="223"/>
      <c r="HP2441" s="223"/>
      <c r="HQ2441" s="223"/>
      <c r="HR2441" s="223"/>
      <c r="HS2441" s="223"/>
      <c r="HT2441" s="223"/>
      <c r="HU2441" s="223"/>
      <c r="HV2441" s="223"/>
      <c r="HW2441" s="223"/>
      <c r="HX2441" s="223"/>
      <c r="HY2441" s="223"/>
      <c r="HZ2441" s="223"/>
      <c r="IA2441" s="223"/>
      <c r="IB2441" s="223"/>
      <c r="IC2441" s="223"/>
      <c r="ID2441" s="223"/>
      <c r="IE2441" s="223"/>
      <c r="IF2441" s="223"/>
      <c r="IG2441" s="223"/>
      <c r="IH2441" s="223"/>
      <c r="II2441" s="223"/>
      <c r="IJ2441" s="223"/>
      <c r="IK2441" s="223"/>
      <c r="IL2441" s="223"/>
      <c r="IM2441" s="223"/>
      <c r="IN2441" s="223"/>
      <c r="IO2441" s="223"/>
      <c r="IP2441" s="223"/>
      <c r="IQ2441" s="223"/>
      <c r="IR2441" s="223"/>
      <c r="IS2441" s="223"/>
      <c r="IT2441" s="223"/>
      <c r="IU2441" s="223"/>
      <c r="IV2441" s="223"/>
    </row>
    <row r="2442" spans="46:256" s="221" customFormat="1" x14ac:dyDescent="0.2">
      <c r="AT2442" s="222"/>
      <c r="AU2442" s="222"/>
      <c r="BD2442" s="223"/>
      <c r="BE2442" s="223"/>
      <c r="BF2442" s="223"/>
      <c r="BG2442" s="223"/>
      <c r="BH2442" s="223"/>
      <c r="BI2442" s="223"/>
      <c r="BJ2442" s="223"/>
      <c r="BK2442" s="223"/>
      <c r="BL2442" s="223"/>
      <c r="BM2442" s="223"/>
      <c r="BN2442" s="223"/>
      <c r="BO2442" s="223"/>
      <c r="BP2442" s="223"/>
      <c r="BQ2442" s="223"/>
      <c r="BR2442" s="223"/>
      <c r="BS2442" s="223"/>
      <c r="BT2442" s="223"/>
      <c r="BU2442" s="223"/>
      <c r="BV2442" s="223"/>
      <c r="BW2442" s="223"/>
      <c r="BX2442" s="223"/>
      <c r="BY2442" s="223"/>
      <c r="BZ2442" s="223"/>
      <c r="CA2442" s="223"/>
      <c r="CB2442" s="223"/>
      <c r="CC2442" s="223"/>
      <c r="CD2442" s="223"/>
      <c r="CE2442" s="223"/>
      <c r="CF2442" s="223"/>
      <c r="CG2442" s="223"/>
      <c r="CH2442" s="223"/>
      <c r="CI2442" s="223"/>
      <c r="CJ2442" s="223"/>
      <c r="CK2442" s="223"/>
      <c r="CL2442" s="223"/>
      <c r="CM2442" s="223"/>
      <c r="CN2442" s="223"/>
      <c r="CO2442" s="223"/>
      <c r="CP2442" s="223"/>
      <c r="CQ2442" s="223"/>
      <c r="CR2442" s="223"/>
      <c r="CS2442" s="223"/>
      <c r="CT2442" s="223"/>
      <c r="CU2442" s="223"/>
      <c r="CV2442" s="223"/>
      <c r="CW2442" s="223"/>
      <c r="CX2442" s="223"/>
      <c r="CY2442" s="223"/>
      <c r="CZ2442" s="223"/>
      <c r="DA2442" s="223"/>
      <c r="DB2442" s="223"/>
      <c r="DC2442" s="223"/>
      <c r="DD2442" s="223"/>
      <c r="DE2442" s="223"/>
      <c r="DF2442" s="223"/>
      <c r="DG2442" s="223"/>
      <c r="DH2442" s="223"/>
      <c r="DI2442" s="223"/>
      <c r="DJ2442" s="223"/>
      <c r="DK2442" s="223"/>
      <c r="DL2442" s="223"/>
      <c r="DM2442" s="223"/>
      <c r="DN2442" s="223"/>
      <c r="DO2442" s="223"/>
      <c r="DP2442" s="223"/>
      <c r="DQ2442" s="223"/>
      <c r="DR2442" s="223"/>
      <c r="DS2442" s="223"/>
      <c r="DT2442" s="223"/>
      <c r="DU2442" s="223"/>
      <c r="DV2442" s="223"/>
      <c r="DW2442" s="223"/>
      <c r="DX2442" s="223"/>
      <c r="DY2442" s="223"/>
      <c r="DZ2442" s="223"/>
      <c r="EA2442" s="223"/>
      <c r="EB2442" s="223"/>
      <c r="EC2442" s="223"/>
      <c r="ED2442" s="223"/>
      <c r="EE2442" s="223"/>
      <c r="EF2442" s="223"/>
      <c r="EG2442" s="223"/>
      <c r="EH2442" s="223"/>
      <c r="EI2442" s="223"/>
      <c r="EJ2442" s="223"/>
      <c r="EK2442" s="223"/>
      <c r="EL2442" s="223"/>
      <c r="EM2442" s="223"/>
      <c r="EN2442" s="223"/>
      <c r="EO2442" s="223"/>
      <c r="EP2442" s="223"/>
      <c r="EQ2442" s="223"/>
      <c r="ER2442" s="223"/>
      <c r="ES2442" s="223"/>
      <c r="ET2442" s="223"/>
      <c r="EU2442" s="223"/>
      <c r="EV2442" s="223"/>
      <c r="EW2442" s="223"/>
      <c r="EX2442" s="223"/>
      <c r="EY2442" s="223"/>
      <c r="EZ2442" s="223"/>
      <c r="FA2442" s="223"/>
      <c r="FB2442" s="223"/>
      <c r="FC2442" s="223"/>
      <c r="FD2442" s="223"/>
      <c r="FE2442" s="223"/>
      <c r="FF2442" s="223"/>
      <c r="FG2442" s="223"/>
      <c r="FH2442" s="223"/>
      <c r="FI2442" s="223"/>
      <c r="FJ2442" s="223"/>
      <c r="FK2442" s="223"/>
      <c r="FL2442" s="223"/>
      <c r="FM2442" s="223"/>
      <c r="FN2442" s="223"/>
      <c r="FO2442" s="223"/>
      <c r="FP2442" s="223"/>
      <c r="FQ2442" s="223"/>
      <c r="FR2442" s="223"/>
      <c r="FS2442" s="223"/>
      <c r="FT2442" s="223"/>
      <c r="FU2442" s="223"/>
      <c r="FV2442" s="223"/>
      <c r="FW2442" s="223"/>
      <c r="FX2442" s="223"/>
      <c r="FY2442" s="223"/>
      <c r="FZ2442" s="223"/>
      <c r="GA2442" s="223"/>
      <c r="GB2442" s="223"/>
      <c r="GC2442" s="223"/>
      <c r="GD2442" s="223"/>
      <c r="GE2442" s="223"/>
      <c r="GF2442" s="223"/>
      <c r="GG2442" s="223"/>
      <c r="GH2442" s="223"/>
      <c r="GI2442" s="223"/>
      <c r="GJ2442" s="223"/>
      <c r="GK2442" s="223"/>
      <c r="GL2442" s="223"/>
      <c r="GM2442" s="223"/>
      <c r="GN2442" s="223"/>
      <c r="GO2442" s="223"/>
      <c r="GP2442" s="223"/>
      <c r="GQ2442" s="223"/>
      <c r="GR2442" s="223"/>
      <c r="GS2442" s="223"/>
      <c r="GT2442" s="223"/>
      <c r="GU2442" s="223"/>
      <c r="GV2442" s="223"/>
      <c r="GW2442" s="223"/>
      <c r="GX2442" s="223"/>
      <c r="GY2442" s="223"/>
      <c r="GZ2442" s="223"/>
      <c r="HA2442" s="223"/>
      <c r="HB2442" s="223"/>
      <c r="HC2442" s="223"/>
      <c r="HD2442" s="223"/>
      <c r="HE2442" s="223"/>
      <c r="HF2442" s="223"/>
      <c r="HG2442" s="223"/>
      <c r="HH2442" s="223"/>
      <c r="HI2442" s="223"/>
      <c r="HJ2442" s="223"/>
      <c r="HK2442" s="223"/>
      <c r="HL2442" s="223"/>
      <c r="HM2442" s="223"/>
      <c r="HN2442" s="223"/>
      <c r="HO2442" s="223"/>
      <c r="HP2442" s="223"/>
      <c r="HQ2442" s="223"/>
      <c r="HR2442" s="223"/>
      <c r="HS2442" s="223"/>
      <c r="HT2442" s="223"/>
      <c r="HU2442" s="223"/>
      <c r="HV2442" s="223"/>
      <c r="HW2442" s="223"/>
      <c r="HX2442" s="223"/>
      <c r="HY2442" s="223"/>
      <c r="HZ2442" s="223"/>
      <c r="IA2442" s="223"/>
      <c r="IB2442" s="223"/>
      <c r="IC2442" s="223"/>
      <c r="ID2442" s="223"/>
      <c r="IE2442" s="223"/>
      <c r="IF2442" s="223"/>
      <c r="IG2442" s="223"/>
      <c r="IH2442" s="223"/>
      <c r="II2442" s="223"/>
      <c r="IJ2442" s="223"/>
      <c r="IK2442" s="223"/>
      <c r="IL2442" s="223"/>
      <c r="IM2442" s="223"/>
      <c r="IN2442" s="223"/>
      <c r="IO2442" s="223"/>
      <c r="IP2442" s="223"/>
      <c r="IQ2442" s="223"/>
      <c r="IR2442" s="223"/>
      <c r="IS2442" s="223"/>
      <c r="IT2442" s="223"/>
      <c r="IU2442" s="223"/>
      <c r="IV2442" s="223"/>
    </row>
    <row r="2443" spans="46:256" s="221" customFormat="1" x14ac:dyDescent="0.2">
      <c r="AT2443" s="222"/>
      <c r="AU2443" s="222"/>
      <c r="BD2443" s="223"/>
      <c r="BE2443" s="223"/>
      <c r="BF2443" s="223"/>
      <c r="BG2443" s="223"/>
      <c r="BH2443" s="223"/>
      <c r="BI2443" s="223"/>
      <c r="BJ2443" s="223"/>
      <c r="BK2443" s="223"/>
      <c r="BL2443" s="223"/>
      <c r="BM2443" s="223"/>
      <c r="BN2443" s="223"/>
      <c r="BO2443" s="223"/>
      <c r="BP2443" s="223"/>
      <c r="BQ2443" s="223"/>
      <c r="BR2443" s="223"/>
      <c r="BS2443" s="223"/>
      <c r="BT2443" s="223"/>
      <c r="BU2443" s="223"/>
      <c r="BV2443" s="223"/>
      <c r="BW2443" s="223"/>
      <c r="BX2443" s="223"/>
      <c r="BY2443" s="223"/>
      <c r="BZ2443" s="223"/>
      <c r="CA2443" s="223"/>
      <c r="CB2443" s="223"/>
      <c r="CC2443" s="223"/>
      <c r="CD2443" s="223"/>
      <c r="CE2443" s="223"/>
      <c r="CF2443" s="223"/>
      <c r="CG2443" s="223"/>
      <c r="CH2443" s="223"/>
      <c r="CI2443" s="223"/>
      <c r="CJ2443" s="223"/>
      <c r="CK2443" s="223"/>
      <c r="CL2443" s="223"/>
      <c r="CM2443" s="223"/>
      <c r="CN2443" s="223"/>
      <c r="CO2443" s="223"/>
      <c r="CP2443" s="223"/>
      <c r="CQ2443" s="223"/>
      <c r="CR2443" s="223"/>
      <c r="CS2443" s="223"/>
      <c r="CT2443" s="223"/>
      <c r="CU2443" s="223"/>
      <c r="CV2443" s="223"/>
      <c r="CW2443" s="223"/>
      <c r="CX2443" s="223"/>
      <c r="CY2443" s="223"/>
      <c r="CZ2443" s="223"/>
      <c r="DA2443" s="223"/>
      <c r="DB2443" s="223"/>
      <c r="DC2443" s="223"/>
      <c r="DD2443" s="223"/>
      <c r="DE2443" s="223"/>
      <c r="DF2443" s="223"/>
      <c r="DG2443" s="223"/>
      <c r="DH2443" s="223"/>
      <c r="DI2443" s="223"/>
      <c r="DJ2443" s="223"/>
      <c r="DK2443" s="223"/>
      <c r="DL2443" s="223"/>
      <c r="DM2443" s="223"/>
      <c r="DN2443" s="223"/>
      <c r="DO2443" s="223"/>
      <c r="DP2443" s="223"/>
      <c r="DQ2443" s="223"/>
      <c r="DR2443" s="223"/>
      <c r="DS2443" s="223"/>
      <c r="DT2443" s="223"/>
      <c r="DU2443" s="223"/>
      <c r="DV2443" s="223"/>
      <c r="DW2443" s="223"/>
      <c r="DX2443" s="223"/>
      <c r="DY2443" s="223"/>
      <c r="DZ2443" s="223"/>
      <c r="EA2443" s="223"/>
      <c r="EB2443" s="223"/>
      <c r="EC2443" s="223"/>
      <c r="ED2443" s="223"/>
      <c r="EE2443" s="223"/>
      <c r="EF2443" s="223"/>
      <c r="EG2443" s="223"/>
      <c r="EH2443" s="223"/>
      <c r="EI2443" s="223"/>
      <c r="EJ2443" s="223"/>
      <c r="EK2443" s="223"/>
      <c r="EL2443" s="223"/>
      <c r="EM2443" s="223"/>
      <c r="EN2443" s="223"/>
      <c r="EO2443" s="223"/>
      <c r="EP2443" s="223"/>
      <c r="EQ2443" s="223"/>
      <c r="ER2443" s="223"/>
      <c r="ES2443" s="223"/>
      <c r="ET2443" s="223"/>
      <c r="EU2443" s="223"/>
      <c r="EV2443" s="223"/>
      <c r="EW2443" s="223"/>
      <c r="EX2443" s="223"/>
      <c r="EY2443" s="223"/>
      <c r="EZ2443" s="223"/>
      <c r="FA2443" s="223"/>
      <c r="FB2443" s="223"/>
      <c r="FC2443" s="223"/>
      <c r="FD2443" s="223"/>
      <c r="FE2443" s="223"/>
      <c r="FF2443" s="223"/>
      <c r="FG2443" s="223"/>
      <c r="FH2443" s="223"/>
      <c r="FI2443" s="223"/>
      <c r="FJ2443" s="223"/>
      <c r="FK2443" s="223"/>
      <c r="FL2443" s="223"/>
      <c r="FM2443" s="223"/>
      <c r="FN2443" s="223"/>
      <c r="FO2443" s="223"/>
      <c r="FP2443" s="223"/>
      <c r="FQ2443" s="223"/>
      <c r="FR2443" s="223"/>
      <c r="FS2443" s="223"/>
      <c r="FT2443" s="223"/>
      <c r="FU2443" s="223"/>
      <c r="FV2443" s="223"/>
      <c r="FW2443" s="223"/>
      <c r="FX2443" s="223"/>
      <c r="FY2443" s="223"/>
      <c r="FZ2443" s="223"/>
      <c r="GA2443" s="223"/>
      <c r="GB2443" s="223"/>
      <c r="GC2443" s="223"/>
      <c r="GD2443" s="223"/>
      <c r="GE2443" s="223"/>
      <c r="GF2443" s="223"/>
      <c r="GG2443" s="223"/>
      <c r="GH2443" s="223"/>
      <c r="GI2443" s="223"/>
      <c r="GJ2443" s="223"/>
      <c r="GK2443" s="223"/>
      <c r="GL2443" s="223"/>
      <c r="GM2443" s="223"/>
      <c r="GN2443" s="223"/>
      <c r="GO2443" s="223"/>
      <c r="GP2443" s="223"/>
      <c r="GQ2443" s="223"/>
      <c r="GR2443" s="223"/>
      <c r="GS2443" s="223"/>
      <c r="GT2443" s="223"/>
      <c r="GU2443" s="223"/>
      <c r="GV2443" s="223"/>
      <c r="GW2443" s="223"/>
      <c r="GX2443" s="223"/>
      <c r="GY2443" s="223"/>
      <c r="GZ2443" s="223"/>
      <c r="HA2443" s="223"/>
      <c r="HB2443" s="223"/>
      <c r="HC2443" s="223"/>
      <c r="HD2443" s="223"/>
      <c r="HE2443" s="223"/>
      <c r="HF2443" s="223"/>
      <c r="HG2443" s="223"/>
      <c r="HH2443" s="223"/>
      <c r="HI2443" s="223"/>
      <c r="HJ2443" s="223"/>
      <c r="HK2443" s="223"/>
      <c r="HL2443" s="223"/>
      <c r="HM2443" s="223"/>
      <c r="HN2443" s="223"/>
      <c r="HO2443" s="223"/>
      <c r="HP2443" s="223"/>
      <c r="HQ2443" s="223"/>
      <c r="HR2443" s="223"/>
      <c r="HS2443" s="223"/>
      <c r="HT2443" s="223"/>
      <c r="HU2443" s="223"/>
      <c r="HV2443" s="223"/>
      <c r="HW2443" s="223"/>
      <c r="HX2443" s="223"/>
      <c r="HY2443" s="223"/>
      <c r="HZ2443" s="223"/>
      <c r="IA2443" s="223"/>
      <c r="IB2443" s="223"/>
      <c r="IC2443" s="223"/>
      <c r="ID2443" s="223"/>
      <c r="IE2443" s="223"/>
      <c r="IF2443" s="223"/>
      <c r="IG2443" s="223"/>
      <c r="IH2443" s="223"/>
      <c r="II2443" s="223"/>
      <c r="IJ2443" s="223"/>
      <c r="IK2443" s="223"/>
      <c r="IL2443" s="223"/>
      <c r="IM2443" s="223"/>
      <c r="IN2443" s="223"/>
      <c r="IO2443" s="223"/>
      <c r="IP2443" s="223"/>
      <c r="IQ2443" s="223"/>
      <c r="IR2443" s="223"/>
      <c r="IS2443" s="223"/>
      <c r="IT2443" s="223"/>
      <c r="IU2443" s="223"/>
      <c r="IV2443" s="223"/>
    </row>
    <row r="2444" spans="46:256" s="221" customFormat="1" x14ac:dyDescent="0.2">
      <c r="AT2444" s="222"/>
      <c r="AU2444" s="222"/>
      <c r="BD2444" s="223"/>
      <c r="BE2444" s="223"/>
      <c r="BF2444" s="223"/>
      <c r="BG2444" s="223"/>
      <c r="BH2444" s="223"/>
      <c r="BI2444" s="223"/>
      <c r="BJ2444" s="223"/>
      <c r="BK2444" s="223"/>
      <c r="BL2444" s="223"/>
      <c r="BM2444" s="223"/>
      <c r="BN2444" s="223"/>
      <c r="BO2444" s="223"/>
      <c r="BP2444" s="223"/>
      <c r="BQ2444" s="223"/>
      <c r="BR2444" s="223"/>
      <c r="BS2444" s="223"/>
      <c r="BT2444" s="223"/>
      <c r="BU2444" s="223"/>
      <c r="BV2444" s="223"/>
      <c r="BW2444" s="223"/>
      <c r="BX2444" s="223"/>
      <c r="BY2444" s="223"/>
      <c r="BZ2444" s="223"/>
      <c r="CA2444" s="223"/>
      <c r="CB2444" s="223"/>
      <c r="CC2444" s="223"/>
      <c r="CD2444" s="223"/>
      <c r="CE2444" s="223"/>
      <c r="CF2444" s="223"/>
      <c r="CG2444" s="223"/>
      <c r="CH2444" s="223"/>
      <c r="CI2444" s="223"/>
      <c r="CJ2444" s="223"/>
      <c r="CK2444" s="223"/>
      <c r="CL2444" s="223"/>
      <c r="CM2444" s="223"/>
      <c r="CN2444" s="223"/>
      <c r="CO2444" s="223"/>
      <c r="CP2444" s="223"/>
      <c r="CQ2444" s="223"/>
      <c r="CR2444" s="223"/>
      <c r="CS2444" s="223"/>
      <c r="CT2444" s="223"/>
      <c r="CU2444" s="223"/>
      <c r="CV2444" s="223"/>
      <c r="CW2444" s="223"/>
      <c r="CX2444" s="223"/>
      <c r="CY2444" s="223"/>
      <c r="CZ2444" s="223"/>
      <c r="DA2444" s="223"/>
      <c r="DB2444" s="223"/>
      <c r="DC2444" s="223"/>
      <c r="DD2444" s="223"/>
      <c r="DE2444" s="223"/>
      <c r="DF2444" s="223"/>
      <c r="DG2444" s="223"/>
      <c r="DH2444" s="223"/>
      <c r="DI2444" s="223"/>
      <c r="DJ2444" s="223"/>
      <c r="DK2444" s="223"/>
      <c r="DL2444" s="223"/>
      <c r="DM2444" s="223"/>
      <c r="DN2444" s="223"/>
      <c r="DO2444" s="223"/>
      <c r="DP2444" s="223"/>
      <c r="DQ2444" s="223"/>
      <c r="DR2444" s="223"/>
      <c r="DS2444" s="223"/>
      <c r="DT2444" s="223"/>
      <c r="DU2444" s="223"/>
      <c r="DV2444" s="223"/>
      <c r="DW2444" s="223"/>
      <c r="DX2444" s="223"/>
      <c r="DY2444" s="223"/>
      <c r="DZ2444" s="223"/>
      <c r="EA2444" s="223"/>
      <c r="EB2444" s="223"/>
      <c r="EC2444" s="223"/>
      <c r="ED2444" s="223"/>
      <c r="EE2444" s="223"/>
      <c r="EF2444" s="223"/>
      <c r="EG2444" s="223"/>
      <c r="EH2444" s="223"/>
      <c r="EI2444" s="223"/>
      <c r="EJ2444" s="223"/>
      <c r="EK2444" s="223"/>
      <c r="EL2444" s="223"/>
      <c r="EM2444" s="223"/>
      <c r="EN2444" s="223"/>
      <c r="EO2444" s="223"/>
      <c r="EP2444" s="223"/>
      <c r="EQ2444" s="223"/>
      <c r="ER2444" s="223"/>
      <c r="ES2444" s="223"/>
      <c r="ET2444" s="223"/>
      <c r="EU2444" s="223"/>
      <c r="EV2444" s="223"/>
      <c r="EW2444" s="223"/>
      <c r="EX2444" s="223"/>
      <c r="EY2444" s="223"/>
      <c r="EZ2444" s="223"/>
      <c r="FA2444" s="223"/>
      <c r="FB2444" s="223"/>
      <c r="FC2444" s="223"/>
      <c r="FD2444" s="223"/>
      <c r="FE2444" s="223"/>
      <c r="FF2444" s="223"/>
      <c r="FG2444" s="223"/>
      <c r="FH2444" s="223"/>
      <c r="FI2444" s="223"/>
      <c r="FJ2444" s="223"/>
      <c r="FK2444" s="223"/>
      <c r="FL2444" s="223"/>
      <c r="FM2444" s="223"/>
      <c r="FN2444" s="223"/>
      <c r="FO2444" s="223"/>
      <c r="FP2444" s="223"/>
      <c r="FQ2444" s="223"/>
      <c r="FR2444" s="223"/>
      <c r="FS2444" s="223"/>
      <c r="FT2444" s="223"/>
      <c r="FU2444" s="223"/>
      <c r="FV2444" s="223"/>
      <c r="FW2444" s="223"/>
      <c r="FX2444" s="223"/>
      <c r="FY2444" s="223"/>
      <c r="FZ2444" s="223"/>
      <c r="GA2444" s="223"/>
      <c r="GB2444" s="223"/>
      <c r="GC2444" s="223"/>
      <c r="GD2444" s="223"/>
      <c r="GE2444" s="223"/>
      <c r="GF2444" s="223"/>
      <c r="GG2444" s="223"/>
      <c r="GH2444" s="223"/>
      <c r="GI2444" s="223"/>
      <c r="GJ2444" s="223"/>
      <c r="GK2444" s="223"/>
      <c r="GL2444" s="223"/>
      <c r="GM2444" s="223"/>
      <c r="GN2444" s="223"/>
      <c r="GO2444" s="223"/>
      <c r="GP2444" s="223"/>
      <c r="GQ2444" s="223"/>
      <c r="GR2444" s="223"/>
      <c r="GS2444" s="223"/>
      <c r="GT2444" s="223"/>
      <c r="GU2444" s="223"/>
      <c r="GV2444" s="223"/>
      <c r="GW2444" s="223"/>
      <c r="GX2444" s="223"/>
      <c r="GY2444" s="223"/>
      <c r="GZ2444" s="223"/>
      <c r="HA2444" s="223"/>
      <c r="HB2444" s="223"/>
      <c r="HC2444" s="223"/>
      <c r="HD2444" s="223"/>
      <c r="HE2444" s="223"/>
      <c r="HF2444" s="223"/>
      <c r="HG2444" s="223"/>
      <c r="HH2444" s="223"/>
      <c r="HI2444" s="223"/>
      <c r="HJ2444" s="223"/>
      <c r="HK2444" s="223"/>
      <c r="HL2444" s="223"/>
      <c r="HM2444" s="223"/>
      <c r="HN2444" s="223"/>
      <c r="HO2444" s="223"/>
      <c r="HP2444" s="223"/>
      <c r="HQ2444" s="223"/>
      <c r="HR2444" s="223"/>
      <c r="HS2444" s="223"/>
      <c r="HT2444" s="223"/>
      <c r="HU2444" s="223"/>
      <c r="HV2444" s="223"/>
      <c r="HW2444" s="223"/>
      <c r="HX2444" s="223"/>
      <c r="HY2444" s="223"/>
      <c r="HZ2444" s="223"/>
      <c r="IA2444" s="223"/>
      <c r="IB2444" s="223"/>
      <c r="IC2444" s="223"/>
      <c r="ID2444" s="223"/>
      <c r="IE2444" s="223"/>
      <c r="IF2444" s="223"/>
      <c r="IG2444" s="223"/>
      <c r="IH2444" s="223"/>
      <c r="II2444" s="223"/>
      <c r="IJ2444" s="223"/>
      <c r="IK2444" s="223"/>
      <c r="IL2444" s="223"/>
      <c r="IM2444" s="223"/>
      <c r="IN2444" s="223"/>
      <c r="IO2444" s="223"/>
      <c r="IP2444" s="223"/>
      <c r="IQ2444" s="223"/>
      <c r="IR2444" s="223"/>
      <c r="IS2444" s="223"/>
      <c r="IT2444" s="223"/>
      <c r="IU2444" s="223"/>
      <c r="IV2444" s="223"/>
    </row>
    <row r="2445" spans="46:256" s="221" customFormat="1" x14ac:dyDescent="0.2">
      <c r="AT2445" s="222"/>
      <c r="AU2445" s="222"/>
      <c r="BD2445" s="223"/>
      <c r="BE2445" s="223"/>
      <c r="BF2445" s="223"/>
      <c r="BG2445" s="223"/>
      <c r="BH2445" s="223"/>
      <c r="BI2445" s="223"/>
      <c r="BJ2445" s="223"/>
      <c r="BK2445" s="223"/>
      <c r="BL2445" s="223"/>
      <c r="BM2445" s="223"/>
      <c r="BN2445" s="223"/>
      <c r="BO2445" s="223"/>
      <c r="BP2445" s="223"/>
      <c r="BQ2445" s="223"/>
      <c r="BR2445" s="223"/>
      <c r="BS2445" s="223"/>
      <c r="BT2445" s="223"/>
      <c r="BU2445" s="223"/>
      <c r="BV2445" s="223"/>
      <c r="BW2445" s="223"/>
      <c r="BX2445" s="223"/>
      <c r="BY2445" s="223"/>
      <c r="BZ2445" s="223"/>
      <c r="CA2445" s="223"/>
      <c r="CB2445" s="223"/>
      <c r="CC2445" s="223"/>
      <c r="CD2445" s="223"/>
      <c r="CE2445" s="223"/>
      <c r="CF2445" s="223"/>
      <c r="CG2445" s="223"/>
      <c r="CH2445" s="223"/>
      <c r="CI2445" s="223"/>
      <c r="CJ2445" s="223"/>
      <c r="CK2445" s="223"/>
      <c r="CL2445" s="223"/>
      <c r="CM2445" s="223"/>
      <c r="CN2445" s="223"/>
      <c r="CO2445" s="223"/>
      <c r="CP2445" s="223"/>
      <c r="CQ2445" s="223"/>
      <c r="CR2445" s="223"/>
      <c r="CS2445" s="223"/>
      <c r="CT2445" s="223"/>
      <c r="CU2445" s="223"/>
      <c r="CV2445" s="223"/>
      <c r="CW2445" s="223"/>
      <c r="CX2445" s="223"/>
      <c r="CY2445" s="223"/>
      <c r="CZ2445" s="223"/>
      <c r="DA2445" s="223"/>
      <c r="DB2445" s="223"/>
      <c r="DC2445" s="223"/>
      <c r="DD2445" s="223"/>
      <c r="DE2445" s="223"/>
      <c r="DF2445" s="223"/>
      <c r="DG2445" s="223"/>
      <c r="DH2445" s="223"/>
      <c r="DI2445" s="223"/>
      <c r="DJ2445" s="223"/>
      <c r="DK2445" s="223"/>
      <c r="DL2445" s="223"/>
      <c r="DM2445" s="223"/>
      <c r="DN2445" s="223"/>
      <c r="DO2445" s="223"/>
      <c r="DP2445" s="223"/>
      <c r="DQ2445" s="223"/>
      <c r="DR2445" s="223"/>
      <c r="DS2445" s="223"/>
      <c r="DT2445" s="223"/>
      <c r="DU2445" s="223"/>
      <c r="DV2445" s="223"/>
      <c r="DW2445" s="223"/>
      <c r="DX2445" s="223"/>
      <c r="DY2445" s="223"/>
      <c r="DZ2445" s="223"/>
      <c r="EA2445" s="223"/>
      <c r="EB2445" s="223"/>
      <c r="EC2445" s="223"/>
      <c r="ED2445" s="223"/>
      <c r="EE2445" s="223"/>
      <c r="EF2445" s="223"/>
      <c r="EG2445" s="223"/>
      <c r="EH2445" s="223"/>
      <c r="EI2445" s="223"/>
      <c r="EJ2445" s="223"/>
      <c r="EK2445" s="223"/>
      <c r="EL2445" s="223"/>
      <c r="EM2445" s="223"/>
      <c r="EN2445" s="223"/>
      <c r="EO2445" s="223"/>
      <c r="EP2445" s="223"/>
      <c r="EQ2445" s="223"/>
      <c r="ER2445" s="223"/>
      <c r="ES2445" s="223"/>
      <c r="ET2445" s="223"/>
      <c r="EU2445" s="223"/>
      <c r="EV2445" s="223"/>
      <c r="EW2445" s="223"/>
      <c r="EX2445" s="223"/>
      <c r="EY2445" s="223"/>
      <c r="EZ2445" s="223"/>
      <c r="FA2445" s="223"/>
      <c r="FB2445" s="223"/>
      <c r="FC2445" s="223"/>
      <c r="FD2445" s="223"/>
      <c r="FE2445" s="223"/>
      <c r="FF2445" s="223"/>
      <c r="FG2445" s="223"/>
      <c r="FH2445" s="223"/>
      <c r="FI2445" s="223"/>
      <c r="FJ2445" s="223"/>
      <c r="FK2445" s="223"/>
      <c r="FL2445" s="223"/>
      <c r="FM2445" s="223"/>
      <c r="FN2445" s="223"/>
      <c r="FO2445" s="223"/>
      <c r="FP2445" s="223"/>
      <c r="FQ2445" s="223"/>
      <c r="FR2445" s="223"/>
      <c r="FS2445" s="223"/>
      <c r="FT2445" s="223"/>
      <c r="FU2445" s="223"/>
      <c r="FV2445" s="223"/>
      <c r="FW2445" s="223"/>
      <c r="FX2445" s="223"/>
      <c r="FY2445" s="223"/>
      <c r="FZ2445" s="223"/>
      <c r="GA2445" s="223"/>
      <c r="GB2445" s="223"/>
      <c r="GC2445" s="223"/>
      <c r="GD2445" s="223"/>
      <c r="GE2445" s="223"/>
      <c r="GF2445" s="223"/>
      <c r="GG2445" s="223"/>
      <c r="GH2445" s="223"/>
      <c r="GI2445" s="223"/>
      <c r="GJ2445" s="223"/>
      <c r="GK2445" s="223"/>
      <c r="GL2445" s="223"/>
      <c r="GM2445" s="223"/>
      <c r="GN2445" s="223"/>
      <c r="GO2445" s="223"/>
      <c r="GP2445" s="223"/>
      <c r="GQ2445" s="223"/>
      <c r="GR2445" s="223"/>
      <c r="GS2445" s="223"/>
      <c r="GT2445" s="223"/>
      <c r="GU2445" s="223"/>
      <c r="GV2445" s="223"/>
      <c r="GW2445" s="223"/>
      <c r="GX2445" s="223"/>
      <c r="GY2445" s="223"/>
      <c r="GZ2445" s="223"/>
      <c r="HA2445" s="223"/>
      <c r="HB2445" s="223"/>
      <c r="HC2445" s="223"/>
      <c r="HD2445" s="223"/>
      <c r="HE2445" s="223"/>
      <c r="HF2445" s="223"/>
      <c r="HG2445" s="223"/>
      <c r="HH2445" s="223"/>
      <c r="HI2445" s="223"/>
      <c r="HJ2445" s="223"/>
      <c r="HK2445" s="223"/>
      <c r="HL2445" s="223"/>
      <c r="HM2445" s="223"/>
      <c r="HN2445" s="223"/>
      <c r="HO2445" s="223"/>
      <c r="HP2445" s="223"/>
      <c r="HQ2445" s="223"/>
      <c r="HR2445" s="223"/>
      <c r="HS2445" s="223"/>
      <c r="HT2445" s="223"/>
      <c r="HU2445" s="223"/>
      <c r="HV2445" s="223"/>
      <c r="HW2445" s="223"/>
      <c r="HX2445" s="223"/>
      <c r="HY2445" s="223"/>
      <c r="HZ2445" s="223"/>
      <c r="IA2445" s="223"/>
      <c r="IB2445" s="223"/>
      <c r="IC2445" s="223"/>
      <c r="ID2445" s="223"/>
      <c r="IE2445" s="223"/>
      <c r="IF2445" s="223"/>
      <c r="IG2445" s="223"/>
      <c r="IH2445" s="223"/>
      <c r="II2445" s="223"/>
      <c r="IJ2445" s="223"/>
      <c r="IK2445" s="223"/>
      <c r="IL2445" s="223"/>
      <c r="IM2445" s="223"/>
      <c r="IN2445" s="223"/>
      <c r="IO2445" s="223"/>
      <c r="IP2445" s="223"/>
      <c r="IQ2445" s="223"/>
      <c r="IR2445" s="223"/>
      <c r="IS2445" s="223"/>
      <c r="IT2445" s="223"/>
      <c r="IU2445" s="223"/>
      <c r="IV2445" s="223"/>
    </row>
    <row r="2446" spans="46:256" s="221" customFormat="1" x14ac:dyDescent="0.2">
      <c r="AT2446" s="222"/>
      <c r="AU2446" s="222"/>
      <c r="BD2446" s="223"/>
      <c r="BE2446" s="223"/>
      <c r="BF2446" s="223"/>
      <c r="BG2446" s="223"/>
      <c r="BH2446" s="223"/>
      <c r="BI2446" s="223"/>
      <c r="BJ2446" s="223"/>
      <c r="BK2446" s="223"/>
      <c r="BL2446" s="223"/>
      <c r="BM2446" s="223"/>
      <c r="BN2446" s="223"/>
      <c r="BO2446" s="223"/>
      <c r="BP2446" s="223"/>
      <c r="BQ2446" s="223"/>
      <c r="BR2446" s="223"/>
      <c r="BS2446" s="223"/>
      <c r="BT2446" s="223"/>
      <c r="BU2446" s="223"/>
      <c r="BV2446" s="223"/>
      <c r="BW2446" s="223"/>
      <c r="BX2446" s="223"/>
      <c r="BY2446" s="223"/>
      <c r="BZ2446" s="223"/>
      <c r="CA2446" s="223"/>
      <c r="CB2446" s="223"/>
      <c r="CC2446" s="223"/>
      <c r="CD2446" s="223"/>
      <c r="CE2446" s="223"/>
      <c r="CF2446" s="223"/>
      <c r="CG2446" s="223"/>
      <c r="CH2446" s="223"/>
      <c r="CI2446" s="223"/>
      <c r="CJ2446" s="223"/>
      <c r="CK2446" s="223"/>
      <c r="CL2446" s="223"/>
      <c r="CM2446" s="223"/>
      <c r="CN2446" s="223"/>
      <c r="CO2446" s="223"/>
      <c r="CP2446" s="223"/>
      <c r="CQ2446" s="223"/>
      <c r="CR2446" s="223"/>
      <c r="CS2446" s="223"/>
      <c r="CT2446" s="223"/>
      <c r="CU2446" s="223"/>
      <c r="CV2446" s="223"/>
      <c r="CW2446" s="223"/>
      <c r="CX2446" s="223"/>
      <c r="CY2446" s="223"/>
      <c r="CZ2446" s="223"/>
      <c r="DA2446" s="223"/>
      <c r="DB2446" s="223"/>
      <c r="DC2446" s="223"/>
      <c r="DD2446" s="223"/>
      <c r="DE2446" s="223"/>
      <c r="DF2446" s="223"/>
      <c r="DG2446" s="223"/>
      <c r="DH2446" s="223"/>
      <c r="DI2446" s="223"/>
      <c r="DJ2446" s="223"/>
      <c r="DK2446" s="223"/>
      <c r="DL2446" s="223"/>
      <c r="DM2446" s="223"/>
      <c r="DN2446" s="223"/>
      <c r="DO2446" s="223"/>
      <c r="DP2446" s="223"/>
      <c r="DQ2446" s="223"/>
      <c r="DR2446" s="223"/>
      <c r="DS2446" s="223"/>
      <c r="DT2446" s="223"/>
      <c r="DU2446" s="223"/>
      <c r="DV2446" s="223"/>
      <c r="DW2446" s="223"/>
      <c r="DX2446" s="223"/>
      <c r="DY2446" s="223"/>
      <c r="DZ2446" s="223"/>
      <c r="EA2446" s="223"/>
      <c r="EB2446" s="223"/>
      <c r="EC2446" s="223"/>
      <c r="ED2446" s="223"/>
      <c r="EE2446" s="223"/>
      <c r="EF2446" s="223"/>
      <c r="EG2446" s="223"/>
      <c r="EH2446" s="223"/>
      <c r="EI2446" s="223"/>
      <c r="EJ2446" s="223"/>
      <c r="EK2446" s="223"/>
      <c r="EL2446" s="223"/>
      <c r="EM2446" s="223"/>
      <c r="EN2446" s="223"/>
      <c r="EO2446" s="223"/>
      <c r="EP2446" s="223"/>
      <c r="EQ2446" s="223"/>
      <c r="ER2446" s="223"/>
      <c r="ES2446" s="223"/>
      <c r="ET2446" s="223"/>
      <c r="EU2446" s="223"/>
      <c r="EV2446" s="223"/>
      <c r="EW2446" s="223"/>
      <c r="EX2446" s="223"/>
      <c r="EY2446" s="223"/>
      <c r="EZ2446" s="223"/>
      <c r="FA2446" s="223"/>
      <c r="FB2446" s="223"/>
      <c r="FC2446" s="223"/>
      <c r="FD2446" s="223"/>
      <c r="FE2446" s="223"/>
      <c r="FF2446" s="223"/>
      <c r="FG2446" s="223"/>
      <c r="FH2446" s="223"/>
      <c r="FI2446" s="223"/>
      <c r="FJ2446" s="223"/>
      <c r="FK2446" s="223"/>
      <c r="FL2446" s="223"/>
      <c r="FM2446" s="223"/>
      <c r="FN2446" s="223"/>
      <c r="FO2446" s="223"/>
      <c r="FP2446" s="223"/>
      <c r="FQ2446" s="223"/>
      <c r="FR2446" s="223"/>
      <c r="FS2446" s="223"/>
      <c r="FT2446" s="223"/>
      <c r="FU2446" s="223"/>
      <c r="FV2446" s="223"/>
      <c r="FW2446" s="223"/>
      <c r="FX2446" s="223"/>
      <c r="FY2446" s="223"/>
      <c r="FZ2446" s="223"/>
      <c r="GA2446" s="223"/>
      <c r="GB2446" s="223"/>
      <c r="GC2446" s="223"/>
      <c r="GD2446" s="223"/>
      <c r="GE2446" s="223"/>
      <c r="GF2446" s="223"/>
      <c r="GG2446" s="223"/>
      <c r="GH2446" s="223"/>
      <c r="GI2446" s="223"/>
      <c r="GJ2446" s="223"/>
      <c r="GK2446" s="223"/>
      <c r="GL2446" s="223"/>
      <c r="GM2446" s="223"/>
      <c r="GN2446" s="223"/>
      <c r="GO2446" s="223"/>
      <c r="GP2446" s="223"/>
      <c r="GQ2446" s="223"/>
      <c r="GR2446" s="223"/>
      <c r="GS2446" s="223"/>
      <c r="GT2446" s="223"/>
      <c r="GU2446" s="223"/>
      <c r="GV2446" s="223"/>
      <c r="GW2446" s="223"/>
      <c r="GX2446" s="223"/>
      <c r="GY2446" s="223"/>
      <c r="GZ2446" s="223"/>
      <c r="HA2446" s="223"/>
      <c r="HB2446" s="223"/>
      <c r="HC2446" s="223"/>
      <c r="HD2446" s="223"/>
      <c r="HE2446" s="223"/>
      <c r="HF2446" s="223"/>
      <c r="HG2446" s="223"/>
      <c r="HH2446" s="223"/>
      <c r="HI2446" s="223"/>
      <c r="HJ2446" s="223"/>
      <c r="HK2446" s="223"/>
      <c r="HL2446" s="223"/>
      <c r="HM2446" s="223"/>
      <c r="HN2446" s="223"/>
      <c r="HO2446" s="223"/>
      <c r="HP2446" s="223"/>
      <c r="HQ2446" s="223"/>
      <c r="HR2446" s="223"/>
      <c r="HS2446" s="223"/>
      <c r="HT2446" s="223"/>
      <c r="HU2446" s="223"/>
      <c r="HV2446" s="223"/>
      <c r="HW2446" s="223"/>
      <c r="HX2446" s="223"/>
      <c r="HY2446" s="223"/>
      <c r="HZ2446" s="223"/>
      <c r="IA2446" s="223"/>
      <c r="IB2446" s="223"/>
      <c r="IC2446" s="223"/>
      <c r="ID2446" s="223"/>
      <c r="IE2446" s="223"/>
      <c r="IF2446" s="223"/>
      <c r="IG2446" s="223"/>
      <c r="IH2446" s="223"/>
      <c r="II2446" s="223"/>
      <c r="IJ2446" s="223"/>
      <c r="IK2446" s="223"/>
      <c r="IL2446" s="223"/>
      <c r="IM2446" s="223"/>
      <c r="IN2446" s="223"/>
      <c r="IO2446" s="223"/>
      <c r="IP2446" s="223"/>
      <c r="IQ2446" s="223"/>
      <c r="IR2446" s="223"/>
      <c r="IS2446" s="223"/>
      <c r="IT2446" s="223"/>
      <c r="IU2446" s="223"/>
      <c r="IV2446" s="223"/>
    </row>
    <row r="2447" spans="46:256" s="221" customFormat="1" x14ac:dyDescent="0.2">
      <c r="AT2447" s="222"/>
      <c r="AU2447" s="222"/>
      <c r="BD2447" s="223"/>
      <c r="BE2447" s="223"/>
      <c r="BF2447" s="223"/>
      <c r="BG2447" s="223"/>
      <c r="BH2447" s="223"/>
      <c r="BI2447" s="223"/>
      <c r="BJ2447" s="223"/>
      <c r="BK2447" s="223"/>
      <c r="BL2447" s="223"/>
      <c r="BM2447" s="223"/>
      <c r="BN2447" s="223"/>
      <c r="BO2447" s="223"/>
      <c r="BP2447" s="223"/>
      <c r="BQ2447" s="223"/>
      <c r="BR2447" s="223"/>
      <c r="BS2447" s="223"/>
      <c r="BT2447" s="223"/>
      <c r="BU2447" s="223"/>
      <c r="BV2447" s="223"/>
      <c r="BW2447" s="223"/>
      <c r="BX2447" s="223"/>
      <c r="BY2447" s="223"/>
      <c r="BZ2447" s="223"/>
      <c r="CA2447" s="223"/>
      <c r="CB2447" s="223"/>
      <c r="CC2447" s="223"/>
      <c r="CD2447" s="223"/>
      <c r="CE2447" s="223"/>
      <c r="CF2447" s="223"/>
      <c r="CG2447" s="223"/>
      <c r="CH2447" s="223"/>
      <c r="CI2447" s="223"/>
      <c r="CJ2447" s="223"/>
      <c r="CK2447" s="223"/>
      <c r="CL2447" s="223"/>
      <c r="CM2447" s="223"/>
      <c r="CN2447" s="223"/>
      <c r="CO2447" s="223"/>
      <c r="CP2447" s="223"/>
      <c r="CQ2447" s="223"/>
      <c r="CR2447" s="223"/>
      <c r="CS2447" s="223"/>
      <c r="CT2447" s="223"/>
      <c r="CU2447" s="223"/>
      <c r="CV2447" s="223"/>
      <c r="CW2447" s="223"/>
      <c r="CX2447" s="223"/>
      <c r="CY2447" s="223"/>
      <c r="CZ2447" s="223"/>
      <c r="DA2447" s="223"/>
      <c r="DB2447" s="223"/>
      <c r="DC2447" s="223"/>
      <c r="DD2447" s="223"/>
      <c r="DE2447" s="223"/>
      <c r="DF2447" s="223"/>
      <c r="DG2447" s="223"/>
      <c r="DH2447" s="223"/>
      <c r="DI2447" s="223"/>
      <c r="DJ2447" s="223"/>
      <c r="DK2447" s="223"/>
      <c r="DL2447" s="223"/>
      <c r="DM2447" s="223"/>
      <c r="DN2447" s="223"/>
      <c r="DO2447" s="223"/>
      <c r="DP2447" s="223"/>
      <c r="DQ2447" s="223"/>
      <c r="DR2447" s="223"/>
      <c r="DS2447" s="223"/>
      <c r="DT2447" s="223"/>
      <c r="DU2447" s="223"/>
      <c r="DV2447" s="223"/>
      <c r="DW2447" s="223"/>
      <c r="DX2447" s="223"/>
      <c r="DY2447" s="223"/>
      <c r="DZ2447" s="223"/>
      <c r="EA2447" s="223"/>
      <c r="EB2447" s="223"/>
      <c r="EC2447" s="223"/>
      <c r="ED2447" s="223"/>
      <c r="EE2447" s="223"/>
      <c r="EF2447" s="223"/>
      <c r="EG2447" s="223"/>
      <c r="EH2447" s="223"/>
      <c r="EI2447" s="223"/>
      <c r="EJ2447" s="223"/>
      <c r="EK2447" s="223"/>
      <c r="EL2447" s="223"/>
      <c r="EM2447" s="223"/>
      <c r="EN2447" s="223"/>
      <c r="EO2447" s="223"/>
      <c r="EP2447" s="223"/>
      <c r="EQ2447" s="223"/>
      <c r="ER2447" s="223"/>
      <c r="ES2447" s="223"/>
      <c r="ET2447" s="223"/>
      <c r="EU2447" s="223"/>
      <c r="EV2447" s="223"/>
      <c r="EW2447" s="223"/>
      <c r="EX2447" s="223"/>
      <c r="EY2447" s="223"/>
      <c r="EZ2447" s="223"/>
      <c r="FA2447" s="223"/>
      <c r="FB2447" s="223"/>
      <c r="FC2447" s="223"/>
      <c r="FD2447" s="223"/>
      <c r="FE2447" s="223"/>
      <c r="FF2447" s="223"/>
      <c r="FG2447" s="223"/>
      <c r="FH2447" s="223"/>
      <c r="FI2447" s="223"/>
      <c r="FJ2447" s="223"/>
      <c r="FK2447" s="223"/>
      <c r="FL2447" s="223"/>
      <c r="FM2447" s="223"/>
      <c r="FN2447" s="223"/>
      <c r="FO2447" s="223"/>
      <c r="FP2447" s="223"/>
      <c r="FQ2447" s="223"/>
      <c r="FR2447" s="223"/>
      <c r="FS2447" s="223"/>
      <c r="FT2447" s="223"/>
      <c r="FU2447" s="223"/>
      <c r="FV2447" s="223"/>
      <c r="FW2447" s="223"/>
      <c r="FX2447" s="223"/>
      <c r="FY2447" s="223"/>
      <c r="FZ2447" s="223"/>
      <c r="GA2447" s="223"/>
      <c r="GB2447" s="223"/>
      <c r="GC2447" s="223"/>
      <c r="GD2447" s="223"/>
      <c r="GE2447" s="223"/>
      <c r="GF2447" s="223"/>
      <c r="GG2447" s="223"/>
      <c r="GH2447" s="223"/>
      <c r="GI2447" s="223"/>
      <c r="GJ2447" s="223"/>
      <c r="GK2447" s="223"/>
      <c r="GL2447" s="223"/>
      <c r="GM2447" s="223"/>
      <c r="GN2447" s="223"/>
      <c r="GO2447" s="223"/>
      <c r="GP2447" s="223"/>
      <c r="GQ2447" s="223"/>
      <c r="GR2447" s="223"/>
      <c r="GS2447" s="223"/>
      <c r="GT2447" s="223"/>
      <c r="GU2447" s="223"/>
      <c r="GV2447" s="223"/>
      <c r="GW2447" s="223"/>
      <c r="GX2447" s="223"/>
      <c r="GY2447" s="223"/>
      <c r="GZ2447" s="223"/>
      <c r="HA2447" s="223"/>
      <c r="HB2447" s="223"/>
      <c r="HC2447" s="223"/>
      <c r="HD2447" s="223"/>
      <c r="HE2447" s="223"/>
      <c r="HF2447" s="223"/>
      <c r="HG2447" s="223"/>
      <c r="HH2447" s="223"/>
      <c r="HI2447" s="223"/>
      <c r="HJ2447" s="223"/>
      <c r="HK2447" s="223"/>
      <c r="HL2447" s="223"/>
      <c r="HM2447" s="223"/>
      <c r="HN2447" s="223"/>
      <c r="HO2447" s="223"/>
      <c r="HP2447" s="223"/>
      <c r="HQ2447" s="223"/>
      <c r="HR2447" s="223"/>
      <c r="HS2447" s="223"/>
      <c r="HT2447" s="223"/>
      <c r="HU2447" s="223"/>
      <c r="HV2447" s="223"/>
      <c r="HW2447" s="223"/>
      <c r="HX2447" s="223"/>
      <c r="HY2447" s="223"/>
      <c r="HZ2447" s="223"/>
      <c r="IA2447" s="223"/>
      <c r="IB2447" s="223"/>
      <c r="IC2447" s="223"/>
      <c r="ID2447" s="223"/>
      <c r="IE2447" s="223"/>
      <c r="IF2447" s="223"/>
      <c r="IG2447" s="223"/>
      <c r="IH2447" s="223"/>
      <c r="II2447" s="223"/>
      <c r="IJ2447" s="223"/>
      <c r="IK2447" s="223"/>
      <c r="IL2447" s="223"/>
      <c r="IM2447" s="223"/>
      <c r="IN2447" s="223"/>
      <c r="IO2447" s="223"/>
      <c r="IP2447" s="223"/>
      <c r="IQ2447" s="223"/>
      <c r="IR2447" s="223"/>
      <c r="IS2447" s="223"/>
      <c r="IT2447" s="223"/>
      <c r="IU2447" s="223"/>
      <c r="IV2447" s="223"/>
    </row>
    <row r="2448" spans="46:256" s="221" customFormat="1" x14ac:dyDescent="0.2">
      <c r="AT2448" s="222"/>
      <c r="AU2448" s="222"/>
      <c r="BD2448" s="223"/>
      <c r="BE2448" s="223"/>
      <c r="BF2448" s="223"/>
      <c r="BG2448" s="223"/>
      <c r="BH2448" s="223"/>
      <c r="BI2448" s="223"/>
      <c r="BJ2448" s="223"/>
      <c r="BK2448" s="223"/>
      <c r="BL2448" s="223"/>
      <c r="BM2448" s="223"/>
      <c r="BN2448" s="223"/>
      <c r="BO2448" s="223"/>
      <c r="BP2448" s="223"/>
      <c r="BQ2448" s="223"/>
      <c r="BR2448" s="223"/>
      <c r="BS2448" s="223"/>
      <c r="BT2448" s="223"/>
      <c r="BU2448" s="223"/>
      <c r="BV2448" s="223"/>
      <c r="BW2448" s="223"/>
      <c r="BX2448" s="223"/>
      <c r="BY2448" s="223"/>
      <c r="BZ2448" s="223"/>
      <c r="CA2448" s="223"/>
      <c r="CB2448" s="223"/>
      <c r="CC2448" s="223"/>
      <c r="CD2448" s="223"/>
      <c r="CE2448" s="223"/>
      <c r="CF2448" s="223"/>
      <c r="CG2448" s="223"/>
      <c r="CH2448" s="223"/>
      <c r="CI2448" s="223"/>
      <c r="CJ2448" s="223"/>
      <c r="CK2448" s="223"/>
      <c r="CL2448" s="223"/>
      <c r="CM2448" s="223"/>
      <c r="CN2448" s="223"/>
      <c r="CO2448" s="223"/>
      <c r="CP2448" s="223"/>
      <c r="CQ2448" s="223"/>
      <c r="CR2448" s="223"/>
      <c r="CS2448" s="223"/>
      <c r="CT2448" s="223"/>
      <c r="CU2448" s="223"/>
      <c r="CV2448" s="223"/>
      <c r="CW2448" s="223"/>
      <c r="CX2448" s="223"/>
      <c r="CY2448" s="223"/>
      <c r="CZ2448" s="223"/>
      <c r="DA2448" s="223"/>
      <c r="DB2448" s="223"/>
      <c r="DC2448" s="223"/>
      <c r="DD2448" s="223"/>
      <c r="DE2448" s="223"/>
      <c r="DF2448" s="223"/>
      <c r="DG2448" s="223"/>
      <c r="DH2448" s="223"/>
      <c r="DI2448" s="223"/>
      <c r="DJ2448" s="223"/>
      <c r="DK2448" s="223"/>
      <c r="DL2448" s="223"/>
      <c r="DM2448" s="223"/>
      <c r="DN2448" s="223"/>
      <c r="DO2448" s="223"/>
      <c r="DP2448" s="223"/>
      <c r="DQ2448" s="223"/>
      <c r="DR2448" s="223"/>
      <c r="DS2448" s="223"/>
      <c r="DT2448" s="223"/>
      <c r="DU2448" s="223"/>
      <c r="DV2448" s="223"/>
      <c r="DW2448" s="223"/>
      <c r="DX2448" s="223"/>
      <c r="DY2448" s="223"/>
      <c r="DZ2448" s="223"/>
      <c r="EA2448" s="223"/>
      <c r="EB2448" s="223"/>
      <c r="EC2448" s="223"/>
      <c r="ED2448" s="223"/>
      <c r="EE2448" s="223"/>
      <c r="EF2448" s="223"/>
      <c r="EG2448" s="223"/>
      <c r="EH2448" s="223"/>
      <c r="EI2448" s="223"/>
      <c r="EJ2448" s="223"/>
      <c r="EK2448" s="223"/>
      <c r="EL2448" s="223"/>
      <c r="EM2448" s="223"/>
      <c r="EN2448" s="223"/>
      <c r="EO2448" s="223"/>
      <c r="EP2448" s="223"/>
      <c r="EQ2448" s="223"/>
      <c r="ER2448" s="223"/>
      <c r="ES2448" s="223"/>
      <c r="ET2448" s="223"/>
      <c r="EU2448" s="223"/>
      <c r="EV2448" s="223"/>
      <c r="EW2448" s="223"/>
      <c r="EX2448" s="223"/>
      <c r="EY2448" s="223"/>
      <c r="EZ2448" s="223"/>
      <c r="FA2448" s="223"/>
      <c r="FB2448" s="223"/>
      <c r="FC2448" s="223"/>
      <c r="FD2448" s="223"/>
      <c r="FE2448" s="223"/>
      <c r="FF2448" s="223"/>
      <c r="FG2448" s="223"/>
      <c r="FH2448" s="223"/>
      <c r="FI2448" s="223"/>
      <c r="FJ2448" s="223"/>
      <c r="FK2448" s="223"/>
      <c r="FL2448" s="223"/>
      <c r="FM2448" s="223"/>
      <c r="FN2448" s="223"/>
      <c r="FO2448" s="223"/>
      <c r="FP2448" s="223"/>
      <c r="FQ2448" s="223"/>
      <c r="FR2448" s="223"/>
      <c r="FS2448" s="223"/>
      <c r="FT2448" s="223"/>
      <c r="FU2448" s="223"/>
      <c r="FV2448" s="223"/>
      <c r="FW2448" s="223"/>
      <c r="FX2448" s="223"/>
      <c r="FY2448" s="223"/>
      <c r="FZ2448" s="223"/>
      <c r="GA2448" s="223"/>
      <c r="GB2448" s="223"/>
      <c r="GC2448" s="223"/>
      <c r="GD2448" s="223"/>
      <c r="GE2448" s="223"/>
      <c r="GF2448" s="223"/>
      <c r="GG2448" s="223"/>
      <c r="GH2448" s="223"/>
      <c r="GI2448" s="223"/>
      <c r="GJ2448" s="223"/>
      <c r="GK2448" s="223"/>
      <c r="GL2448" s="223"/>
      <c r="GM2448" s="223"/>
      <c r="GN2448" s="223"/>
      <c r="GO2448" s="223"/>
      <c r="GP2448" s="223"/>
      <c r="GQ2448" s="223"/>
      <c r="GR2448" s="223"/>
      <c r="GS2448" s="223"/>
      <c r="GT2448" s="223"/>
      <c r="GU2448" s="223"/>
      <c r="GV2448" s="223"/>
      <c r="GW2448" s="223"/>
      <c r="GX2448" s="223"/>
      <c r="GY2448" s="223"/>
      <c r="GZ2448" s="223"/>
      <c r="HA2448" s="223"/>
      <c r="HB2448" s="223"/>
      <c r="HC2448" s="223"/>
      <c r="HD2448" s="223"/>
      <c r="HE2448" s="223"/>
      <c r="HF2448" s="223"/>
      <c r="HG2448" s="223"/>
      <c r="HH2448" s="223"/>
      <c r="HI2448" s="223"/>
      <c r="HJ2448" s="223"/>
      <c r="HK2448" s="223"/>
      <c r="HL2448" s="223"/>
      <c r="HM2448" s="223"/>
      <c r="HN2448" s="223"/>
      <c r="HO2448" s="223"/>
      <c r="HP2448" s="223"/>
      <c r="HQ2448" s="223"/>
      <c r="HR2448" s="223"/>
      <c r="HS2448" s="223"/>
      <c r="HT2448" s="223"/>
      <c r="HU2448" s="223"/>
      <c r="HV2448" s="223"/>
      <c r="HW2448" s="223"/>
      <c r="HX2448" s="223"/>
      <c r="HY2448" s="223"/>
      <c r="HZ2448" s="223"/>
      <c r="IA2448" s="223"/>
      <c r="IB2448" s="223"/>
      <c r="IC2448" s="223"/>
      <c r="ID2448" s="223"/>
      <c r="IE2448" s="223"/>
      <c r="IF2448" s="223"/>
      <c r="IG2448" s="223"/>
      <c r="IH2448" s="223"/>
      <c r="II2448" s="223"/>
      <c r="IJ2448" s="223"/>
      <c r="IK2448" s="223"/>
      <c r="IL2448" s="223"/>
      <c r="IM2448" s="223"/>
      <c r="IN2448" s="223"/>
      <c r="IO2448" s="223"/>
      <c r="IP2448" s="223"/>
      <c r="IQ2448" s="223"/>
      <c r="IR2448" s="223"/>
      <c r="IS2448" s="223"/>
      <c r="IT2448" s="223"/>
      <c r="IU2448" s="223"/>
      <c r="IV2448" s="223"/>
    </row>
    <row r="2449" spans="46:256" s="221" customFormat="1" x14ac:dyDescent="0.2">
      <c r="AT2449" s="222"/>
      <c r="AU2449" s="222"/>
      <c r="BD2449" s="223"/>
      <c r="BE2449" s="223"/>
      <c r="BF2449" s="223"/>
      <c r="BG2449" s="223"/>
      <c r="BH2449" s="223"/>
      <c r="BI2449" s="223"/>
      <c r="BJ2449" s="223"/>
      <c r="BK2449" s="223"/>
      <c r="BL2449" s="223"/>
      <c r="BM2449" s="223"/>
      <c r="BN2449" s="223"/>
      <c r="BO2449" s="223"/>
      <c r="BP2449" s="223"/>
      <c r="BQ2449" s="223"/>
      <c r="BR2449" s="223"/>
      <c r="BS2449" s="223"/>
      <c r="BT2449" s="223"/>
      <c r="BU2449" s="223"/>
      <c r="BV2449" s="223"/>
      <c r="BW2449" s="223"/>
      <c r="BX2449" s="223"/>
      <c r="BY2449" s="223"/>
      <c r="BZ2449" s="223"/>
      <c r="CA2449" s="223"/>
      <c r="CB2449" s="223"/>
      <c r="CC2449" s="223"/>
      <c r="CD2449" s="223"/>
      <c r="CE2449" s="223"/>
      <c r="CF2449" s="223"/>
      <c r="CG2449" s="223"/>
      <c r="CH2449" s="223"/>
      <c r="CI2449" s="223"/>
      <c r="CJ2449" s="223"/>
      <c r="CK2449" s="223"/>
      <c r="CL2449" s="223"/>
      <c r="CM2449" s="223"/>
      <c r="CN2449" s="223"/>
      <c r="CO2449" s="223"/>
      <c r="CP2449" s="223"/>
      <c r="CQ2449" s="223"/>
      <c r="CR2449" s="223"/>
      <c r="CS2449" s="223"/>
      <c r="CT2449" s="223"/>
      <c r="CU2449" s="223"/>
      <c r="CV2449" s="223"/>
      <c r="CW2449" s="223"/>
      <c r="CX2449" s="223"/>
      <c r="CY2449" s="223"/>
      <c r="CZ2449" s="223"/>
      <c r="DA2449" s="223"/>
      <c r="DB2449" s="223"/>
      <c r="DC2449" s="223"/>
      <c r="DD2449" s="223"/>
      <c r="DE2449" s="223"/>
      <c r="DF2449" s="223"/>
      <c r="DG2449" s="223"/>
      <c r="DH2449" s="223"/>
      <c r="DI2449" s="223"/>
      <c r="DJ2449" s="223"/>
      <c r="DK2449" s="223"/>
      <c r="DL2449" s="223"/>
      <c r="DM2449" s="223"/>
      <c r="DN2449" s="223"/>
      <c r="DO2449" s="223"/>
      <c r="DP2449" s="223"/>
      <c r="DQ2449" s="223"/>
      <c r="DR2449" s="223"/>
      <c r="DS2449" s="223"/>
      <c r="DT2449" s="223"/>
      <c r="DU2449" s="223"/>
      <c r="DV2449" s="223"/>
      <c r="DW2449" s="223"/>
      <c r="DX2449" s="223"/>
      <c r="DY2449" s="223"/>
      <c r="DZ2449" s="223"/>
      <c r="EA2449" s="223"/>
      <c r="EB2449" s="223"/>
      <c r="EC2449" s="223"/>
      <c r="ED2449" s="223"/>
      <c r="EE2449" s="223"/>
      <c r="EF2449" s="223"/>
      <c r="EG2449" s="223"/>
      <c r="EH2449" s="223"/>
      <c r="EI2449" s="223"/>
      <c r="EJ2449" s="223"/>
      <c r="EK2449" s="223"/>
      <c r="EL2449" s="223"/>
      <c r="EM2449" s="223"/>
      <c r="EN2449" s="223"/>
      <c r="EO2449" s="223"/>
      <c r="EP2449" s="223"/>
      <c r="EQ2449" s="223"/>
      <c r="ER2449" s="223"/>
      <c r="ES2449" s="223"/>
      <c r="ET2449" s="223"/>
      <c r="EU2449" s="223"/>
      <c r="EV2449" s="223"/>
      <c r="EW2449" s="223"/>
      <c r="EX2449" s="223"/>
      <c r="EY2449" s="223"/>
      <c r="EZ2449" s="223"/>
      <c r="FA2449" s="223"/>
      <c r="FB2449" s="223"/>
      <c r="FC2449" s="223"/>
      <c r="FD2449" s="223"/>
      <c r="FE2449" s="223"/>
      <c r="FF2449" s="223"/>
      <c r="FG2449" s="223"/>
      <c r="FH2449" s="223"/>
      <c r="FI2449" s="223"/>
      <c r="FJ2449" s="223"/>
      <c r="FK2449" s="223"/>
      <c r="FL2449" s="223"/>
      <c r="FM2449" s="223"/>
      <c r="FN2449" s="223"/>
      <c r="FO2449" s="223"/>
      <c r="FP2449" s="223"/>
      <c r="FQ2449" s="223"/>
      <c r="FR2449" s="223"/>
      <c r="FS2449" s="223"/>
      <c r="FT2449" s="223"/>
      <c r="FU2449" s="223"/>
      <c r="FV2449" s="223"/>
      <c r="FW2449" s="223"/>
      <c r="FX2449" s="223"/>
      <c r="FY2449" s="223"/>
      <c r="FZ2449" s="223"/>
      <c r="GA2449" s="223"/>
      <c r="GB2449" s="223"/>
      <c r="GC2449" s="223"/>
      <c r="GD2449" s="223"/>
      <c r="GE2449" s="223"/>
      <c r="GF2449" s="223"/>
      <c r="GG2449" s="223"/>
      <c r="GH2449" s="223"/>
      <c r="GI2449" s="223"/>
      <c r="GJ2449" s="223"/>
      <c r="GK2449" s="223"/>
      <c r="GL2449" s="223"/>
      <c r="GM2449" s="223"/>
      <c r="GN2449" s="223"/>
      <c r="GO2449" s="223"/>
      <c r="GP2449" s="223"/>
      <c r="GQ2449" s="223"/>
      <c r="GR2449" s="223"/>
      <c r="GS2449" s="223"/>
      <c r="GT2449" s="223"/>
      <c r="GU2449" s="223"/>
      <c r="GV2449" s="223"/>
      <c r="GW2449" s="223"/>
      <c r="GX2449" s="223"/>
      <c r="GY2449" s="223"/>
      <c r="GZ2449" s="223"/>
      <c r="HA2449" s="223"/>
      <c r="HB2449" s="223"/>
      <c r="HC2449" s="223"/>
      <c r="HD2449" s="223"/>
      <c r="HE2449" s="223"/>
      <c r="HF2449" s="223"/>
      <c r="HG2449" s="223"/>
      <c r="HH2449" s="223"/>
      <c r="HI2449" s="223"/>
      <c r="HJ2449" s="223"/>
      <c r="HK2449" s="223"/>
      <c r="HL2449" s="223"/>
      <c r="HM2449" s="223"/>
      <c r="HN2449" s="223"/>
      <c r="HO2449" s="223"/>
      <c r="HP2449" s="223"/>
      <c r="HQ2449" s="223"/>
      <c r="HR2449" s="223"/>
      <c r="HS2449" s="223"/>
      <c r="HT2449" s="223"/>
      <c r="HU2449" s="223"/>
      <c r="HV2449" s="223"/>
      <c r="HW2449" s="223"/>
      <c r="HX2449" s="223"/>
      <c r="HY2449" s="223"/>
      <c r="HZ2449" s="223"/>
      <c r="IA2449" s="223"/>
      <c r="IB2449" s="223"/>
      <c r="IC2449" s="223"/>
      <c r="ID2449" s="223"/>
      <c r="IE2449" s="223"/>
      <c r="IF2449" s="223"/>
      <c r="IG2449" s="223"/>
      <c r="IH2449" s="223"/>
      <c r="II2449" s="223"/>
      <c r="IJ2449" s="223"/>
      <c r="IK2449" s="223"/>
      <c r="IL2449" s="223"/>
      <c r="IM2449" s="223"/>
      <c r="IN2449" s="223"/>
      <c r="IO2449" s="223"/>
      <c r="IP2449" s="223"/>
      <c r="IQ2449" s="223"/>
      <c r="IR2449" s="223"/>
      <c r="IS2449" s="223"/>
      <c r="IT2449" s="223"/>
      <c r="IU2449" s="223"/>
      <c r="IV2449" s="223"/>
    </row>
    <row r="2450" spans="46:256" s="221" customFormat="1" x14ac:dyDescent="0.2">
      <c r="AT2450" s="222"/>
      <c r="AU2450" s="222"/>
      <c r="BD2450" s="223"/>
      <c r="BE2450" s="223"/>
      <c r="BF2450" s="223"/>
      <c r="BG2450" s="223"/>
      <c r="BH2450" s="223"/>
      <c r="BI2450" s="223"/>
      <c r="BJ2450" s="223"/>
      <c r="BK2450" s="223"/>
      <c r="BL2450" s="223"/>
      <c r="BM2450" s="223"/>
      <c r="BN2450" s="223"/>
      <c r="BO2450" s="223"/>
      <c r="BP2450" s="223"/>
      <c r="BQ2450" s="223"/>
      <c r="BR2450" s="223"/>
      <c r="BS2450" s="223"/>
      <c r="BT2450" s="223"/>
      <c r="BU2450" s="223"/>
      <c r="BV2450" s="223"/>
      <c r="BW2450" s="223"/>
      <c r="BX2450" s="223"/>
      <c r="BY2450" s="223"/>
      <c r="BZ2450" s="223"/>
      <c r="CA2450" s="223"/>
      <c r="CB2450" s="223"/>
      <c r="CC2450" s="223"/>
      <c r="CD2450" s="223"/>
      <c r="CE2450" s="223"/>
      <c r="CF2450" s="223"/>
      <c r="CG2450" s="223"/>
      <c r="CH2450" s="223"/>
      <c r="CI2450" s="223"/>
      <c r="CJ2450" s="223"/>
      <c r="CK2450" s="223"/>
      <c r="CL2450" s="223"/>
      <c r="CM2450" s="223"/>
      <c r="CN2450" s="223"/>
      <c r="CO2450" s="223"/>
      <c r="CP2450" s="223"/>
      <c r="CQ2450" s="223"/>
      <c r="CR2450" s="223"/>
      <c r="CS2450" s="223"/>
      <c r="CT2450" s="223"/>
      <c r="CU2450" s="223"/>
      <c r="CV2450" s="223"/>
      <c r="CW2450" s="223"/>
      <c r="CX2450" s="223"/>
      <c r="CY2450" s="223"/>
      <c r="CZ2450" s="223"/>
      <c r="DA2450" s="223"/>
      <c r="DB2450" s="223"/>
      <c r="DC2450" s="223"/>
      <c r="DD2450" s="223"/>
      <c r="DE2450" s="223"/>
      <c r="DF2450" s="223"/>
      <c r="DG2450" s="223"/>
      <c r="DH2450" s="223"/>
      <c r="DI2450" s="223"/>
      <c r="DJ2450" s="223"/>
      <c r="DK2450" s="223"/>
      <c r="DL2450" s="223"/>
      <c r="DM2450" s="223"/>
      <c r="DN2450" s="223"/>
      <c r="DO2450" s="223"/>
      <c r="DP2450" s="223"/>
      <c r="DQ2450" s="223"/>
      <c r="DR2450" s="223"/>
      <c r="DS2450" s="223"/>
      <c r="DT2450" s="223"/>
      <c r="DU2450" s="223"/>
      <c r="DV2450" s="223"/>
      <c r="DW2450" s="223"/>
      <c r="DX2450" s="223"/>
      <c r="DY2450" s="223"/>
      <c r="DZ2450" s="223"/>
      <c r="EA2450" s="223"/>
      <c r="EB2450" s="223"/>
      <c r="EC2450" s="223"/>
      <c r="ED2450" s="223"/>
      <c r="EE2450" s="223"/>
      <c r="EF2450" s="223"/>
      <c r="EG2450" s="223"/>
      <c r="EH2450" s="223"/>
      <c r="EI2450" s="223"/>
      <c r="EJ2450" s="223"/>
      <c r="EK2450" s="223"/>
      <c r="EL2450" s="223"/>
      <c r="EM2450" s="223"/>
      <c r="EN2450" s="223"/>
      <c r="EO2450" s="223"/>
      <c r="EP2450" s="223"/>
      <c r="EQ2450" s="223"/>
      <c r="ER2450" s="223"/>
      <c r="ES2450" s="223"/>
      <c r="ET2450" s="223"/>
      <c r="EU2450" s="223"/>
      <c r="EV2450" s="223"/>
      <c r="EW2450" s="223"/>
      <c r="EX2450" s="223"/>
      <c r="EY2450" s="223"/>
      <c r="EZ2450" s="223"/>
      <c r="FA2450" s="223"/>
      <c r="FB2450" s="223"/>
      <c r="FC2450" s="223"/>
      <c r="FD2450" s="223"/>
      <c r="FE2450" s="223"/>
      <c r="FF2450" s="223"/>
      <c r="FG2450" s="223"/>
      <c r="FH2450" s="223"/>
      <c r="FI2450" s="223"/>
      <c r="FJ2450" s="223"/>
      <c r="FK2450" s="223"/>
      <c r="FL2450" s="223"/>
      <c r="FM2450" s="223"/>
      <c r="FN2450" s="223"/>
      <c r="FO2450" s="223"/>
      <c r="FP2450" s="223"/>
      <c r="FQ2450" s="223"/>
      <c r="FR2450" s="223"/>
      <c r="FS2450" s="223"/>
      <c r="FT2450" s="223"/>
      <c r="FU2450" s="223"/>
      <c r="FV2450" s="223"/>
      <c r="FW2450" s="223"/>
      <c r="FX2450" s="223"/>
      <c r="FY2450" s="223"/>
      <c r="FZ2450" s="223"/>
      <c r="GA2450" s="223"/>
      <c r="GB2450" s="223"/>
      <c r="GC2450" s="223"/>
      <c r="GD2450" s="223"/>
      <c r="GE2450" s="223"/>
      <c r="GF2450" s="223"/>
      <c r="GG2450" s="223"/>
      <c r="GH2450" s="223"/>
      <c r="GI2450" s="223"/>
      <c r="GJ2450" s="223"/>
      <c r="GK2450" s="223"/>
      <c r="GL2450" s="223"/>
      <c r="GM2450" s="223"/>
      <c r="GN2450" s="223"/>
      <c r="GO2450" s="223"/>
      <c r="GP2450" s="223"/>
      <c r="GQ2450" s="223"/>
      <c r="GR2450" s="223"/>
      <c r="GS2450" s="223"/>
      <c r="GT2450" s="223"/>
      <c r="GU2450" s="223"/>
      <c r="GV2450" s="223"/>
      <c r="GW2450" s="223"/>
      <c r="GX2450" s="223"/>
      <c r="GY2450" s="223"/>
      <c r="GZ2450" s="223"/>
      <c r="HA2450" s="223"/>
      <c r="HB2450" s="223"/>
      <c r="HC2450" s="223"/>
      <c r="HD2450" s="223"/>
      <c r="HE2450" s="223"/>
      <c r="HF2450" s="223"/>
      <c r="HG2450" s="223"/>
      <c r="HH2450" s="223"/>
      <c r="HI2450" s="223"/>
      <c r="HJ2450" s="223"/>
      <c r="HK2450" s="223"/>
      <c r="HL2450" s="223"/>
      <c r="HM2450" s="223"/>
      <c r="HN2450" s="223"/>
      <c r="HO2450" s="223"/>
      <c r="HP2450" s="223"/>
      <c r="HQ2450" s="223"/>
      <c r="HR2450" s="223"/>
      <c r="HS2450" s="223"/>
      <c r="HT2450" s="223"/>
      <c r="HU2450" s="223"/>
      <c r="HV2450" s="223"/>
      <c r="HW2450" s="223"/>
      <c r="HX2450" s="223"/>
      <c r="HY2450" s="223"/>
      <c r="HZ2450" s="223"/>
      <c r="IA2450" s="223"/>
      <c r="IB2450" s="223"/>
      <c r="IC2450" s="223"/>
      <c r="ID2450" s="223"/>
      <c r="IE2450" s="223"/>
      <c r="IF2450" s="223"/>
      <c r="IG2450" s="223"/>
      <c r="IH2450" s="223"/>
      <c r="II2450" s="223"/>
      <c r="IJ2450" s="223"/>
      <c r="IK2450" s="223"/>
      <c r="IL2450" s="223"/>
      <c r="IM2450" s="223"/>
      <c r="IN2450" s="223"/>
      <c r="IO2450" s="223"/>
      <c r="IP2450" s="223"/>
      <c r="IQ2450" s="223"/>
      <c r="IR2450" s="223"/>
      <c r="IS2450" s="223"/>
      <c r="IT2450" s="223"/>
      <c r="IU2450" s="223"/>
      <c r="IV2450" s="223"/>
    </row>
    <row r="2451" spans="46:256" s="221" customFormat="1" x14ac:dyDescent="0.2">
      <c r="AT2451" s="222"/>
      <c r="AU2451" s="222"/>
      <c r="BD2451" s="223"/>
      <c r="BE2451" s="223"/>
      <c r="BF2451" s="223"/>
      <c r="BG2451" s="223"/>
      <c r="BH2451" s="223"/>
      <c r="BI2451" s="223"/>
      <c r="BJ2451" s="223"/>
      <c r="BK2451" s="223"/>
      <c r="BL2451" s="223"/>
      <c r="BM2451" s="223"/>
      <c r="BN2451" s="223"/>
      <c r="BO2451" s="223"/>
      <c r="BP2451" s="223"/>
      <c r="BQ2451" s="223"/>
      <c r="BR2451" s="223"/>
      <c r="BS2451" s="223"/>
      <c r="BT2451" s="223"/>
      <c r="BU2451" s="223"/>
      <c r="BV2451" s="223"/>
      <c r="BW2451" s="223"/>
      <c r="BX2451" s="223"/>
      <c r="BY2451" s="223"/>
      <c r="BZ2451" s="223"/>
      <c r="CA2451" s="223"/>
      <c r="CB2451" s="223"/>
      <c r="CC2451" s="223"/>
      <c r="CD2451" s="223"/>
      <c r="CE2451" s="223"/>
      <c r="CF2451" s="223"/>
      <c r="CG2451" s="223"/>
      <c r="CH2451" s="223"/>
      <c r="CI2451" s="223"/>
      <c r="CJ2451" s="223"/>
      <c r="CK2451" s="223"/>
      <c r="CL2451" s="223"/>
      <c r="CM2451" s="223"/>
      <c r="CN2451" s="223"/>
      <c r="CO2451" s="223"/>
      <c r="CP2451" s="223"/>
      <c r="CQ2451" s="223"/>
      <c r="CR2451" s="223"/>
      <c r="CS2451" s="223"/>
      <c r="CT2451" s="223"/>
      <c r="CU2451" s="223"/>
      <c r="CV2451" s="223"/>
      <c r="CW2451" s="223"/>
      <c r="CX2451" s="223"/>
      <c r="CY2451" s="223"/>
      <c r="CZ2451" s="223"/>
      <c r="DA2451" s="223"/>
      <c r="DB2451" s="223"/>
      <c r="DC2451" s="223"/>
      <c r="DD2451" s="223"/>
      <c r="DE2451" s="223"/>
      <c r="DF2451" s="223"/>
      <c r="DG2451" s="223"/>
      <c r="DH2451" s="223"/>
      <c r="DI2451" s="223"/>
      <c r="DJ2451" s="223"/>
      <c r="DK2451" s="223"/>
      <c r="DL2451" s="223"/>
      <c r="DM2451" s="223"/>
      <c r="DN2451" s="223"/>
      <c r="DO2451" s="223"/>
      <c r="DP2451" s="223"/>
      <c r="DQ2451" s="223"/>
      <c r="DR2451" s="223"/>
      <c r="DS2451" s="223"/>
      <c r="DT2451" s="223"/>
      <c r="DU2451" s="223"/>
      <c r="DV2451" s="223"/>
      <c r="DW2451" s="223"/>
      <c r="DX2451" s="223"/>
      <c r="DY2451" s="223"/>
      <c r="DZ2451" s="223"/>
      <c r="EA2451" s="223"/>
      <c r="EB2451" s="223"/>
      <c r="EC2451" s="223"/>
      <c r="ED2451" s="223"/>
      <c r="EE2451" s="223"/>
      <c r="EF2451" s="223"/>
      <c r="EG2451" s="223"/>
      <c r="EH2451" s="223"/>
      <c r="EI2451" s="223"/>
      <c r="EJ2451" s="223"/>
      <c r="EK2451" s="223"/>
      <c r="EL2451" s="223"/>
      <c r="EM2451" s="223"/>
      <c r="EN2451" s="223"/>
      <c r="EO2451" s="223"/>
      <c r="EP2451" s="223"/>
      <c r="EQ2451" s="223"/>
      <c r="ER2451" s="223"/>
      <c r="ES2451" s="223"/>
      <c r="ET2451" s="223"/>
      <c r="EU2451" s="223"/>
      <c r="EV2451" s="223"/>
      <c r="EW2451" s="223"/>
      <c r="EX2451" s="223"/>
      <c r="EY2451" s="223"/>
      <c r="EZ2451" s="223"/>
      <c r="FA2451" s="223"/>
      <c r="FB2451" s="223"/>
      <c r="FC2451" s="223"/>
      <c r="FD2451" s="223"/>
      <c r="FE2451" s="223"/>
      <c r="FF2451" s="223"/>
      <c r="FG2451" s="223"/>
      <c r="FH2451" s="223"/>
      <c r="FI2451" s="223"/>
      <c r="FJ2451" s="223"/>
      <c r="FK2451" s="223"/>
      <c r="FL2451" s="223"/>
      <c r="FM2451" s="223"/>
      <c r="FN2451" s="223"/>
      <c r="FO2451" s="223"/>
      <c r="FP2451" s="223"/>
      <c r="FQ2451" s="223"/>
      <c r="FR2451" s="223"/>
      <c r="FS2451" s="223"/>
      <c r="FT2451" s="223"/>
      <c r="FU2451" s="223"/>
      <c r="FV2451" s="223"/>
      <c r="FW2451" s="223"/>
      <c r="FX2451" s="223"/>
      <c r="FY2451" s="223"/>
      <c r="FZ2451" s="223"/>
      <c r="GA2451" s="223"/>
      <c r="GB2451" s="223"/>
      <c r="GC2451" s="223"/>
      <c r="GD2451" s="223"/>
      <c r="GE2451" s="223"/>
      <c r="GF2451" s="223"/>
      <c r="GG2451" s="223"/>
      <c r="GH2451" s="223"/>
      <c r="GI2451" s="223"/>
      <c r="GJ2451" s="223"/>
      <c r="GK2451" s="223"/>
      <c r="GL2451" s="223"/>
      <c r="GM2451" s="223"/>
      <c r="GN2451" s="223"/>
      <c r="GO2451" s="223"/>
      <c r="GP2451" s="223"/>
      <c r="GQ2451" s="223"/>
      <c r="GR2451" s="223"/>
      <c r="GS2451" s="223"/>
      <c r="GT2451" s="223"/>
      <c r="GU2451" s="223"/>
      <c r="GV2451" s="223"/>
      <c r="GW2451" s="223"/>
      <c r="GX2451" s="223"/>
      <c r="GY2451" s="223"/>
      <c r="GZ2451" s="223"/>
      <c r="HA2451" s="223"/>
      <c r="HB2451" s="223"/>
      <c r="HC2451" s="223"/>
      <c r="HD2451" s="223"/>
      <c r="HE2451" s="223"/>
      <c r="HF2451" s="223"/>
      <c r="HG2451" s="223"/>
      <c r="HH2451" s="223"/>
      <c r="HI2451" s="223"/>
      <c r="HJ2451" s="223"/>
      <c r="HK2451" s="223"/>
      <c r="HL2451" s="223"/>
      <c r="HM2451" s="223"/>
      <c r="HN2451" s="223"/>
      <c r="HO2451" s="223"/>
      <c r="HP2451" s="223"/>
      <c r="HQ2451" s="223"/>
      <c r="HR2451" s="223"/>
      <c r="HS2451" s="223"/>
      <c r="HT2451" s="223"/>
      <c r="HU2451" s="223"/>
      <c r="HV2451" s="223"/>
      <c r="HW2451" s="223"/>
      <c r="HX2451" s="223"/>
      <c r="HY2451" s="223"/>
      <c r="HZ2451" s="223"/>
      <c r="IA2451" s="223"/>
      <c r="IB2451" s="223"/>
      <c r="IC2451" s="223"/>
      <c r="ID2451" s="223"/>
      <c r="IE2451" s="223"/>
      <c r="IF2451" s="223"/>
      <c r="IG2451" s="223"/>
      <c r="IH2451" s="223"/>
      <c r="II2451" s="223"/>
      <c r="IJ2451" s="223"/>
      <c r="IK2451" s="223"/>
      <c r="IL2451" s="223"/>
      <c r="IM2451" s="223"/>
      <c r="IN2451" s="223"/>
      <c r="IO2451" s="223"/>
      <c r="IP2451" s="223"/>
      <c r="IQ2451" s="223"/>
      <c r="IR2451" s="223"/>
      <c r="IS2451" s="223"/>
      <c r="IT2451" s="223"/>
      <c r="IU2451" s="223"/>
      <c r="IV2451" s="223"/>
    </row>
    <row r="2452" spans="46:256" s="221" customFormat="1" x14ac:dyDescent="0.2">
      <c r="AT2452" s="222"/>
      <c r="AU2452" s="222"/>
      <c r="BD2452" s="223"/>
      <c r="BE2452" s="223"/>
      <c r="BF2452" s="223"/>
      <c r="BG2452" s="223"/>
      <c r="BH2452" s="223"/>
      <c r="BI2452" s="223"/>
      <c r="BJ2452" s="223"/>
      <c r="BK2452" s="223"/>
      <c r="BL2452" s="223"/>
      <c r="BM2452" s="223"/>
      <c r="BN2452" s="223"/>
      <c r="BO2452" s="223"/>
      <c r="BP2452" s="223"/>
      <c r="BQ2452" s="223"/>
      <c r="BR2452" s="223"/>
      <c r="BS2452" s="223"/>
      <c r="BT2452" s="223"/>
      <c r="BU2452" s="223"/>
      <c r="BV2452" s="223"/>
      <c r="BW2452" s="223"/>
      <c r="BX2452" s="223"/>
      <c r="BY2452" s="223"/>
      <c r="BZ2452" s="223"/>
      <c r="CA2452" s="223"/>
      <c r="CB2452" s="223"/>
      <c r="CC2452" s="223"/>
      <c r="CD2452" s="223"/>
      <c r="CE2452" s="223"/>
      <c r="CF2452" s="223"/>
      <c r="CG2452" s="223"/>
      <c r="CH2452" s="223"/>
      <c r="CI2452" s="223"/>
      <c r="CJ2452" s="223"/>
      <c r="CK2452" s="223"/>
      <c r="CL2452" s="223"/>
      <c r="CM2452" s="223"/>
      <c r="CN2452" s="223"/>
      <c r="CO2452" s="223"/>
      <c r="CP2452" s="223"/>
      <c r="CQ2452" s="223"/>
      <c r="CR2452" s="223"/>
      <c r="CS2452" s="223"/>
      <c r="CT2452" s="223"/>
      <c r="CU2452" s="223"/>
      <c r="CV2452" s="223"/>
      <c r="CW2452" s="223"/>
      <c r="CX2452" s="223"/>
      <c r="CY2452" s="223"/>
      <c r="CZ2452" s="223"/>
      <c r="DA2452" s="223"/>
      <c r="DB2452" s="223"/>
      <c r="DC2452" s="223"/>
      <c r="DD2452" s="223"/>
      <c r="DE2452" s="223"/>
      <c r="DF2452" s="223"/>
      <c r="DG2452" s="223"/>
      <c r="DH2452" s="223"/>
      <c r="DI2452" s="223"/>
      <c r="DJ2452" s="223"/>
      <c r="DK2452" s="223"/>
      <c r="DL2452" s="223"/>
      <c r="DM2452" s="223"/>
      <c r="DN2452" s="223"/>
      <c r="DO2452" s="223"/>
      <c r="DP2452" s="223"/>
      <c r="DQ2452" s="223"/>
      <c r="DR2452" s="223"/>
      <c r="DS2452" s="223"/>
      <c r="DT2452" s="223"/>
      <c r="DU2452" s="223"/>
      <c r="DV2452" s="223"/>
      <c r="DW2452" s="223"/>
      <c r="DX2452" s="223"/>
      <c r="DY2452" s="223"/>
      <c r="DZ2452" s="223"/>
      <c r="EA2452" s="223"/>
      <c r="EB2452" s="223"/>
      <c r="EC2452" s="223"/>
      <c r="ED2452" s="223"/>
      <c r="EE2452" s="223"/>
      <c r="EF2452" s="223"/>
      <c r="EG2452" s="223"/>
      <c r="EH2452" s="223"/>
      <c r="EI2452" s="223"/>
      <c r="EJ2452" s="223"/>
      <c r="EK2452" s="223"/>
      <c r="EL2452" s="223"/>
      <c r="EM2452" s="223"/>
      <c r="EN2452" s="223"/>
      <c r="EO2452" s="223"/>
      <c r="EP2452" s="223"/>
      <c r="EQ2452" s="223"/>
      <c r="ER2452" s="223"/>
      <c r="ES2452" s="223"/>
      <c r="ET2452" s="223"/>
      <c r="EU2452" s="223"/>
      <c r="EV2452" s="223"/>
      <c r="EW2452" s="223"/>
      <c r="EX2452" s="223"/>
      <c r="EY2452" s="223"/>
      <c r="EZ2452" s="223"/>
      <c r="FA2452" s="223"/>
      <c r="FB2452" s="223"/>
      <c r="FC2452" s="223"/>
      <c r="FD2452" s="223"/>
      <c r="FE2452" s="223"/>
      <c r="FF2452" s="223"/>
      <c r="FG2452" s="223"/>
      <c r="FH2452" s="223"/>
      <c r="FI2452" s="223"/>
      <c r="FJ2452" s="223"/>
      <c r="FK2452" s="223"/>
      <c r="FL2452" s="223"/>
      <c r="FM2452" s="223"/>
      <c r="FN2452" s="223"/>
      <c r="FO2452" s="223"/>
      <c r="FP2452" s="223"/>
      <c r="FQ2452" s="223"/>
      <c r="FR2452" s="223"/>
      <c r="FS2452" s="223"/>
      <c r="FT2452" s="223"/>
      <c r="FU2452" s="223"/>
      <c r="FV2452" s="223"/>
      <c r="FW2452" s="223"/>
      <c r="FX2452" s="223"/>
      <c r="FY2452" s="223"/>
      <c r="FZ2452" s="223"/>
      <c r="GA2452" s="223"/>
      <c r="GB2452" s="223"/>
      <c r="GC2452" s="223"/>
      <c r="GD2452" s="223"/>
      <c r="GE2452" s="223"/>
      <c r="GF2452" s="223"/>
      <c r="GG2452" s="223"/>
      <c r="GH2452" s="223"/>
      <c r="GI2452" s="223"/>
      <c r="GJ2452" s="223"/>
      <c r="GK2452" s="223"/>
      <c r="GL2452" s="223"/>
      <c r="GM2452" s="223"/>
      <c r="GN2452" s="223"/>
      <c r="GO2452" s="223"/>
      <c r="GP2452" s="223"/>
      <c r="GQ2452" s="223"/>
      <c r="GR2452" s="223"/>
      <c r="GS2452" s="223"/>
      <c r="GT2452" s="223"/>
      <c r="GU2452" s="223"/>
      <c r="GV2452" s="223"/>
      <c r="GW2452" s="223"/>
      <c r="GX2452" s="223"/>
      <c r="GY2452" s="223"/>
      <c r="GZ2452" s="223"/>
      <c r="HA2452" s="223"/>
      <c r="HB2452" s="223"/>
      <c r="HC2452" s="223"/>
      <c r="HD2452" s="223"/>
      <c r="HE2452" s="223"/>
      <c r="HF2452" s="223"/>
      <c r="HG2452" s="223"/>
      <c r="HH2452" s="223"/>
      <c r="HI2452" s="223"/>
      <c r="HJ2452" s="223"/>
      <c r="HK2452" s="223"/>
      <c r="HL2452" s="223"/>
      <c r="HM2452" s="223"/>
      <c r="HN2452" s="223"/>
      <c r="HO2452" s="223"/>
      <c r="HP2452" s="223"/>
      <c r="HQ2452" s="223"/>
      <c r="HR2452" s="223"/>
      <c r="HS2452" s="223"/>
      <c r="HT2452" s="223"/>
      <c r="HU2452" s="223"/>
      <c r="HV2452" s="223"/>
      <c r="HW2452" s="223"/>
      <c r="HX2452" s="223"/>
      <c r="HY2452" s="223"/>
      <c r="HZ2452" s="223"/>
      <c r="IA2452" s="223"/>
      <c r="IB2452" s="223"/>
      <c r="IC2452" s="223"/>
      <c r="ID2452" s="223"/>
      <c r="IE2452" s="223"/>
      <c r="IF2452" s="223"/>
      <c r="IG2452" s="223"/>
      <c r="IH2452" s="223"/>
      <c r="II2452" s="223"/>
      <c r="IJ2452" s="223"/>
      <c r="IK2452" s="223"/>
      <c r="IL2452" s="223"/>
      <c r="IM2452" s="223"/>
      <c r="IN2452" s="223"/>
      <c r="IO2452" s="223"/>
      <c r="IP2452" s="223"/>
      <c r="IQ2452" s="223"/>
      <c r="IR2452" s="223"/>
      <c r="IS2452" s="223"/>
      <c r="IT2452" s="223"/>
      <c r="IU2452" s="223"/>
      <c r="IV2452" s="223"/>
    </row>
    <row r="2453" spans="46:256" s="221" customFormat="1" x14ac:dyDescent="0.2">
      <c r="AT2453" s="222"/>
      <c r="AU2453" s="222"/>
      <c r="BD2453" s="223"/>
      <c r="BE2453" s="223"/>
      <c r="BF2453" s="223"/>
      <c r="BG2453" s="223"/>
      <c r="BH2453" s="223"/>
      <c r="BI2453" s="223"/>
      <c r="BJ2453" s="223"/>
      <c r="BK2453" s="223"/>
      <c r="BL2453" s="223"/>
      <c r="BM2453" s="223"/>
      <c r="BN2453" s="223"/>
      <c r="BO2453" s="223"/>
      <c r="BP2453" s="223"/>
      <c r="BQ2453" s="223"/>
      <c r="BR2453" s="223"/>
      <c r="BS2453" s="223"/>
      <c r="BT2453" s="223"/>
      <c r="BU2453" s="223"/>
      <c r="BV2453" s="223"/>
      <c r="BW2453" s="223"/>
      <c r="BX2453" s="223"/>
      <c r="BY2453" s="223"/>
      <c r="BZ2453" s="223"/>
      <c r="CA2453" s="223"/>
      <c r="CB2453" s="223"/>
      <c r="CC2453" s="223"/>
      <c r="CD2453" s="223"/>
      <c r="CE2453" s="223"/>
      <c r="CF2453" s="223"/>
      <c r="CG2453" s="223"/>
      <c r="CH2453" s="223"/>
      <c r="CI2453" s="223"/>
      <c r="CJ2453" s="223"/>
      <c r="CK2453" s="223"/>
      <c r="CL2453" s="223"/>
      <c r="CM2453" s="223"/>
      <c r="CN2453" s="223"/>
      <c r="CO2453" s="223"/>
      <c r="CP2453" s="223"/>
      <c r="CQ2453" s="223"/>
      <c r="CR2453" s="223"/>
      <c r="CS2453" s="223"/>
      <c r="CT2453" s="223"/>
      <c r="CU2453" s="223"/>
      <c r="CV2453" s="223"/>
      <c r="CW2453" s="223"/>
      <c r="CX2453" s="223"/>
      <c r="CY2453" s="223"/>
      <c r="CZ2453" s="223"/>
      <c r="DA2453" s="223"/>
      <c r="DB2453" s="223"/>
      <c r="DC2453" s="223"/>
      <c r="DD2453" s="223"/>
      <c r="DE2453" s="223"/>
      <c r="DF2453" s="223"/>
      <c r="DG2453" s="223"/>
      <c r="DH2453" s="223"/>
      <c r="DI2453" s="223"/>
      <c r="DJ2453" s="223"/>
      <c r="DK2453" s="223"/>
      <c r="DL2453" s="223"/>
      <c r="DM2453" s="223"/>
      <c r="DN2453" s="223"/>
      <c r="DO2453" s="223"/>
      <c r="DP2453" s="223"/>
      <c r="DQ2453" s="223"/>
      <c r="DR2453" s="223"/>
      <c r="DS2453" s="223"/>
      <c r="DT2453" s="223"/>
      <c r="DU2453" s="223"/>
      <c r="DV2453" s="223"/>
      <c r="DW2453" s="223"/>
      <c r="DX2453" s="223"/>
      <c r="DY2453" s="223"/>
      <c r="DZ2453" s="223"/>
      <c r="EA2453" s="223"/>
      <c r="EB2453" s="223"/>
      <c r="EC2453" s="223"/>
      <c r="ED2453" s="223"/>
      <c r="EE2453" s="223"/>
      <c r="EF2453" s="223"/>
      <c r="EG2453" s="223"/>
      <c r="EH2453" s="223"/>
      <c r="EI2453" s="223"/>
      <c r="EJ2453" s="223"/>
      <c r="EK2453" s="223"/>
      <c r="EL2453" s="223"/>
      <c r="EM2453" s="223"/>
      <c r="EN2453" s="223"/>
      <c r="EO2453" s="223"/>
      <c r="EP2453" s="223"/>
      <c r="EQ2453" s="223"/>
      <c r="ER2453" s="223"/>
      <c r="ES2453" s="223"/>
      <c r="ET2453" s="223"/>
      <c r="EU2453" s="223"/>
      <c r="EV2453" s="223"/>
      <c r="EW2453" s="223"/>
      <c r="EX2453" s="223"/>
      <c r="EY2453" s="223"/>
      <c r="EZ2453" s="223"/>
      <c r="FA2453" s="223"/>
      <c r="FB2453" s="223"/>
      <c r="FC2453" s="223"/>
      <c r="FD2453" s="223"/>
      <c r="FE2453" s="223"/>
      <c r="FF2453" s="223"/>
      <c r="FG2453" s="223"/>
      <c r="FH2453" s="223"/>
      <c r="FI2453" s="223"/>
      <c r="FJ2453" s="223"/>
      <c r="FK2453" s="223"/>
      <c r="FL2453" s="223"/>
      <c r="FM2453" s="223"/>
      <c r="FN2453" s="223"/>
      <c r="FO2453" s="223"/>
      <c r="FP2453" s="223"/>
      <c r="FQ2453" s="223"/>
      <c r="FR2453" s="223"/>
      <c r="FS2453" s="223"/>
      <c r="FT2453" s="223"/>
      <c r="FU2453" s="223"/>
      <c r="FV2453" s="223"/>
      <c r="FW2453" s="223"/>
      <c r="FX2453" s="223"/>
      <c r="FY2453" s="223"/>
      <c r="FZ2453" s="223"/>
      <c r="GA2453" s="223"/>
      <c r="GB2453" s="223"/>
      <c r="GC2453" s="223"/>
      <c r="GD2453" s="223"/>
      <c r="GE2453" s="223"/>
      <c r="GF2453" s="223"/>
      <c r="GG2453" s="223"/>
      <c r="GH2453" s="223"/>
      <c r="GI2453" s="223"/>
      <c r="GJ2453" s="223"/>
      <c r="GK2453" s="223"/>
      <c r="GL2453" s="223"/>
      <c r="GM2453" s="223"/>
      <c r="GN2453" s="223"/>
      <c r="GO2453" s="223"/>
      <c r="GP2453" s="223"/>
      <c r="GQ2453" s="223"/>
      <c r="GR2453" s="223"/>
      <c r="GS2453" s="223"/>
      <c r="GT2453" s="223"/>
      <c r="GU2453" s="223"/>
      <c r="GV2453" s="223"/>
      <c r="GW2453" s="223"/>
      <c r="GX2453" s="223"/>
      <c r="GY2453" s="223"/>
      <c r="GZ2453" s="223"/>
      <c r="HA2453" s="223"/>
      <c r="HB2453" s="223"/>
      <c r="HC2453" s="223"/>
      <c r="HD2453" s="223"/>
      <c r="HE2453" s="223"/>
      <c r="HF2453" s="223"/>
      <c r="HG2453" s="223"/>
      <c r="HH2453" s="223"/>
      <c r="HI2453" s="223"/>
      <c r="HJ2453" s="223"/>
      <c r="HK2453" s="223"/>
      <c r="HL2453" s="223"/>
      <c r="HM2453" s="223"/>
      <c r="HN2453" s="223"/>
      <c r="HO2453" s="223"/>
      <c r="HP2453" s="223"/>
      <c r="HQ2453" s="223"/>
      <c r="HR2453" s="223"/>
      <c r="HS2453" s="223"/>
      <c r="HT2453" s="223"/>
      <c r="HU2453" s="223"/>
      <c r="HV2453" s="223"/>
      <c r="HW2453" s="223"/>
      <c r="HX2453" s="223"/>
      <c r="HY2453" s="223"/>
      <c r="HZ2453" s="223"/>
      <c r="IA2453" s="223"/>
      <c r="IB2453" s="223"/>
      <c r="IC2453" s="223"/>
      <c r="ID2453" s="223"/>
      <c r="IE2453" s="223"/>
      <c r="IF2453" s="223"/>
      <c r="IG2453" s="223"/>
      <c r="IH2453" s="223"/>
      <c r="II2453" s="223"/>
      <c r="IJ2453" s="223"/>
      <c r="IK2453" s="223"/>
      <c r="IL2453" s="223"/>
      <c r="IM2453" s="223"/>
      <c r="IN2453" s="223"/>
      <c r="IO2453" s="223"/>
      <c r="IP2453" s="223"/>
      <c r="IQ2453" s="223"/>
      <c r="IR2453" s="223"/>
      <c r="IS2453" s="223"/>
      <c r="IT2453" s="223"/>
      <c r="IU2453" s="223"/>
      <c r="IV2453" s="223"/>
    </row>
    <row r="2454" spans="46:256" s="221" customFormat="1" x14ac:dyDescent="0.2">
      <c r="AT2454" s="222"/>
      <c r="AU2454" s="222"/>
      <c r="BD2454" s="223"/>
      <c r="BE2454" s="223"/>
      <c r="BF2454" s="223"/>
      <c r="BG2454" s="223"/>
      <c r="BH2454" s="223"/>
      <c r="BI2454" s="223"/>
      <c r="BJ2454" s="223"/>
      <c r="BK2454" s="223"/>
      <c r="BL2454" s="223"/>
      <c r="BM2454" s="223"/>
      <c r="BN2454" s="223"/>
      <c r="BO2454" s="223"/>
      <c r="BP2454" s="223"/>
      <c r="BQ2454" s="223"/>
      <c r="BR2454" s="223"/>
      <c r="BS2454" s="223"/>
      <c r="BT2454" s="223"/>
      <c r="BU2454" s="223"/>
      <c r="BV2454" s="223"/>
      <c r="BW2454" s="223"/>
      <c r="BX2454" s="223"/>
      <c r="BY2454" s="223"/>
      <c r="BZ2454" s="223"/>
      <c r="CA2454" s="223"/>
      <c r="CB2454" s="223"/>
      <c r="CC2454" s="223"/>
      <c r="CD2454" s="223"/>
      <c r="CE2454" s="223"/>
      <c r="CF2454" s="223"/>
      <c r="CG2454" s="223"/>
      <c r="CH2454" s="223"/>
      <c r="CI2454" s="223"/>
      <c r="CJ2454" s="223"/>
      <c r="CK2454" s="223"/>
      <c r="CL2454" s="223"/>
      <c r="CM2454" s="223"/>
      <c r="CN2454" s="223"/>
      <c r="CO2454" s="223"/>
      <c r="CP2454" s="223"/>
      <c r="CQ2454" s="223"/>
      <c r="CR2454" s="223"/>
      <c r="CS2454" s="223"/>
      <c r="CT2454" s="223"/>
      <c r="CU2454" s="223"/>
      <c r="CV2454" s="223"/>
      <c r="CW2454" s="223"/>
      <c r="CX2454" s="223"/>
      <c r="CY2454" s="223"/>
      <c r="CZ2454" s="223"/>
      <c r="DA2454" s="223"/>
      <c r="DB2454" s="223"/>
      <c r="DC2454" s="223"/>
      <c r="DD2454" s="223"/>
      <c r="DE2454" s="223"/>
      <c r="DF2454" s="223"/>
      <c r="DG2454" s="223"/>
      <c r="DH2454" s="223"/>
      <c r="DI2454" s="223"/>
      <c r="DJ2454" s="223"/>
      <c r="DK2454" s="223"/>
      <c r="DL2454" s="223"/>
      <c r="DM2454" s="223"/>
      <c r="DN2454" s="223"/>
      <c r="DO2454" s="223"/>
      <c r="DP2454" s="223"/>
      <c r="DQ2454" s="223"/>
      <c r="DR2454" s="223"/>
      <c r="DS2454" s="223"/>
      <c r="DT2454" s="223"/>
      <c r="DU2454" s="223"/>
      <c r="DV2454" s="223"/>
      <c r="DW2454" s="223"/>
      <c r="DX2454" s="223"/>
      <c r="DY2454" s="223"/>
      <c r="DZ2454" s="223"/>
      <c r="EA2454" s="223"/>
      <c r="EB2454" s="223"/>
      <c r="EC2454" s="223"/>
      <c r="ED2454" s="223"/>
      <c r="EE2454" s="223"/>
      <c r="EF2454" s="223"/>
      <c r="EG2454" s="223"/>
      <c r="EH2454" s="223"/>
      <c r="EI2454" s="223"/>
      <c r="EJ2454" s="223"/>
      <c r="EK2454" s="223"/>
      <c r="EL2454" s="223"/>
      <c r="EM2454" s="223"/>
      <c r="EN2454" s="223"/>
      <c r="EO2454" s="223"/>
      <c r="EP2454" s="223"/>
      <c r="EQ2454" s="223"/>
      <c r="ER2454" s="223"/>
      <c r="ES2454" s="223"/>
      <c r="ET2454" s="223"/>
      <c r="EU2454" s="223"/>
      <c r="EV2454" s="223"/>
      <c r="EW2454" s="223"/>
      <c r="EX2454" s="223"/>
      <c r="EY2454" s="223"/>
      <c r="EZ2454" s="223"/>
      <c r="FA2454" s="223"/>
      <c r="FB2454" s="223"/>
      <c r="FC2454" s="223"/>
      <c r="FD2454" s="223"/>
      <c r="FE2454" s="223"/>
      <c r="FF2454" s="223"/>
      <c r="FG2454" s="223"/>
      <c r="FH2454" s="223"/>
      <c r="FI2454" s="223"/>
      <c r="FJ2454" s="223"/>
      <c r="FK2454" s="223"/>
      <c r="FL2454" s="223"/>
      <c r="FM2454" s="223"/>
      <c r="FN2454" s="223"/>
      <c r="FO2454" s="223"/>
      <c r="FP2454" s="223"/>
      <c r="FQ2454" s="223"/>
      <c r="FR2454" s="223"/>
      <c r="FS2454" s="223"/>
      <c r="FT2454" s="223"/>
      <c r="FU2454" s="223"/>
      <c r="FV2454" s="223"/>
      <c r="FW2454" s="223"/>
      <c r="FX2454" s="223"/>
      <c r="FY2454" s="223"/>
      <c r="FZ2454" s="223"/>
      <c r="GA2454" s="223"/>
      <c r="GB2454" s="223"/>
      <c r="GC2454" s="223"/>
      <c r="GD2454" s="223"/>
      <c r="GE2454" s="223"/>
      <c r="GF2454" s="223"/>
      <c r="GG2454" s="223"/>
      <c r="GH2454" s="223"/>
      <c r="GI2454" s="223"/>
      <c r="GJ2454" s="223"/>
      <c r="GK2454" s="223"/>
      <c r="GL2454" s="223"/>
      <c r="GM2454" s="223"/>
      <c r="GN2454" s="223"/>
      <c r="GO2454" s="223"/>
      <c r="GP2454" s="223"/>
      <c r="GQ2454" s="223"/>
      <c r="GR2454" s="223"/>
      <c r="GS2454" s="223"/>
      <c r="GT2454" s="223"/>
      <c r="GU2454" s="223"/>
      <c r="GV2454" s="223"/>
      <c r="GW2454" s="223"/>
      <c r="GX2454" s="223"/>
      <c r="GY2454" s="223"/>
      <c r="GZ2454" s="223"/>
      <c r="HA2454" s="223"/>
      <c r="HB2454" s="223"/>
      <c r="HC2454" s="223"/>
      <c r="HD2454" s="223"/>
      <c r="HE2454" s="223"/>
      <c r="HF2454" s="223"/>
      <c r="HG2454" s="223"/>
      <c r="HH2454" s="223"/>
      <c r="HI2454" s="223"/>
      <c r="HJ2454" s="223"/>
      <c r="HK2454" s="223"/>
      <c r="HL2454" s="223"/>
      <c r="HM2454" s="223"/>
      <c r="HN2454" s="223"/>
      <c r="HO2454" s="223"/>
      <c r="HP2454" s="223"/>
      <c r="HQ2454" s="223"/>
      <c r="HR2454" s="223"/>
      <c r="HS2454" s="223"/>
      <c r="HT2454" s="223"/>
      <c r="HU2454" s="223"/>
      <c r="HV2454" s="223"/>
      <c r="HW2454" s="223"/>
      <c r="HX2454" s="223"/>
      <c r="HY2454" s="223"/>
      <c r="HZ2454" s="223"/>
      <c r="IA2454" s="223"/>
      <c r="IB2454" s="223"/>
      <c r="IC2454" s="223"/>
      <c r="ID2454" s="223"/>
      <c r="IE2454" s="223"/>
      <c r="IF2454" s="223"/>
      <c r="IG2454" s="223"/>
      <c r="IH2454" s="223"/>
      <c r="II2454" s="223"/>
      <c r="IJ2454" s="223"/>
      <c r="IK2454" s="223"/>
      <c r="IL2454" s="223"/>
      <c r="IM2454" s="223"/>
      <c r="IN2454" s="223"/>
      <c r="IO2454" s="223"/>
      <c r="IP2454" s="223"/>
      <c r="IQ2454" s="223"/>
      <c r="IR2454" s="223"/>
      <c r="IS2454" s="223"/>
      <c r="IT2454" s="223"/>
      <c r="IU2454" s="223"/>
      <c r="IV2454" s="223"/>
    </row>
    <row r="2455" spans="46:256" s="221" customFormat="1" x14ac:dyDescent="0.2">
      <c r="AT2455" s="222"/>
      <c r="AU2455" s="222"/>
      <c r="BD2455" s="223"/>
      <c r="BE2455" s="223"/>
      <c r="BF2455" s="223"/>
      <c r="BG2455" s="223"/>
      <c r="BH2455" s="223"/>
      <c r="BI2455" s="223"/>
      <c r="BJ2455" s="223"/>
      <c r="BK2455" s="223"/>
      <c r="BL2455" s="223"/>
      <c r="BM2455" s="223"/>
      <c r="BN2455" s="223"/>
      <c r="BO2455" s="223"/>
      <c r="BP2455" s="223"/>
      <c r="BQ2455" s="223"/>
      <c r="BR2455" s="223"/>
      <c r="BS2455" s="223"/>
      <c r="BT2455" s="223"/>
      <c r="BU2455" s="223"/>
      <c r="BV2455" s="223"/>
      <c r="BW2455" s="223"/>
      <c r="BX2455" s="223"/>
      <c r="BY2455" s="223"/>
      <c r="BZ2455" s="223"/>
      <c r="CA2455" s="223"/>
      <c r="CB2455" s="223"/>
      <c r="CC2455" s="223"/>
      <c r="CD2455" s="223"/>
      <c r="CE2455" s="223"/>
      <c r="CF2455" s="223"/>
      <c r="CG2455" s="223"/>
      <c r="CH2455" s="223"/>
      <c r="CI2455" s="223"/>
      <c r="CJ2455" s="223"/>
      <c r="CK2455" s="223"/>
      <c r="CL2455" s="223"/>
      <c r="CM2455" s="223"/>
      <c r="CN2455" s="223"/>
      <c r="CO2455" s="223"/>
      <c r="CP2455" s="223"/>
      <c r="CQ2455" s="223"/>
      <c r="CR2455" s="223"/>
      <c r="CS2455" s="223"/>
      <c r="CT2455" s="223"/>
      <c r="CU2455" s="223"/>
      <c r="CV2455" s="223"/>
      <c r="CW2455" s="223"/>
      <c r="CX2455" s="223"/>
      <c r="CY2455" s="223"/>
      <c r="CZ2455" s="223"/>
      <c r="DA2455" s="223"/>
      <c r="DB2455" s="223"/>
      <c r="DC2455" s="223"/>
      <c r="DD2455" s="223"/>
      <c r="DE2455" s="223"/>
      <c r="DF2455" s="223"/>
      <c r="DG2455" s="223"/>
      <c r="DH2455" s="223"/>
      <c r="DI2455" s="223"/>
      <c r="DJ2455" s="223"/>
      <c r="DK2455" s="223"/>
      <c r="DL2455" s="223"/>
      <c r="DM2455" s="223"/>
      <c r="DN2455" s="223"/>
      <c r="DO2455" s="223"/>
      <c r="DP2455" s="223"/>
      <c r="DQ2455" s="223"/>
      <c r="DR2455" s="223"/>
      <c r="DS2455" s="223"/>
      <c r="DT2455" s="223"/>
      <c r="DU2455" s="223"/>
      <c r="DV2455" s="223"/>
      <c r="DW2455" s="223"/>
      <c r="DX2455" s="223"/>
      <c r="DY2455" s="223"/>
      <c r="DZ2455" s="223"/>
      <c r="EA2455" s="223"/>
      <c r="EB2455" s="223"/>
      <c r="EC2455" s="223"/>
      <c r="ED2455" s="223"/>
      <c r="EE2455" s="223"/>
      <c r="EF2455" s="223"/>
      <c r="EG2455" s="223"/>
      <c r="EH2455" s="223"/>
      <c r="EI2455" s="223"/>
      <c r="EJ2455" s="223"/>
      <c r="EK2455" s="223"/>
      <c r="EL2455" s="223"/>
      <c r="EM2455" s="223"/>
      <c r="EN2455" s="223"/>
      <c r="EO2455" s="223"/>
      <c r="EP2455" s="223"/>
      <c r="EQ2455" s="223"/>
      <c r="ER2455" s="223"/>
      <c r="ES2455" s="223"/>
      <c r="ET2455" s="223"/>
      <c r="EU2455" s="223"/>
      <c r="EV2455" s="223"/>
      <c r="EW2455" s="223"/>
      <c r="EX2455" s="223"/>
      <c r="EY2455" s="223"/>
      <c r="EZ2455" s="223"/>
      <c r="FA2455" s="223"/>
      <c r="FB2455" s="223"/>
      <c r="FC2455" s="223"/>
      <c r="FD2455" s="223"/>
      <c r="FE2455" s="223"/>
      <c r="FF2455" s="223"/>
      <c r="FG2455" s="223"/>
      <c r="FH2455" s="223"/>
      <c r="FI2455" s="223"/>
      <c r="FJ2455" s="223"/>
      <c r="FK2455" s="223"/>
      <c r="FL2455" s="223"/>
      <c r="FM2455" s="223"/>
      <c r="FN2455" s="223"/>
      <c r="FO2455" s="223"/>
      <c r="FP2455" s="223"/>
      <c r="FQ2455" s="223"/>
      <c r="FR2455" s="223"/>
      <c r="FS2455" s="223"/>
      <c r="FT2455" s="223"/>
      <c r="FU2455" s="223"/>
      <c r="FV2455" s="223"/>
      <c r="FW2455" s="223"/>
      <c r="FX2455" s="223"/>
      <c r="FY2455" s="223"/>
      <c r="FZ2455" s="223"/>
      <c r="GA2455" s="223"/>
      <c r="GB2455" s="223"/>
      <c r="GC2455" s="223"/>
      <c r="GD2455" s="223"/>
      <c r="GE2455" s="223"/>
      <c r="GF2455" s="223"/>
      <c r="GG2455" s="223"/>
      <c r="GH2455" s="223"/>
      <c r="GI2455" s="223"/>
      <c r="GJ2455" s="223"/>
      <c r="GK2455" s="223"/>
      <c r="GL2455" s="223"/>
      <c r="GM2455" s="223"/>
      <c r="GN2455" s="223"/>
      <c r="GO2455" s="223"/>
      <c r="GP2455" s="223"/>
      <c r="GQ2455" s="223"/>
      <c r="GR2455" s="223"/>
      <c r="GS2455" s="223"/>
      <c r="GT2455" s="223"/>
      <c r="GU2455" s="223"/>
      <c r="GV2455" s="223"/>
      <c r="GW2455" s="223"/>
      <c r="GX2455" s="223"/>
      <c r="GY2455" s="223"/>
      <c r="GZ2455" s="223"/>
      <c r="HA2455" s="223"/>
      <c r="HB2455" s="223"/>
      <c r="HC2455" s="223"/>
      <c r="HD2455" s="223"/>
      <c r="HE2455" s="223"/>
      <c r="HF2455" s="223"/>
      <c r="HG2455" s="223"/>
      <c r="HH2455" s="223"/>
      <c r="HI2455" s="223"/>
      <c r="HJ2455" s="223"/>
      <c r="HK2455" s="223"/>
      <c r="HL2455" s="223"/>
      <c r="HM2455" s="223"/>
      <c r="HN2455" s="223"/>
      <c r="HO2455" s="223"/>
      <c r="HP2455" s="223"/>
      <c r="HQ2455" s="223"/>
      <c r="HR2455" s="223"/>
      <c r="HS2455" s="223"/>
      <c r="HT2455" s="223"/>
      <c r="HU2455" s="223"/>
      <c r="HV2455" s="223"/>
      <c r="HW2455" s="223"/>
      <c r="HX2455" s="223"/>
      <c r="HY2455" s="223"/>
      <c r="HZ2455" s="223"/>
      <c r="IA2455" s="223"/>
      <c r="IB2455" s="223"/>
      <c r="IC2455" s="223"/>
      <c r="ID2455" s="223"/>
      <c r="IE2455" s="223"/>
      <c r="IF2455" s="223"/>
      <c r="IG2455" s="223"/>
      <c r="IH2455" s="223"/>
      <c r="II2455" s="223"/>
      <c r="IJ2455" s="223"/>
      <c r="IK2455" s="223"/>
      <c r="IL2455" s="223"/>
      <c r="IM2455" s="223"/>
      <c r="IN2455" s="223"/>
      <c r="IO2455" s="223"/>
      <c r="IP2455" s="223"/>
      <c r="IQ2455" s="223"/>
      <c r="IR2455" s="223"/>
      <c r="IS2455" s="223"/>
      <c r="IT2455" s="223"/>
      <c r="IU2455" s="223"/>
      <c r="IV2455" s="223"/>
    </row>
    <row r="2456" spans="46:256" s="221" customFormat="1" x14ac:dyDescent="0.2">
      <c r="AT2456" s="222"/>
      <c r="AU2456" s="222"/>
      <c r="BD2456" s="223"/>
      <c r="BE2456" s="223"/>
      <c r="BF2456" s="223"/>
      <c r="BG2456" s="223"/>
      <c r="BH2456" s="223"/>
      <c r="BI2456" s="223"/>
      <c r="BJ2456" s="223"/>
      <c r="BK2456" s="223"/>
      <c r="BL2456" s="223"/>
      <c r="BM2456" s="223"/>
      <c r="BN2456" s="223"/>
      <c r="BO2456" s="223"/>
      <c r="BP2456" s="223"/>
      <c r="BQ2456" s="223"/>
      <c r="BR2456" s="223"/>
      <c r="BS2456" s="223"/>
      <c r="BT2456" s="223"/>
      <c r="BU2456" s="223"/>
      <c r="BV2456" s="223"/>
      <c r="BW2456" s="223"/>
      <c r="BX2456" s="223"/>
      <c r="BY2456" s="223"/>
      <c r="BZ2456" s="223"/>
      <c r="CA2456" s="223"/>
      <c r="CB2456" s="223"/>
      <c r="CC2456" s="223"/>
      <c r="CD2456" s="223"/>
      <c r="CE2456" s="223"/>
      <c r="CF2456" s="223"/>
      <c r="CG2456" s="223"/>
      <c r="CH2456" s="223"/>
      <c r="CI2456" s="223"/>
      <c r="CJ2456" s="223"/>
      <c r="CK2456" s="223"/>
      <c r="CL2456" s="223"/>
      <c r="CM2456" s="223"/>
      <c r="CN2456" s="223"/>
      <c r="CO2456" s="223"/>
      <c r="CP2456" s="223"/>
      <c r="CQ2456" s="223"/>
      <c r="CR2456" s="223"/>
      <c r="CS2456" s="223"/>
      <c r="CT2456" s="223"/>
      <c r="CU2456" s="223"/>
      <c r="CV2456" s="223"/>
      <c r="CW2456" s="223"/>
      <c r="CX2456" s="223"/>
      <c r="CY2456" s="223"/>
      <c r="CZ2456" s="223"/>
      <c r="DA2456" s="223"/>
      <c r="DB2456" s="223"/>
      <c r="DC2456" s="223"/>
      <c r="DD2456" s="223"/>
      <c r="DE2456" s="223"/>
      <c r="DF2456" s="223"/>
      <c r="DG2456" s="223"/>
      <c r="DH2456" s="223"/>
      <c r="DI2456" s="223"/>
      <c r="DJ2456" s="223"/>
      <c r="DK2456" s="223"/>
      <c r="DL2456" s="223"/>
      <c r="DM2456" s="223"/>
      <c r="DN2456" s="223"/>
      <c r="DO2456" s="223"/>
      <c r="DP2456" s="223"/>
      <c r="DQ2456" s="223"/>
      <c r="DR2456" s="223"/>
      <c r="DS2456" s="223"/>
      <c r="DT2456" s="223"/>
      <c r="DU2456" s="223"/>
      <c r="DV2456" s="223"/>
      <c r="DW2456" s="223"/>
      <c r="DX2456" s="223"/>
      <c r="DY2456" s="223"/>
      <c r="DZ2456" s="223"/>
      <c r="EA2456" s="223"/>
      <c r="EB2456" s="223"/>
      <c r="EC2456" s="223"/>
      <c r="ED2456" s="223"/>
      <c r="EE2456" s="223"/>
      <c r="EF2456" s="223"/>
      <c r="EG2456" s="223"/>
      <c r="EH2456" s="223"/>
      <c r="EI2456" s="223"/>
      <c r="EJ2456" s="223"/>
      <c r="EK2456" s="223"/>
      <c r="EL2456" s="223"/>
      <c r="EM2456" s="223"/>
      <c r="EN2456" s="223"/>
      <c r="EO2456" s="223"/>
      <c r="EP2456" s="223"/>
      <c r="EQ2456" s="223"/>
      <c r="ER2456" s="223"/>
      <c r="ES2456" s="223"/>
      <c r="ET2456" s="223"/>
      <c r="EU2456" s="223"/>
      <c r="EV2456" s="223"/>
      <c r="EW2456" s="223"/>
      <c r="EX2456" s="223"/>
      <c r="EY2456" s="223"/>
      <c r="EZ2456" s="223"/>
      <c r="FA2456" s="223"/>
      <c r="FB2456" s="223"/>
      <c r="FC2456" s="223"/>
      <c r="FD2456" s="223"/>
      <c r="FE2456" s="223"/>
      <c r="FF2456" s="223"/>
      <c r="FG2456" s="223"/>
      <c r="FH2456" s="223"/>
      <c r="FI2456" s="223"/>
      <c r="FJ2456" s="223"/>
      <c r="FK2456" s="223"/>
      <c r="FL2456" s="223"/>
      <c r="FM2456" s="223"/>
      <c r="FN2456" s="223"/>
      <c r="FO2456" s="223"/>
      <c r="FP2456" s="223"/>
      <c r="FQ2456" s="223"/>
      <c r="FR2456" s="223"/>
      <c r="FS2456" s="223"/>
      <c r="FT2456" s="223"/>
      <c r="FU2456" s="223"/>
      <c r="FV2456" s="223"/>
      <c r="FW2456" s="223"/>
      <c r="FX2456" s="223"/>
      <c r="FY2456" s="223"/>
      <c r="FZ2456" s="223"/>
      <c r="GA2456" s="223"/>
      <c r="GB2456" s="223"/>
      <c r="GC2456" s="223"/>
      <c r="GD2456" s="223"/>
      <c r="GE2456" s="223"/>
      <c r="GF2456" s="223"/>
      <c r="GG2456" s="223"/>
      <c r="GH2456" s="223"/>
      <c r="GI2456" s="223"/>
      <c r="GJ2456" s="223"/>
      <c r="GK2456" s="223"/>
      <c r="GL2456" s="223"/>
      <c r="GM2456" s="223"/>
      <c r="GN2456" s="223"/>
      <c r="GO2456" s="223"/>
      <c r="GP2456" s="223"/>
      <c r="GQ2456" s="223"/>
      <c r="GR2456" s="223"/>
      <c r="GS2456" s="223"/>
      <c r="GT2456" s="223"/>
      <c r="GU2456" s="223"/>
      <c r="GV2456" s="223"/>
      <c r="GW2456" s="223"/>
      <c r="GX2456" s="223"/>
      <c r="GY2456" s="223"/>
      <c r="GZ2456" s="223"/>
      <c r="HA2456" s="223"/>
      <c r="HB2456" s="223"/>
      <c r="HC2456" s="223"/>
      <c r="HD2456" s="223"/>
      <c r="HE2456" s="223"/>
      <c r="HF2456" s="223"/>
      <c r="HG2456" s="223"/>
      <c r="HH2456" s="223"/>
      <c r="HI2456" s="223"/>
      <c r="HJ2456" s="223"/>
      <c r="HK2456" s="223"/>
      <c r="HL2456" s="223"/>
      <c r="HM2456" s="223"/>
      <c r="HN2456" s="223"/>
      <c r="HO2456" s="223"/>
      <c r="HP2456" s="223"/>
      <c r="HQ2456" s="223"/>
      <c r="HR2456" s="223"/>
      <c r="HS2456" s="223"/>
      <c r="HT2456" s="223"/>
      <c r="HU2456" s="223"/>
      <c r="HV2456" s="223"/>
      <c r="HW2456" s="223"/>
      <c r="HX2456" s="223"/>
      <c r="HY2456" s="223"/>
      <c r="HZ2456" s="223"/>
      <c r="IA2456" s="223"/>
      <c r="IB2456" s="223"/>
      <c r="IC2456" s="223"/>
      <c r="ID2456" s="223"/>
      <c r="IE2456" s="223"/>
      <c r="IF2456" s="223"/>
      <c r="IG2456" s="223"/>
      <c r="IH2456" s="223"/>
      <c r="II2456" s="223"/>
      <c r="IJ2456" s="223"/>
      <c r="IK2456" s="223"/>
      <c r="IL2456" s="223"/>
      <c r="IM2456" s="223"/>
      <c r="IN2456" s="223"/>
      <c r="IO2456" s="223"/>
      <c r="IP2456" s="223"/>
      <c r="IQ2456" s="223"/>
      <c r="IR2456" s="223"/>
      <c r="IS2456" s="223"/>
      <c r="IT2456" s="223"/>
      <c r="IU2456" s="223"/>
      <c r="IV2456" s="223"/>
    </row>
    <row r="2457" spans="46:256" s="221" customFormat="1" x14ac:dyDescent="0.2">
      <c r="AT2457" s="222"/>
      <c r="AU2457" s="222"/>
      <c r="BD2457" s="223"/>
      <c r="BE2457" s="223"/>
      <c r="BF2457" s="223"/>
      <c r="BG2457" s="223"/>
      <c r="BH2457" s="223"/>
      <c r="BI2457" s="223"/>
      <c r="BJ2457" s="223"/>
      <c r="BK2457" s="223"/>
      <c r="BL2457" s="223"/>
      <c r="BM2457" s="223"/>
      <c r="BN2457" s="223"/>
      <c r="BO2457" s="223"/>
      <c r="BP2457" s="223"/>
      <c r="BQ2457" s="223"/>
      <c r="BR2457" s="223"/>
      <c r="BS2457" s="223"/>
      <c r="BT2457" s="223"/>
      <c r="BU2457" s="223"/>
      <c r="BV2457" s="223"/>
      <c r="BW2457" s="223"/>
      <c r="BX2457" s="223"/>
      <c r="BY2457" s="223"/>
      <c r="BZ2457" s="223"/>
      <c r="CA2457" s="223"/>
      <c r="CB2457" s="223"/>
      <c r="CC2457" s="223"/>
      <c r="CD2457" s="223"/>
      <c r="CE2457" s="223"/>
      <c r="CF2457" s="223"/>
      <c r="CG2457" s="223"/>
      <c r="CH2457" s="223"/>
      <c r="CI2457" s="223"/>
      <c r="CJ2457" s="223"/>
      <c r="CK2457" s="223"/>
      <c r="CL2457" s="223"/>
      <c r="CM2457" s="223"/>
      <c r="CN2457" s="223"/>
      <c r="CO2457" s="223"/>
      <c r="CP2457" s="223"/>
      <c r="CQ2457" s="223"/>
      <c r="CR2457" s="223"/>
      <c r="CS2457" s="223"/>
      <c r="CT2457" s="223"/>
      <c r="CU2457" s="223"/>
      <c r="CV2457" s="223"/>
      <c r="CW2457" s="223"/>
      <c r="CX2457" s="223"/>
      <c r="CY2457" s="223"/>
      <c r="CZ2457" s="223"/>
      <c r="DA2457" s="223"/>
      <c r="DB2457" s="223"/>
      <c r="DC2457" s="223"/>
      <c r="DD2457" s="223"/>
      <c r="DE2457" s="223"/>
      <c r="DF2457" s="223"/>
      <c r="DG2457" s="223"/>
      <c r="DH2457" s="223"/>
      <c r="DI2457" s="223"/>
      <c r="DJ2457" s="223"/>
      <c r="DK2457" s="223"/>
      <c r="DL2457" s="223"/>
      <c r="DM2457" s="223"/>
      <c r="DN2457" s="223"/>
      <c r="DO2457" s="223"/>
      <c r="DP2457" s="223"/>
      <c r="DQ2457" s="223"/>
      <c r="DR2457" s="223"/>
      <c r="DS2457" s="223"/>
      <c r="DT2457" s="223"/>
      <c r="DU2457" s="223"/>
      <c r="DV2457" s="223"/>
      <c r="DW2457" s="223"/>
      <c r="DX2457" s="223"/>
      <c r="DY2457" s="223"/>
      <c r="DZ2457" s="223"/>
      <c r="EA2457" s="223"/>
      <c r="EB2457" s="223"/>
      <c r="EC2457" s="223"/>
      <c r="ED2457" s="223"/>
      <c r="EE2457" s="223"/>
      <c r="EF2457" s="223"/>
      <c r="EG2457" s="223"/>
      <c r="EH2457" s="223"/>
      <c r="EI2457" s="223"/>
      <c r="EJ2457" s="223"/>
      <c r="EK2457" s="223"/>
      <c r="EL2457" s="223"/>
      <c r="EM2457" s="223"/>
      <c r="EN2457" s="223"/>
      <c r="EO2457" s="223"/>
      <c r="EP2457" s="223"/>
      <c r="EQ2457" s="223"/>
      <c r="ER2457" s="223"/>
      <c r="ES2457" s="223"/>
      <c r="ET2457" s="223"/>
      <c r="EU2457" s="223"/>
      <c r="EV2457" s="223"/>
      <c r="EW2457" s="223"/>
      <c r="EX2457" s="223"/>
      <c r="EY2457" s="223"/>
      <c r="EZ2457" s="223"/>
      <c r="FA2457" s="223"/>
      <c r="FB2457" s="223"/>
      <c r="FC2457" s="223"/>
      <c r="FD2457" s="223"/>
      <c r="FE2457" s="223"/>
      <c r="FF2457" s="223"/>
      <c r="FG2457" s="223"/>
      <c r="FH2457" s="223"/>
      <c r="FI2457" s="223"/>
      <c r="FJ2457" s="223"/>
      <c r="FK2457" s="223"/>
      <c r="FL2457" s="223"/>
      <c r="FM2457" s="223"/>
      <c r="FN2457" s="223"/>
      <c r="FO2457" s="223"/>
      <c r="FP2457" s="223"/>
      <c r="FQ2457" s="223"/>
      <c r="FR2457" s="223"/>
      <c r="FS2457" s="223"/>
      <c r="FT2457" s="223"/>
      <c r="FU2457" s="223"/>
      <c r="FV2457" s="223"/>
      <c r="FW2457" s="223"/>
      <c r="FX2457" s="223"/>
      <c r="FY2457" s="223"/>
      <c r="FZ2457" s="223"/>
      <c r="GA2457" s="223"/>
      <c r="GB2457" s="223"/>
      <c r="GC2457" s="223"/>
      <c r="GD2457" s="223"/>
      <c r="GE2457" s="223"/>
      <c r="GF2457" s="223"/>
      <c r="GG2457" s="223"/>
      <c r="GH2457" s="223"/>
      <c r="GI2457" s="223"/>
      <c r="GJ2457" s="223"/>
      <c r="GK2457" s="223"/>
      <c r="GL2457" s="223"/>
      <c r="GM2457" s="223"/>
      <c r="GN2457" s="223"/>
      <c r="GO2457" s="223"/>
      <c r="GP2457" s="223"/>
      <c r="GQ2457" s="223"/>
      <c r="GR2457" s="223"/>
      <c r="GS2457" s="223"/>
      <c r="GT2457" s="223"/>
      <c r="GU2457" s="223"/>
      <c r="GV2457" s="223"/>
      <c r="GW2457" s="223"/>
      <c r="GX2457" s="223"/>
      <c r="GY2457" s="223"/>
      <c r="GZ2457" s="223"/>
      <c r="HA2457" s="223"/>
      <c r="HB2457" s="223"/>
      <c r="HC2457" s="223"/>
      <c r="HD2457" s="223"/>
      <c r="HE2457" s="223"/>
      <c r="HF2457" s="223"/>
      <c r="HG2457" s="223"/>
      <c r="HH2457" s="223"/>
      <c r="HI2457" s="223"/>
      <c r="HJ2457" s="223"/>
      <c r="HK2457" s="223"/>
      <c r="HL2457" s="223"/>
      <c r="HM2457" s="223"/>
      <c r="HN2457" s="223"/>
      <c r="HO2457" s="223"/>
      <c r="HP2457" s="223"/>
      <c r="HQ2457" s="223"/>
      <c r="HR2457" s="223"/>
      <c r="HS2457" s="223"/>
      <c r="HT2457" s="223"/>
      <c r="HU2457" s="223"/>
      <c r="HV2457" s="223"/>
      <c r="HW2457" s="223"/>
      <c r="HX2457" s="223"/>
      <c r="HY2457" s="223"/>
      <c r="HZ2457" s="223"/>
      <c r="IA2457" s="223"/>
      <c r="IB2457" s="223"/>
      <c r="IC2457" s="223"/>
      <c r="ID2457" s="223"/>
      <c r="IE2457" s="223"/>
      <c r="IF2457" s="223"/>
      <c r="IG2457" s="223"/>
      <c r="IH2457" s="223"/>
      <c r="II2457" s="223"/>
      <c r="IJ2457" s="223"/>
      <c r="IK2457" s="223"/>
      <c r="IL2457" s="223"/>
      <c r="IM2457" s="223"/>
      <c r="IN2457" s="223"/>
      <c r="IO2457" s="223"/>
      <c r="IP2457" s="223"/>
      <c r="IQ2457" s="223"/>
      <c r="IR2457" s="223"/>
      <c r="IS2457" s="223"/>
      <c r="IT2457" s="223"/>
      <c r="IU2457" s="223"/>
      <c r="IV2457" s="223"/>
    </row>
    <row r="2458" spans="46:256" s="221" customFormat="1" x14ac:dyDescent="0.2">
      <c r="AT2458" s="222"/>
      <c r="AU2458" s="222"/>
      <c r="BD2458" s="223"/>
      <c r="BE2458" s="223"/>
      <c r="BF2458" s="223"/>
      <c r="BG2458" s="223"/>
      <c r="BH2458" s="223"/>
      <c r="BI2458" s="223"/>
      <c r="BJ2458" s="223"/>
      <c r="BK2458" s="223"/>
      <c r="BL2458" s="223"/>
      <c r="BM2458" s="223"/>
      <c r="BN2458" s="223"/>
      <c r="BO2458" s="223"/>
      <c r="BP2458" s="223"/>
      <c r="BQ2458" s="223"/>
      <c r="BR2458" s="223"/>
      <c r="BS2458" s="223"/>
      <c r="BT2458" s="223"/>
      <c r="BU2458" s="223"/>
      <c r="BV2458" s="223"/>
      <c r="BW2458" s="223"/>
      <c r="BX2458" s="223"/>
      <c r="BY2458" s="223"/>
      <c r="BZ2458" s="223"/>
      <c r="CA2458" s="223"/>
      <c r="CB2458" s="223"/>
      <c r="CC2458" s="223"/>
      <c r="CD2458" s="223"/>
      <c r="CE2458" s="223"/>
      <c r="CF2458" s="223"/>
      <c r="CG2458" s="223"/>
      <c r="CH2458" s="223"/>
      <c r="CI2458" s="223"/>
      <c r="CJ2458" s="223"/>
      <c r="CK2458" s="223"/>
      <c r="CL2458" s="223"/>
      <c r="CM2458" s="223"/>
      <c r="CN2458" s="223"/>
      <c r="CO2458" s="223"/>
      <c r="CP2458" s="223"/>
      <c r="CQ2458" s="223"/>
      <c r="CR2458" s="223"/>
      <c r="CS2458" s="223"/>
      <c r="CT2458" s="223"/>
      <c r="CU2458" s="223"/>
      <c r="CV2458" s="223"/>
      <c r="CW2458" s="223"/>
      <c r="CX2458" s="223"/>
      <c r="CY2458" s="223"/>
      <c r="CZ2458" s="223"/>
      <c r="DA2458" s="223"/>
      <c r="DB2458" s="223"/>
      <c r="DC2458" s="223"/>
      <c r="DD2458" s="223"/>
      <c r="DE2458" s="223"/>
      <c r="DF2458" s="223"/>
      <c r="DG2458" s="223"/>
      <c r="DH2458" s="223"/>
      <c r="DI2458" s="223"/>
      <c r="DJ2458" s="223"/>
      <c r="DK2458" s="223"/>
      <c r="DL2458" s="223"/>
      <c r="DM2458" s="223"/>
      <c r="DN2458" s="223"/>
      <c r="DO2458" s="223"/>
      <c r="DP2458" s="223"/>
      <c r="DQ2458" s="223"/>
      <c r="DR2458" s="223"/>
      <c r="DS2458" s="223"/>
      <c r="DT2458" s="223"/>
      <c r="DU2458" s="223"/>
      <c r="DV2458" s="223"/>
      <c r="DW2458" s="223"/>
      <c r="DX2458" s="223"/>
      <c r="DY2458" s="223"/>
      <c r="DZ2458" s="223"/>
      <c r="EA2458" s="223"/>
      <c r="EB2458" s="223"/>
      <c r="EC2458" s="223"/>
      <c r="ED2458" s="223"/>
      <c r="EE2458" s="223"/>
      <c r="EF2458" s="223"/>
      <c r="EG2458" s="223"/>
      <c r="EH2458" s="223"/>
      <c r="EI2458" s="223"/>
      <c r="EJ2458" s="223"/>
      <c r="EK2458" s="223"/>
      <c r="EL2458" s="223"/>
      <c r="EM2458" s="223"/>
      <c r="EN2458" s="223"/>
      <c r="EO2458" s="223"/>
      <c r="EP2458" s="223"/>
      <c r="EQ2458" s="223"/>
      <c r="ER2458" s="223"/>
      <c r="ES2458" s="223"/>
      <c r="ET2458" s="223"/>
      <c r="EU2458" s="223"/>
      <c r="EV2458" s="223"/>
      <c r="EW2458" s="223"/>
      <c r="EX2458" s="223"/>
      <c r="EY2458" s="223"/>
      <c r="EZ2458" s="223"/>
      <c r="FA2458" s="223"/>
      <c r="FB2458" s="223"/>
      <c r="FC2458" s="223"/>
      <c r="FD2458" s="223"/>
      <c r="FE2458" s="223"/>
      <c r="FF2458" s="223"/>
      <c r="FG2458" s="223"/>
      <c r="FH2458" s="223"/>
      <c r="FI2458" s="223"/>
      <c r="FJ2458" s="223"/>
      <c r="FK2458" s="223"/>
      <c r="FL2458" s="223"/>
      <c r="FM2458" s="223"/>
      <c r="FN2458" s="223"/>
      <c r="FO2458" s="223"/>
      <c r="FP2458" s="223"/>
      <c r="FQ2458" s="223"/>
      <c r="FR2458" s="223"/>
      <c r="FS2458" s="223"/>
      <c r="FT2458" s="223"/>
      <c r="FU2458" s="223"/>
      <c r="FV2458" s="223"/>
      <c r="FW2458" s="223"/>
      <c r="FX2458" s="223"/>
      <c r="FY2458" s="223"/>
      <c r="FZ2458" s="223"/>
      <c r="GA2458" s="223"/>
      <c r="GB2458" s="223"/>
      <c r="GC2458" s="223"/>
      <c r="GD2458" s="223"/>
      <c r="GE2458" s="223"/>
      <c r="GF2458" s="223"/>
      <c r="GG2458" s="223"/>
      <c r="GH2458" s="223"/>
      <c r="GI2458" s="223"/>
      <c r="GJ2458" s="223"/>
      <c r="GK2458" s="223"/>
      <c r="GL2458" s="223"/>
      <c r="GM2458" s="223"/>
      <c r="GN2458" s="223"/>
      <c r="GO2458" s="223"/>
      <c r="GP2458" s="223"/>
      <c r="GQ2458" s="223"/>
      <c r="GR2458" s="223"/>
      <c r="GS2458" s="223"/>
      <c r="GT2458" s="223"/>
      <c r="GU2458" s="223"/>
      <c r="GV2458" s="223"/>
      <c r="GW2458" s="223"/>
      <c r="GX2458" s="223"/>
      <c r="GY2458" s="223"/>
      <c r="GZ2458" s="223"/>
      <c r="HA2458" s="223"/>
      <c r="HB2458" s="223"/>
      <c r="HC2458" s="223"/>
      <c r="HD2458" s="223"/>
      <c r="HE2458" s="223"/>
      <c r="HF2458" s="223"/>
      <c r="HG2458" s="223"/>
      <c r="HH2458" s="223"/>
      <c r="HI2458" s="223"/>
      <c r="HJ2458" s="223"/>
      <c r="HK2458" s="223"/>
      <c r="HL2458" s="223"/>
      <c r="HM2458" s="223"/>
      <c r="HN2458" s="223"/>
      <c r="HO2458" s="223"/>
      <c r="HP2458" s="223"/>
      <c r="HQ2458" s="223"/>
      <c r="HR2458" s="223"/>
      <c r="HS2458" s="223"/>
      <c r="HT2458" s="223"/>
      <c r="HU2458" s="223"/>
      <c r="HV2458" s="223"/>
      <c r="HW2458" s="223"/>
      <c r="HX2458" s="223"/>
      <c r="HY2458" s="223"/>
      <c r="HZ2458" s="223"/>
      <c r="IA2458" s="223"/>
      <c r="IB2458" s="223"/>
      <c r="IC2458" s="223"/>
      <c r="ID2458" s="223"/>
      <c r="IE2458" s="223"/>
      <c r="IF2458" s="223"/>
      <c r="IG2458" s="223"/>
      <c r="IH2458" s="223"/>
      <c r="II2458" s="223"/>
      <c r="IJ2458" s="223"/>
      <c r="IK2458" s="223"/>
      <c r="IL2458" s="223"/>
      <c r="IM2458" s="223"/>
      <c r="IN2458" s="223"/>
      <c r="IO2458" s="223"/>
      <c r="IP2458" s="223"/>
      <c r="IQ2458" s="223"/>
      <c r="IR2458" s="223"/>
      <c r="IS2458" s="223"/>
      <c r="IT2458" s="223"/>
      <c r="IU2458" s="223"/>
      <c r="IV2458" s="223"/>
    </row>
    <row r="2459" spans="46:256" s="221" customFormat="1" x14ac:dyDescent="0.2">
      <c r="AT2459" s="222"/>
      <c r="AU2459" s="222"/>
      <c r="BD2459" s="223"/>
      <c r="BE2459" s="223"/>
      <c r="BF2459" s="223"/>
      <c r="BG2459" s="223"/>
      <c r="BH2459" s="223"/>
      <c r="BI2459" s="223"/>
      <c r="BJ2459" s="223"/>
      <c r="BK2459" s="223"/>
      <c r="BL2459" s="223"/>
      <c r="BM2459" s="223"/>
      <c r="BN2459" s="223"/>
      <c r="BO2459" s="223"/>
      <c r="BP2459" s="223"/>
      <c r="BQ2459" s="223"/>
      <c r="BR2459" s="223"/>
      <c r="BS2459" s="223"/>
      <c r="BT2459" s="223"/>
      <c r="BU2459" s="223"/>
      <c r="BV2459" s="223"/>
      <c r="BW2459" s="223"/>
      <c r="BX2459" s="223"/>
      <c r="BY2459" s="223"/>
      <c r="BZ2459" s="223"/>
      <c r="CA2459" s="223"/>
      <c r="CB2459" s="223"/>
      <c r="CC2459" s="223"/>
      <c r="CD2459" s="223"/>
      <c r="CE2459" s="223"/>
      <c r="CF2459" s="223"/>
      <c r="CG2459" s="223"/>
      <c r="CH2459" s="223"/>
      <c r="CI2459" s="223"/>
      <c r="CJ2459" s="223"/>
      <c r="CK2459" s="223"/>
      <c r="CL2459" s="223"/>
      <c r="CM2459" s="223"/>
      <c r="CN2459" s="223"/>
      <c r="CO2459" s="223"/>
      <c r="CP2459" s="223"/>
      <c r="CQ2459" s="223"/>
      <c r="CR2459" s="223"/>
      <c r="CS2459" s="223"/>
      <c r="CT2459" s="223"/>
      <c r="CU2459" s="223"/>
      <c r="CV2459" s="223"/>
      <c r="CW2459" s="223"/>
      <c r="CX2459" s="223"/>
      <c r="CY2459" s="223"/>
      <c r="CZ2459" s="223"/>
      <c r="DA2459" s="223"/>
      <c r="DB2459" s="223"/>
      <c r="DC2459" s="223"/>
      <c r="DD2459" s="223"/>
      <c r="DE2459" s="223"/>
      <c r="DF2459" s="223"/>
      <c r="DG2459" s="223"/>
      <c r="DH2459" s="223"/>
      <c r="DI2459" s="223"/>
      <c r="DJ2459" s="223"/>
      <c r="DK2459" s="223"/>
      <c r="DL2459" s="223"/>
      <c r="DM2459" s="223"/>
      <c r="DN2459" s="223"/>
      <c r="DO2459" s="223"/>
      <c r="DP2459" s="223"/>
      <c r="DQ2459" s="223"/>
      <c r="DR2459" s="223"/>
      <c r="DS2459" s="223"/>
      <c r="DT2459" s="223"/>
      <c r="DU2459" s="223"/>
      <c r="DV2459" s="223"/>
      <c r="DW2459" s="223"/>
      <c r="DX2459" s="223"/>
      <c r="DY2459" s="223"/>
      <c r="DZ2459" s="223"/>
      <c r="EA2459" s="223"/>
      <c r="EB2459" s="223"/>
      <c r="EC2459" s="223"/>
      <c r="ED2459" s="223"/>
      <c r="EE2459" s="223"/>
      <c r="EF2459" s="223"/>
      <c r="EG2459" s="223"/>
      <c r="EH2459" s="223"/>
      <c r="EI2459" s="223"/>
      <c r="EJ2459" s="223"/>
      <c r="EK2459" s="223"/>
      <c r="EL2459" s="223"/>
      <c r="EM2459" s="223"/>
      <c r="EN2459" s="223"/>
      <c r="EO2459" s="223"/>
      <c r="EP2459" s="223"/>
      <c r="EQ2459" s="223"/>
      <c r="ER2459" s="223"/>
      <c r="ES2459" s="223"/>
      <c r="ET2459" s="223"/>
      <c r="EU2459" s="223"/>
      <c r="EV2459" s="223"/>
      <c r="EW2459" s="223"/>
      <c r="EX2459" s="223"/>
      <c r="EY2459" s="223"/>
      <c r="EZ2459" s="223"/>
      <c r="FA2459" s="223"/>
      <c r="FB2459" s="223"/>
      <c r="FC2459" s="223"/>
      <c r="FD2459" s="223"/>
      <c r="FE2459" s="223"/>
      <c r="FF2459" s="223"/>
      <c r="FG2459" s="223"/>
      <c r="FH2459" s="223"/>
      <c r="FI2459" s="223"/>
      <c r="FJ2459" s="223"/>
      <c r="FK2459" s="223"/>
      <c r="FL2459" s="223"/>
      <c r="FM2459" s="223"/>
      <c r="FN2459" s="223"/>
      <c r="FO2459" s="223"/>
      <c r="FP2459" s="223"/>
      <c r="FQ2459" s="223"/>
      <c r="FR2459" s="223"/>
      <c r="FS2459" s="223"/>
      <c r="FT2459" s="223"/>
      <c r="FU2459" s="223"/>
      <c r="FV2459" s="223"/>
      <c r="FW2459" s="223"/>
      <c r="FX2459" s="223"/>
      <c r="FY2459" s="223"/>
      <c r="FZ2459" s="223"/>
      <c r="GA2459" s="223"/>
      <c r="GB2459" s="223"/>
      <c r="GC2459" s="223"/>
      <c r="GD2459" s="223"/>
      <c r="GE2459" s="223"/>
      <c r="GF2459" s="223"/>
      <c r="GG2459" s="223"/>
      <c r="GH2459" s="223"/>
      <c r="GI2459" s="223"/>
      <c r="GJ2459" s="223"/>
      <c r="GK2459" s="223"/>
      <c r="GL2459" s="223"/>
      <c r="GM2459" s="223"/>
      <c r="GN2459" s="223"/>
      <c r="GO2459" s="223"/>
      <c r="GP2459" s="223"/>
      <c r="GQ2459" s="223"/>
      <c r="GR2459" s="223"/>
      <c r="GS2459" s="223"/>
      <c r="GT2459" s="223"/>
      <c r="GU2459" s="223"/>
      <c r="GV2459" s="223"/>
      <c r="GW2459" s="223"/>
      <c r="GX2459" s="223"/>
      <c r="GY2459" s="223"/>
      <c r="GZ2459" s="223"/>
      <c r="HA2459" s="223"/>
      <c r="HB2459" s="223"/>
      <c r="HC2459" s="223"/>
      <c r="HD2459" s="223"/>
      <c r="HE2459" s="223"/>
      <c r="HF2459" s="223"/>
      <c r="HG2459" s="223"/>
      <c r="HH2459" s="223"/>
      <c r="HI2459" s="223"/>
      <c r="HJ2459" s="223"/>
      <c r="HK2459" s="223"/>
      <c r="HL2459" s="223"/>
      <c r="HM2459" s="223"/>
      <c r="HN2459" s="223"/>
      <c r="HO2459" s="223"/>
      <c r="HP2459" s="223"/>
      <c r="HQ2459" s="223"/>
      <c r="HR2459" s="223"/>
      <c r="HS2459" s="223"/>
      <c r="HT2459" s="223"/>
      <c r="HU2459" s="223"/>
      <c r="HV2459" s="223"/>
      <c r="HW2459" s="223"/>
      <c r="HX2459" s="223"/>
      <c r="HY2459" s="223"/>
      <c r="HZ2459" s="223"/>
      <c r="IA2459" s="223"/>
      <c r="IB2459" s="223"/>
      <c r="IC2459" s="223"/>
      <c r="ID2459" s="223"/>
      <c r="IE2459" s="223"/>
      <c r="IF2459" s="223"/>
      <c r="IG2459" s="223"/>
      <c r="IH2459" s="223"/>
      <c r="II2459" s="223"/>
      <c r="IJ2459" s="223"/>
      <c r="IK2459" s="223"/>
      <c r="IL2459" s="223"/>
      <c r="IM2459" s="223"/>
      <c r="IN2459" s="223"/>
      <c r="IO2459" s="223"/>
      <c r="IP2459" s="223"/>
      <c r="IQ2459" s="223"/>
      <c r="IR2459" s="223"/>
      <c r="IS2459" s="223"/>
      <c r="IT2459" s="223"/>
      <c r="IU2459" s="223"/>
      <c r="IV2459" s="223"/>
    </row>
    <row r="2460" spans="46:256" s="221" customFormat="1" x14ac:dyDescent="0.2">
      <c r="AT2460" s="222"/>
      <c r="AU2460" s="222"/>
      <c r="BD2460" s="223"/>
      <c r="BE2460" s="223"/>
      <c r="BF2460" s="223"/>
      <c r="BG2460" s="223"/>
      <c r="BH2460" s="223"/>
      <c r="BI2460" s="223"/>
      <c r="BJ2460" s="223"/>
      <c r="BK2460" s="223"/>
      <c r="BL2460" s="223"/>
      <c r="BM2460" s="223"/>
      <c r="BN2460" s="223"/>
      <c r="BO2460" s="223"/>
      <c r="BP2460" s="223"/>
      <c r="BQ2460" s="223"/>
      <c r="BR2460" s="223"/>
      <c r="BS2460" s="223"/>
      <c r="BT2460" s="223"/>
      <c r="BU2460" s="223"/>
      <c r="BV2460" s="223"/>
      <c r="BW2460" s="223"/>
      <c r="BX2460" s="223"/>
      <c r="BY2460" s="223"/>
      <c r="BZ2460" s="223"/>
      <c r="CA2460" s="223"/>
      <c r="CB2460" s="223"/>
      <c r="CC2460" s="223"/>
      <c r="CD2460" s="223"/>
      <c r="CE2460" s="223"/>
      <c r="CF2460" s="223"/>
      <c r="CG2460" s="223"/>
      <c r="CH2460" s="223"/>
      <c r="CI2460" s="223"/>
      <c r="CJ2460" s="223"/>
      <c r="CK2460" s="223"/>
      <c r="CL2460" s="223"/>
      <c r="CM2460" s="223"/>
      <c r="CN2460" s="223"/>
      <c r="CO2460" s="223"/>
      <c r="CP2460" s="223"/>
      <c r="CQ2460" s="223"/>
      <c r="CR2460" s="223"/>
      <c r="CS2460" s="223"/>
      <c r="CT2460" s="223"/>
      <c r="CU2460" s="223"/>
      <c r="CV2460" s="223"/>
      <c r="CW2460" s="223"/>
      <c r="CX2460" s="223"/>
      <c r="CY2460" s="223"/>
      <c r="CZ2460" s="223"/>
      <c r="DA2460" s="223"/>
      <c r="DB2460" s="223"/>
      <c r="DC2460" s="223"/>
      <c r="DD2460" s="223"/>
      <c r="DE2460" s="223"/>
      <c r="DF2460" s="223"/>
      <c r="DG2460" s="223"/>
      <c r="DH2460" s="223"/>
      <c r="DI2460" s="223"/>
      <c r="DJ2460" s="223"/>
      <c r="DK2460" s="223"/>
      <c r="DL2460" s="223"/>
      <c r="DM2460" s="223"/>
      <c r="DN2460" s="223"/>
      <c r="DO2460" s="223"/>
      <c r="DP2460" s="223"/>
      <c r="DQ2460" s="223"/>
      <c r="DR2460" s="223"/>
      <c r="DS2460" s="223"/>
      <c r="DT2460" s="223"/>
      <c r="DU2460" s="223"/>
      <c r="DV2460" s="223"/>
      <c r="DW2460" s="223"/>
      <c r="DX2460" s="223"/>
      <c r="DY2460" s="223"/>
      <c r="DZ2460" s="223"/>
      <c r="EA2460" s="223"/>
      <c r="EB2460" s="223"/>
      <c r="EC2460" s="223"/>
      <c r="ED2460" s="223"/>
      <c r="EE2460" s="223"/>
      <c r="EF2460" s="223"/>
      <c r="EG2460" s="223"/>
      <c r="EH2460" s="223"/>
      <c r="EI2460" s="223"/>
      <c r="EJ2460" s="223"/>
      <c r="EK2460" s="223"/>
      <c r="EL2460" s="223"/>
      <c r="EM2460" s="223"/>
      <c r="EN2460" s="223"/>
      <c r="EO2460" s="223"/>
      <c r="EP2460" s="223"/>
      <c r="EQ2460" s="223"/>
      <c r="ER2460" s="223"/>
      <c r="ES2460" s="223"/>
      <c r="ET2460" s="223"/>
      <c r="EU2460" s="223"/>
      <c r="EV2460" s="223"/>
      <c r="EW2460" s="223"/>
      <c r="EX2460" s="223"/>
      <c r="EY2460" s="223"/>
      <c r="EZ2460" s="223"/>
      <c r="FA2460" s="223"/>
      <c r="FB2460" s="223"/>
      <c r="FC2460" s="223"/>
      <c r="FD2460" s="223"/>
      <c r="FE2460" s="223"/>
      <c r="FF2460" s="223"/>
      <c r="FG2460" s="223"/>
      <c r="FH2460" s="223"/>
      <c r="FI2460" s="223"/>
      <c r="FJ2460" s="223"/>
      <c r="FK2460" s="223"/>
      <c r="FL2460" s="223"/>
      <c r="FM2460" s="223"/>
      <c r="FN2460" s="223"/>
      <c r="FO2460" s="223"/>
      <c r="FP2460" s="223"/>
      <c r="FQ2460" s="223"/>
      <c r="FR2460" s="223"/>
      <c r="FS2460" s="223"/>
      <c r="FT2460" s="223"/>
      <c r="FU2460" s="223"/>
      <c r="FV2460" s="223"/>
      <c r="FW2460" s="223"/>
      <c r="FX2460" s="223"/>
      <c r="FY2460" s="223"/>
      <c r="FZ2460" s="223"/>
      <c r="GA2460" s="223"/>
      <c r="GB2460" s="223"/>
      <c r="GC2460" s="223"/>
      <c r="GD2460" s="223"/>
      <c r="GE2460" s="223"/>
      <c r="GF2460" s="223"/>
      <c r="GG2460" s="223"/>
      <c r="GH2460" s="223"/>
      <c r="GI2460" s="223"/>
      <c r="GJ2460" s="223"/>
      <c r="GK2460" s="223"/>
      <c r="GL2460" s="223"/>
      <c r="GM2460" s="223"/>
      <c r="GN2460" s="223"/>
      <c r="GO2460" s="223"/>
      <c r="GP2460" s="223"/>
      <c r="GQ2460" s="223"/>
      <c r="GR2460" s="223"/>
      <c r="GS2460" s="223"/>
      <c r="GT2460" s="223"/>
      <c r="GU2460" s="223"/>
      <c r="GV2460" s="223"/>
      <c r="GW2460" s="223"/>
      <c r="GX2460" s="223"/>
      <c r="GY2460" s="223"/>
      <c r="GZ2460" s="223"/>
      <c r="HA2460" s="223"/>
      <c r="HB2460" s="223"/>
      <c r="HC2460" s="223"/>
      <c r="HD2460" s="223"/>
      <c r="HE2460" s="223"/>
      <c r="HF2460" s="223"/>
      <c r="HG2460" s="223"/>
      <c r="HH2460" s="223"/>
      <c r="HI2460" s="223"/>
      <c r="HJ2460" s="223"/>
      <c r="HK2460" s="223"/>
      <c r="HL2460" s="223"/>
      <c r="HM2460" s="223"/>
      <c r="HN2460" s="223"/>
      <c r="HO2460" s="223"/>
      <c r="HP2460" s="223"/>
      <c r="HQ2460" s="223"/>
      <c r="HR2460" s="223"/>
      <c r="HS2460" s="223"/>
      <c r="HT2460" s="223"/>
      <c r="HU2460" s="223"/>
      <c r="HV2460" s="223"/>
      <c r="HW2460" s="223"/>
      <c r="HX2460" s="223"/>
      <c r="HY2460" s="223"/>
      <c r="HZ2460" s="223"/>
      <c r="IA2460" s="223"/>
      <c r="IB2460" s="223"/>
      <c r="IC2460" s="223"/>
      <c r="ID2460" s="223"/>
      <c r="IE2460" s="223"/>
      <c r="IF2460" s="223"/>
      <c r="IG2460" s="223"/>
      <c r="IH2460" s="223"/>
      <c r="II2460" s="223"/>
      <c r="IJ2460" s="223"/>
      <c r="IK2460" s="223"/>
      <c r="IL2460" s="223"/>
      <c r="IM2460" s="223"/>
      <c r="IN2460" s="223"/>
      <c r="IO2460" s="223"/>
      <c r="IP2460" s="223"/>
      <c r="IQ2460" s="223"/>
      <c r="IR2460" s="223"/>
      <c r="IS2460" s="223"/>
      <c r="IT2460" s="223"/>
      <c r="IU2460" s="223"/>
      <c r="IV2460" s="223"/>
    </row>
    <row r="2461" spans="46:256" s="221" customFormat="1" x14ac:dyDescent="0.2">
      <c r="AT2461" s="222"/>
      <c r="AU2461" s="222"/>
      <c r="BD2461" s="223"/>
      <c r="BE2461" s="223"/>
      <c r="BF2461" s="223"/>
      <c r="BG2461" s="223"/>
      <c r="BH2461" s="223"/>
      <c r="BI2461" s="223"/>
      <c r="BJ2461" s="223"/>
      <c r="BK2461" s="223"/>
      <c r="BL2461" s="223"/>
      <c r="BM2461" s="223"/>
      <c r="BN2461" s="223"/>
      <c r="BO2461" s="223"/>
      <c r="BP2461" s="223"/>
      <c r="BQ2461" s="223"/>
      <c r="BR2461" s="223"/>
      <c r="BS2461" s="223"/>
      <c r="BT2461" s="223"/>
      <c r="BU2461" s="223"/>
      <c r="BV2461" s="223"/>
      <c r="BW2461" s="223"/>
      <c r="BX2461" s="223"/>
      <c r="BY2461" s="223"/>
      <c r="BZ2461" s="223"/>
      <c r="CA2461" s="223"/>
      <c r="CB2461" s="223"/>
      <c r="CC2461" s="223"/>
      <c r="CD2461" s="223"/>
      <c r="CE2461" s="223"/>
      <c r="CF2461" s="223"/>
      <c r="CG2461" s="223"/>
      <c r="CH2461" s="223"/>
      <c r="CI2461" s="223"/>
      <c r="CJ2461" s="223"/>
      <c r="CK2461" s="223"/>
      <c r="CL2461" s="223"/>
      <c r="CM2461" s="223"/>
      <c r="CN2461" s="223"/>
      <c r="CO2461" s="223"/>
      <c r="CP2461" s="223"/>
      <c r="CQ2461" s="223"/>
      <c r="CR2461" s="223"/>
      <c r="CS2461" s="223"/>
      <c r="CT2461" s="223"/>
      <c r="CU2461" s="223"/>
      <c r="CV2461" s="223"/>
      <c r="CW2461" s="223"/>
      <c r="CX2461" s="223"/>
      <c r="CY2461" s="223"/>
      <c r="CZ2461" s="223"/>
      <c r="DA2461" s="223"/>
      <c r="DB2461" s="223"/>
      <c r="DC2461" s="223"/>
      <c r="DD2461" s="223"/>
      <c r="DE2461" s="223"/>
      <c r="DF2461" s="223"/>
      <c r="DG2461" s="223"/>
      <c r="DH2461" s="223"/>
      <c r="DI2461" s="223"/>
      <c r="DJ2461" s="223"/>
      <c r="DK2461" s="223"/>
      <c r="DL2461" s="223"/>
      <c r="DM2461" s="223"/>
      <c r="DN2461" s="223"/>
      <c r="DO2461" s="223"/>
      <c r="DP2461" s="223"/>
      <c r="DQ2461" s="223"/>
      <c r="DR2461" s="223"/>
      <c r="DS2461" s="223"/>
      <c r="DT2461" s="223"/>
      <c r="DU2461" s="223"/>
      <c r="DV2461" s="223"/>
      <c r="DW2461" s="223"/>
      <c r="DX2461" s="223"/>
      <c r="DY2461" s="223"/>
      <c r="DZ2461" s="223"/>
      <c r="EA2461" s="223"/>
      <c r="EB2461" s="223"/>
      <c r="EC2461" s="223"/>
      <c r="ED2461" s="223"/>
      <c r="EE2461" s="223"/>
      <c r="EF2461" s="223"/>
      <c r="EG2461" s="223"/>
      <c r="EH2461" s="223"/>
      <c r="EI2461" s="223"/>
      <c r="EJ2461" s="223"/>
      <c r="EK2461" s="223"/>
      <c r="EL2461" s="223"/>
      <c r="EM2461" s="223"/>
      <c r="EN2461" s="223"/>
      <c r="EO2461" s="223"/>
      <c r="EP2461" s="223"/>
      <c r="EQ2461" s="223"/>
      <c r="ER2461" s="223"/>
      <c r="ES2461" s="223"/>
      <c r="ET2461" s="223"/>
      <c r="EU2461" s="223"/>
      <c r="EV2461" s="223"/>
      <c r="EW2461" s="223"/>
      <c r="EX2461" s="223"/>
      <c r="EY2461" s="223"/>
      <c r="EZ2461" s="223"/>
      <c r="FA2461" s="223"/>
      <c r="FB2461" s="223"/>
      <c r="FC2461" s="223"/>
      <c r="FD2461" s="223"/>
      <c r="FE2461" s="223"/>
      <c r="FF2461" s="223"/>
      <c r="FG2461" s="223"/>
      <c r="FH2461" s="223"/>
      <c r="FI2461" s="223"/>
      <c r="FJ2461" s="223"/>
      <c r="FK2461" s="223"/>
      <c r="FL2461" s="223"/>
      <c r="FM2461" s="223"/>
      <c r="FN2461" s="223"/>
      <c r="FO2461" s="223"/>
      <c r="FP2461" s="223"/>
      <c r="FQ2461" s="223"/>
      <c r="FR2461" s="223"/>
      <c r="FS2461" s="223"/>
      <c r="FT2461" s="223"/>
      <c r="FU2461" s="223"/>
      <c r="FV2461" s="223"/>
      <c r="FW2461" s="223"/>
      <c r="FX2461" s="223"/>
      <c r="FY2461" s="223"/>
      <c r="FZ2461" s="223"/>
      <c r="GA2461" s="223"/>
      <c r="GB2461" s="223"/>
      <c r="GC2461" s="223"/>
      <c r="GD2461" s="223"/>
      <c r="GE2461" s="223"/>
      <c r="GF2461" s="223"/>
      <c r="GG2461" s="223"/>
      <c r="GH2461" s="223"/>
      <c r="GI2461" s="223"/>
      <c r="GJ2461" s="223"/>
      <c r="GK2461" s="223"/>
      <c r="GL2461" s="223"/>
      <c r="GM2461" s="223"/>
      <c r="GN2461" s="223"/>
      <c r="GO2461" s="223"/>
      <c r="GP2461" s="223"/>
      <c r="GQ2461" s="223"/>
      <c r="GR2461" s="223"/>
      <c r="GS2461" s="223"/>
      <c r="GT2461" s="223"/>
      <c r="GU2461" s="223"/>
      <c r="GV2461" s="223"/>
      <c r="GW2461" s="223"/>
      <c r="GX2461" s="223"/>
      <c r="GY2461" s="223"/>
      <c r="GZ2461" s="223"/>
      <c r="HA2461" s="223"/>
      <c r="HB2461" s="223"/>
      <c r="HC2461" s="223"/>
      <c r="HD2461" s="223"/>
      <c r="HE2461" s="223"/>
      <c r="HF2461" s="223"/>
      <c r="HG2461" s="223"/>
      <c r="HH2461" s="223"/>
      <c r="HI2461" s="223"/>
      <c r="HJ2461" s="223"/>
      <c r="HK2461" s="223"/>
      <c r="HL2461" s="223"/>
      <c r="HM2461" s="223"/>
      <c r="HN2461" s="223"/>
      <c r="HO2461" s="223"/>
      <c r="HP2461" s="223"/>
      <c r="HQ2461" s="223"/>
      <c r="HR2461" s="223"/>
      <c r="HS2461" s="223"/>
      <c r="HT2461" s="223"/>
      <c r="HU2461" s="223"/>
      <c r="HV2461" s="223"/>
      <c r="HW2461" s="223"/>
      <c r="HX2461" s="223"/>
      <c r="HY2461" s="223"/>
      <c r="HZ2461" s="223"/>
      <c r="IA2461" s="223"/>
      <c r="IB2461" s="223"/>
      <c r="IC2461" s="223"/>
      <c r="ID2461" s="223"/>
      <c r="IE2461" s="223"/>
      <c r="IF2461" s="223"/>
      <c r="IG2461" s="223"/>
      <c r="IH2461" s="223"/>
      <c r="II2461" s="223"/>
      <c r="IJ2461" s="223"/>
      <c r="IK2461" s="223"/>
      <c r="IL2461" s="223"/>
      <c r="IM2461" s="223"/>
      <c r="IN2461" s="223"/>
      <c r="IO2461" s="223"/>
      <c r="IP2461" s="223"/>
      <c r="IQ2461" s="223"/>
      <c r="IR2461" s="223"/>
      <c r="IS2461" s="223"/>
      <c r="IT2461" s="223"/>
      <c r="IU2461" s="223"/>
      <c r="IV2461" s="223"/>
    </row>
    <row r="2462" spans="46:256" s="221" customFormat="1" x14ac:dyDescent="0.2">
      <c r="AT2462" s="222"/>
      <c r="AU2462" s="222"/>
      <c r="BD2462" s="223"/>
      <c r="BE2462" s="223"/>
      <c r="BF2462" s="223"/>
      <c r="BG2462" s="223"/>
      <c r="BH2462" s="223"/>
      <c r="BI2462" s="223"/>
      <c r="BJ2462" s="223"/>
      <c r="BK2462" s="223"/>
      <c r="BL2462" s="223"/>
      <c r="BM2462" s="223"/>
      <c r="BN2462" s="223"/>
      <c r="BO2462" s="223"/>
      <c r="BP2462" s="223"/>
      <c r="BQ2462" s="223"/>
      <c r="BR2462" s="223"/>
      <c r="BS2462" s="223"/>
      <c r="BT2462" s="223"/>
      <c r="BU2462" s="223"/>
      <c r="BV2462" s="223"/>
      <c r="BW2462" s="223"/>
      <c r="BX2462" s="223"/>
      <c r="BY2462" s="223"/>
      <c r="BZ2462" s="223"/>
      <c r="CA2462" s="223"/>
      <c r="CB2462" s="223"/>
      <c r="CC2462" s="223"/>
      <c r="CD2462" s="223"/>
      <c r="CE2462" s="223"/>
      <c r="CF2462" s="223"/>
      <c r="CG2462" s="223"/>
      <c r="CH2462" s="223"/>
      <c r="CI2462" s="223"/>
      <c r="CJ2462" s="223"/>
      <c r="CK2462" s="223"/>
      <c r="CL2462" s="223"/>
      <c r="CM2462" s="223"/>
      <c r="CN2462" s="223"/>
      <c r="CO2462" s="223"/>
      <c r="CP2462" s="223"/>
      <c r="CQ2462" s="223"/>
      <c r="CR2462" s="223"/>
      <c r="CS2462" s="223"/>
      <c r="CT2462" s="223"/>
      <c r="CU2462" s="223"/>
      <c r="CV2462" s="223"/>
      <c r="CW2462" s="223"/>
      <c r="CX2462" s="223"/>
      <c r="CY2462" s="223"/>
      <c r="CZ2462" s="223"/>
      <c r="DA2462" s="223"/>
      <c r="DB2462" s="223"/>
      <c r="DC2462" s="223"/>
      <c r="DD2462" s="223"/>
      <c r="DE2462" s="223"/>
      <c r="DF2462" s="223"/>
      <c r="DG2462" s="223"/>
      <c r="DH2462" s="223"/>
      <c r="DI2462" s="223"/>
      <c r="DJ2462" s="223"/>
      <c r="DK2462" s="223"/>
      <c r="DL2462" s="223"/>
      <c r="DM2462" s="223"/>
      <c r="DN2462" s="223"/>
      <c r="DO2462" s="223"/>
      <c r="DP2462" s="223"/>
      <c r="DQ2462" s="223"/>
      <c r="DR2462" s="223"/>
      <c r="DS2462" s="223"/>
      <c r="DT2462" s="223"/>
      <c r="DU2462" s="223"/>
      <c r="DV2462" s="223"/>
      <c r="DW2462" s="223"/>
      <c r="DX2462" s="223"/>
      <c r="DY2462" s="223"/>
      <c r="DZ2462" s="223"/>
      <c r="EA2462" s="223"/>
      <c r="EB2462" s="223"/>
      <c r="EC2462" s="223"/>
      <c r="ED2462" s="223"/>
      <c r="EE2462" s="223"/>
      <c r="EF2462" s="223"/>
      <c r="EG2462" s="223"/>
      <c r="EH2462" s="223"/>
      <c r="EI2462" s="223"/>
      <c r="EJ2462" s="223"/>
      <c r="EK2462" s="223"/>
      <c r="EL2462" s="223"/>
      <c r="EM2462" s="223"/>
      <c r="EN2462" s="223"/>
      <c r="EO2462" s="223"/>
      <c r="EP2462" s="223"/>
      <c r="EQ2462" s="223"/>
      <c r="ER2462" s="223"/>
      <c r="ES2462" s="223"/>
      <c r="ET2462" s="223"/>
      <c r="EU2462" s="223"/>
      <c r="EV2462" s="223"/>
      <c r="EW2462" s="223"/>
      <c r="EX2462" s="223"/>
      <c r="EY2462" s="223"/>
      <c r="EZ2462" s="223"/>
      <c r="FA2462" s="223"/>
      <c r="FB2462" s="223"/>
      <c r="FC2462" s="223"/>
      <c r="FD2462" s="223"/>
      <c r="FE2462" s="223"/>
      <c r="FF2462" s="223"/>
      <c r="FG2462" s="223"/>
      <c r="FH2462" s="223"/>
      <c r="FI2462" s="223"/>
      <c r="FJ2462" s="223"/>
      <c r="FK2462" s="223"/>
      <c r="FL2462" s="223"/>
      <c r="FM2462" s="223"/>
      <c r="FN2462" s="223"/>
      <c r="FO2462" s="223"/>
      <c r="FP2462" s="223"/>
      <c r="FQ2462" s="223"/>
      <c r="FR2462" s="223"/>
      <c r="FS2462" s="223"/>
      <c r="FT2462" s="223"/>
      <c r="FU2462" s="223"/>
      <c r="FV2462" s="223"/>
      <c r="FW2462" s="223"/>
      <c r="FX2462" s="223"/>
      <c r="FY2462" s="223"/>
      <c r="FZ2462" s="223"/>
      <c r="GA2462" s="223"/>
      <c r="GB2462" s="223"/>
      <c r="GC2462" s="223"/>
      <c r="GD2462" s="223"/>
      <c r="GE2462" s="223"/>
      <c r="GF2462" s="223"/>
      <c r="GG2462" s="223"/>
      <c r="GH2462" s="223"/>
      <c r="GI2462" s="223"/>
      <c r="GJ2462" s="223"/>
      <c r="GK2462" s="223"/>
      <c r="GL2462" s="223"/>
      <c r="GM2462" s="223"/>
      <c r="GN2462" s="223"/>
      <c r="GO2462" s="223"/>
      <c r="GP2462" s="223"/>
      <c r="GQ2462" s="223"/>
      <c r="GR2462" s="223"/>
      <c r="GS2462" s="223"/>
      <c r="GT2462" s="223"/>
      <c r="GU2462" s="223"/>
      <c r="GV2462" s="223"/>
      <c r="GW2462" s="223"/>
      <c r="GX2462" s="223"/>
      <c r="GY2462" s="223"/>
      <c r="GZ2462" s="223"/>
      <c r="HA2462" s="223"/>
      <c r="HB2462" s="223"/>
      <c r="HC2462" s="223"/>
      <c r="HD2462" s="223"/>
      <c r="HE2462" s="223"/>
      <c r="HF2462" s="223"/>
      <c r="HG2462" s="223"/>
      <c r="HH2462" s="223"/>
      <c r="HI2462" s="223"/>
      <c r="HJ2462" s="223"/>
      <c r="HK2462" s="223"/>
      <c r="HL2462" s="223"/>
      <c r="HM2462" s="223"/>
      <c r="HN2462" s="223"/>
      <c r="HO2462" s="223"/>
      <c r="HP2462" s="223"/>
      <c r="HQ2462" s="223"/>
      <c r="HR2462" s="223"/>
      <c r="HS2462" s="223"/>
      <c r="HT2462" s="223"/>
      <c r="HU2462" s="223"/>
      <c r="HV2462" s="223"/>
      <c r="HW2462" s="223"/>
      <c r="HX2462" s="223"/>
      <c r="HY2462" s="223"/>
      <c r="HZ2462" s="223"/>
      <c r="IA2462" s="223"/>
      <c r="IB2462" s="223"/>
      <c r="IC2462" s="223"/>
      <c r="ID2462" s="223"/>
      <c r="IE2462" s="223"/>
      <c r="IF2462" s="223"/>
      <c r="IG2462" s="223"/>
      <c r="IH2462" s="223"/>
      <c r="II2462" s="223"/>
      <c r="IJ2462" s="223"/>
      <c r="IK2462" s="223"/>
      <c r="IL2462" s="223"/>
      <c r="IM2462" s="223"/>
      <c r="IN2462" s="223"/>
      <c r="IO2462" s="223"/>
      <c r="IP2462" s="223"/>
      <c r="IQ2462" s="223"/>
      <c r="IR2462" s="223"/>
      <c r="IS2462" s="223"/>
      <c r="IT2462" s="223"/>
      <c r="IU2462" s="223"/>
      <c r="IV2462" s="223"/>
    </row>
    <row r="2463" spans="46:256" s="221" customFormat="1" x14ac:dyDescent="0.2">
      <c r="AT2463" s="222"/>
      <c r="AU2463" s="222"/>
      <c r="BD2463" s="223"/>
      <c r="BE2463" s="223"/>
      <c r="BF2463" s="223"/>
      <c r="BG2463" s="223"/>
      <c r="BH2463" s="223"/>
      <c r="BI2463" s="223"/>
      <c r="BJ2463" s="223"/>
      <c r="BK2463" s="223"/>
      <c r="BL2463" s="223"/>
      <c r="BM2463" s="223"/>
      <c r="BN2463" s="223"/>
      <c r="BO2463" s="223"/>
      <c r="BP2463" s="223"/>
      <c r="BQ2463" s="223"/>
      <c r="BR2463" s="223"/>
      <c r="BS2463" s="223"/>
      <c r="BT2463" s="223"/>
      <c r="BU2463" s="223"/>
      <c r="BV2463" s="223"/>
      <c r="BW2463" s="223"/>
      <c r="BX2463" s="223"/>
      <c r="BY2463" s="223"/>
      <c r="BZ2463" s="223"/>
      <c r="CA2463" s="223"/>
      <c r="CB2463" s="223"/>
      <c r="CC2463" s="223"/>
      <c r="CD2463" s="223"/>
      <c r="CE2463" s="223"/>
      <c r="CF2463" s="223"/>
      <c r="CG2463" s="223"/>
      <c r="CH2463" s="223"/>
      <c r="CI2463" s="223"/>
      <c r="CJ2463" s="223"/>
      <c r="CK2463" s="223"/>
      <c r="CL2463" s="223"/>
      <c r="CM2463" s="223"/>
      <c r="CN2463" s="223"/>
      <c r="CO2463" s="223"/>
      <c r="CP2463" s="223"/>
      <c r="CQ2463" s="223"/>
      <c r="CR2463" s="223"/>
      <c r="CS2463" s="223"/>
      <c r="CT2463" s="223"/>
      <c r="CU2463" s="223"/>
      <c r="CV2463" s="223"/>
      <c r="CW2463" s="223"/>
      <c r="CX2463" s="223"/>
      <c r="CY2463" s="223"/>
      <c r="CZ2463" s="223"/>
      <c r="DA2463" s="223"/>
      <c r="DB2463" s="223"/>
      <c r="DC2463" s="223"/>
      <c r="DD2463" s="223"/>
      <c r="DE2463" s="223"/>
      <c r="DF2463" s="223"/>
      <c r="DG2463" s="223"/>
      <c r="DH2463" s="223"/>
      <c r="DI2463" s="223"/>
      <c r="DJ2463" s="223"/>
      <c r="DK2463" s="223"/>
      <c r="DL2463" s="223"/>
      <c r="DM2463" s="223"/>
      <c r="DN2463" s="223"/>
      <c r="DO2463" s="223"/>
      <c r="DP2463" s="223"/>
      <c r="DQ2463" s="223"/>
      <c r="DR2463" s="223"/>
      <c r="DS2463" s="223"/>
      <c r="DT2463" s="223"/>
      <c r="DU2463" s="223"/>
      <c r="DV2463" s="223"/>
      <c r="DW2463" s="223"/>
      <c r="DX2463" s="223"/>
      <c r="DY2463" s="223"/>
      <c r="DZ2463" s="223"/>
      <c r="EA2463" s="223"/>
      <c r="EB2463" s="223"/>
      <c r="EC2463" s="223"/>
      <c r="ED2463" s="223"/>
      <c r="EE2463" s="223"/>
      <c r="EF2463" s="223"/>
      <c r="EG2463" s="223"/>
      <c r="EH2463" s="223"/>
      <c r="EI2463" s="223"/>
      <c r="EJ2463" s="223"/>
      <c r="EK2463" s="223"/>
      <c r="EL2463" s="223"/>
      <c r="EM2463" s="223"/>
      <c r="EN2463" s="223"/>
      <c r="EO2463" s="223"/>
      <c r="EP2463" s="223"/>
      <c r="EQ2463" s="223"/>
      <c r="ER2463" s="223"/>
      <c r="ES2463" s="223"/>
      <c r="ET2463" s="223"/>
      <c r="EU2463" s="223"/>
      <c r="EV2463" s="223"/>
      <c r="EW2463" s="223"/>
      <c r="EX2463" s="223"/>
      <c r="EY2463" s="223"/>
      <c r="EZ2463" s="223"/>
      <c r="FA2463" s="223"/>
      <c r="FB2463" s="223"/>
      <c r="FC2463" s="223"/>
      <c r="FD2463" s="223"/>
      <c r="FE2463" s="223"/>
      <c r="FF2463" s="223"/>
      <c r="FG2463" s="223"/>
      <c r="FH2463" s="223"/>
      <c r="FI2463" s="223"/>
      <c r="FJ2463" s="223"/>
      <c r="FK2463" s="223"/>
      <c r="FL2463" s="223"/>
      <c r="FM2463" s="223"/>
      <c r="FN2463" s="223"/>
      <c r="FO2463" s="223"/>
      <c r="FP2463" s="223"/>
      <c r="FQ2463" s="223"/>
      <c r="FR2463" s="223"/>
      <c r="FS2463" s="223"/>
      <c r="FT2463" s="223"/>
      <c r="FU2463" s="223"/>
      <c r="FV2463" s="223"/>
      <c r="FW2463" s="223"/>
      <c r="FX2463" s="223"/>
      <c r="FY2463" s="223"/>
      <c r="FZ2463" s="223"/>
      <c r="GA2463" s="223"/>
      <c r="GB2463" s="223"/>
      <c r="GC2463" s="223"/>
      <c r="GD2463" s="223"/>
      <c r="GE2463" s="223"/>
      <c r="GF2463" s="223"/>
      <c r="GG2463" s="223"/>
      <c r="GH2463" s="223"/>
      <c r="GI2463" s="223"/>
      <c r="GJ2463" s="223"/>
      <c r="GK2463" s="223"/>
      <c r="GL2463" s="223"/>
      <c r="GM2463" s="223"/>
      <c r="GN2463" s="223"/>
      <c r="GO2463" s="223"/>
      <c r="GP2463" s="223"/>
      <c r="GQ2463" s="223"/>
      <c r="GR2463" s="223"/>
      <c r="GS2463" s="223"/>
      <c r="GT2463" s="223"/>
      <c r="GU2463" s="223"/>
      <c r="GV2463" s="223"/>
      <c r="GW2463" s="223"/>
      <c r="GX2463" s="223"/>
      <c r="GY2463" s="223"/>
      <c r="GZ2463" s="223"/>
      <c r="HA2463" s="223"/>
      <c r="HB2463" s="223"/>
      <c r="HC2463" s="223"/>
      <c r="HD2463" s="223"/>
      <c r="HE2463" s="223"/>
      <c r="HF2463" s="223"/>
      <c r="HG2463" s="223"/>
      <c r="HH2463" s="223"/>
      <c r="HI2463" s="223"/>
      <c r="HJ2463" s="223"/>
      <c r="HK2463" s="223"/>
      <c r="HL2463" s="223"/>
      <c r="HM2463" s="223"/>
      <c r="HN2463" s="223"/>
      <c r="HO2463" s="223"/>
      <c r="HP2463" s="223"/>
      <c r="HQ2463" s="223"/>
      <c r="HR2463" s="223"/>
      <c r="HS2463" s="223"/>
      <c r="HT2463" s="223"/>
      <c r="HU2463" s="223"/>
      <c r="HV2463" s="223"/>
      <c r="HW2463" s="223"/>
      <c r="HX2463" s="223"/>
      <c r="HY2463" s="223"/>
      <c r="HZ2463" s="223"/>
      <c r="IA2463" s="223"/>
      <c r="IB2463" s="223"/>
      <c r="IC2463" s="223"/>
      <c r="ID2463" s="223"/>
      <c r="IE2463" s="223"/>
      <c r="IF2463" s="223"/>
      <c r="IG2463" s="223"/>
      <c r="IH2463" s="223"/>
      <c r="II2463" s="223"/>
      <c r="IJ2463" s="223"/>
      <c r="IK2463" s="223"/>
      <c r="IL2463" s="223"/>
      <c r="IM2463" s="223"/>
      <c r="IN2463" s="223"/>
      <c r="IO2463" s="223"/>
      <c r="IP2463" s="223"/>
      <c r="IQ2463" s="223"/>
      <c r="IR2463" s="223"/>
      <c r="IS2463" s="223"/>
      <c r="IT2463" s="223"/>
      <c r="IU2463" s="223"/>
      <c r="IV2463" s="223"/>
    </row>
    <row r="2464" spans="46:256" s="221" customFormat="1" x14ac:dyDescent="0.2">
      <c r="AT2464" s="222"/>
      <c r="AU2464" s="222"/>
      <c r="BD2464" s="223"/>
      <c r="BE2464" s="223"/>
      <c r="BF2464" s="223"/>
      <c r="BG2464" s="223"/>
      <c r="BH2464" s="223"/>
      <c r="BI2464" s="223"/>
      <c r="BJ2464" s="223"/>
      <c r="BK2464" s="223"/>
      <c r="BL2464" s="223"/>
      <c r="BM2464" s="223"/>
      <c r="BN2464" s="223"/>
      <c r="BO2464" s="223"/>
      <c r="BP2464" s="223"/>
      <c r="BQ2464" s="223"/>
      <c r="BR2464" s="223"/>
      <c r="BS2464" s="223"/>
      <c r="BT2464" s="223"/>
      <c r="BU2464" s="223"/>
      <c r="BV2464" s="223"/>
      <c r="BW2464" s="223"/>
      <c r="BX2464" s="223"/>
      <c r="BY2464" s="223"/>
      <c r="BZ2464" s="223"/>
      <c r="CA2464" s="223"/>
      <c r="CB2464" s="223"/>
      <c r="CC2464" s="223"/>
      <c r="CD2464" s="223"/>
      <c r="CE2464" s="223"/>
      <c r="CF2464" s="223"/>
      <c r="CG2464" s="223"/>
      <c r="CH2464" s="223"/>
      <c r="CI2464" s="223"/>
      <c r="CJ2464" s="223"/>
      <c r="CK2464" s="223"/>
      <c r="CL2464" s="223"/>
      <c r="CM2464" s="223"/>
      <c r="CN2464" s="223"/>
      <c r="CO2464" s="223"/>
      <c r="CP2464" s="223"/>
      <c r="CQ2464" s="223"/>
      <c r="CR2464" s="223"/>
      <c r="CS2464" s="223"/>
      <c r="CT2464" s="223"/>
      <c r="CU2464" s="223"/>
      <c r="CV2464" s="223"/>
      <c r="CW2464" s="223"/>
      <c r="CX2464" s="223"/>
      <c r="CY2464" s="223"/>
      <c r="CZ2464" s="223"/>
      <c r="DA2464" s="223"/>
      <c r="DB2464" s="223"/>
      <c r="DC2464" s="223"/>
      <c r="DD2464" s="223"/>
      <c r="DE2464" s="223"/>
      <c r="DF2464" s="223"/>
      <c r="DG2464" s="223"/>
      <c r="DH2464" s="223"/>
      <c r="DI2464" s="223"/>
      <c r="DJ2464" s="223"/>
      <c r="DK2464" s="223"/>
      <c r="DL2464" s="223"/>
      <c r="DM2464" s="223"/>
      <c r="DN2464" s="223"/>
      <c r="DO2464" s="223"/>
      <c r="DP2464" s="223"/>
      <c r="DQ2464" s="223"/>
      <c r="DR2464" s="223"/>
      <c r="DS2464" s="223"/>
      <c r="DT2464" s="223"/>
      <c r="DU2464" s="223"/>
      <c r="DV2464" s="223"/>
      <c r="DW2464" s="223"/>
      <c r="DX2464" s="223"/>
      <c r="DY2464" s="223"/>
      <c r="DZ2464" s="223"/>
      <c r="EA2464" s="223"/>
      <c r="EB2464" s="223"/>
      <c r="EC2464" s="223"/>
      <c r="ED2464" s="223"/>
      <c r="EE2464" s="223"/>
      <c r="EF2464" s="223"/>
      <c r="EG2464" s="223"/>
      <c r="EH2464" s="223"/>
      <c r="EI2464" s="223"/>
      <c r="EJ2464" s="223"/>
      <c r="EK2464" s="223"/>
      <c r="EL2464" s="223"/>
      <c r="EM2464" s="223"/>
      <c r="EN2464" s="223"/>
      <c r="EO2464" s="223"/>
      <c r="EP2464" s="223"/>
      <c r="EQ2464" s="223"/>
      <c r="ER2464" s="223"/>
      <c r="ES2464" s="223"/>
      <c r="ET2464" s="223"/>
      <c r="EU2464" s="223"/>
      <c r="EV2464" s="223"/>
      <c r="EW2464" s="223"/>
      <c r="EX2464" s="223"/>
      <c r="EY2464" s="223"/>
      <c r="EZ2464" s="223"/>
      <c r="FA2464" s="223"/>
      <c r="FB2464" s="223"/>
      <c r="FC2464" s="223"/>
      <c r="FD2464" s="223"/>
      <c r="FE2464" s="223"/>
      <c r="FF2464" s="223"/>
      <c r="FG2464" s="223"/>
      <c r="FH2464" s="223"/>
      <c r="FI2464" s="223"/>
      <c r="FJ2464" s="223"/>
      <c r="FK2464" s="223"/>
      <c r="FL2464" s="223"/>
      <c r="FM2464" s="223"/>
      <c r="FN2464" s="223"/>
      <c r="FO2464" s="223"/>
      <c r="FP2464" s="223"/>
      <c r="FQ2464" s="223"/>
      <c r="FR2464" s="223"/>
      <c r="FS2464" s="223"/>
      <c r="FT2464" s="223"/>
      <c r="FU2464" s="223"/>
      <c r="FV2464" s="223"/>
      <c r="FW2464" s="223"/>
      <c r="FX2464" s="223"/>
      <c r="FY2464" s="223"/>
      <c r="FZ2464" s="223"/>
      <c r="GA2464" s="223"/>
      <c r="GB2464" s="223"/>
      <c r="GC2464" s="223"/>
      <c r="GD2464" s="223"/>
      <c r="GE2464" s="223"/>
      <c r="GF2464" s="223"/>
      <c r="GG2464" s="223"/>
      <c r="GH2464" s="223"/>
      <c r="GI2464" s="223"/>
      <c r="GJ2464" s="223"/>
      <c r="GK2464" s="223"/>
      <c r="GL2464" s="223"/>
      <c r="GM2464" s="223"/>
      <c r="GN2464" s="223"/>
      <c r="GO2464" s="223"/>
      <c r="GP2464" s="223"/>
      <c r="GQ2464" s="223"/>
      <c r="GR2464" s="223"/>
      <c r="GS2464" s="223"/>
      <c r="GT2464" s="223"/>
      <c r="GU2464" s="223"/>
      <c r="GV2464" s="223"/>
      <c r="GW2464" s="223"/>
      <c r="GX2464" s="223"/>
      <c r="GY2464" s="223"/>
      <c r="GZ2464" s="223"/>
      <c r="HA2464" s="223"/>
      <c r="HB2464" s="223"/>
      <c r="HC2464" s="223"/>
      <c r="HD2464" s="223"/>
      <c r="HE2464" s="223"/>
      <c r="HF2464" s="223"/>
      <c r="HG2464" s="223"/>
      <c r="HH2464" s="223"/>
      <c r="HI2464" s="223"/>
      <c r="HJ2464" s="223"/>
      <c r="HK2464" s="223"/>
      <c r="HL2464" s="223"/>
      <c r="HM2464" s="223"/>
      <c r="HN2464" s="223"/>
      <c r="HO2464" s="223"/>
      <c r="HP2464" s="223"/>
      <c r="HQ2464" s="223"/>
      <c r="HR2464" s="223"/>
      <c r="HS2464" s="223"/>
      <c r="HT2464" s="223"/>
      <c r="HU2464" s="223"/>
      <c r="HV2464" s="223"/>
      <c r="HW2464" s="223"/>
      <c r="HX2464" s="223"/>
      <c r="HY2464" s="223"/>
      <c r="HZ2464" s="223"/>
      <c r="IA2464" s="223"/>
      <c r="IB2464" s="223"/>
      <c r="IC2464" s="223"/>
      <c r="ID2464" s="223"/>
      <c r="IE2464" s="223"/>
      <c r="IF2464" s="223"/>
      <c r="IG2464" s="223"/>
      <c r="IH2464" s="223"/>
      <c r="II2464" s="223"/>
      <c r="IJ2464" s="223"/>
      <c r="IK2464" s="223"/>
      <c r="IL2464" s="223"/>
      <c r="IM2464" s="223"/>
      <c r="IN2464" s="223"/>
      <c r="IO2464" s="223"/>
      <c r="IP2464" s="223"/>
      <c r="IQ2464" s="223"/>
      <c r="IR2464" s="223"/>
      <c r="IS2464" s="223"/>
      <c r="IT2464" s="223"/>
      <c r="IU2464" s="223"/>
      <c r="IV2464" s="223"/>
    </row>
    <row r="2465" spans="46:256" s="221" customFormat="1" x14ac:dyDescent="0.2">
      <c r="AT2465" s="222"/>
      <c r="AU2465" s="222"/>
      <c r="BD2465" s="223"/>
      <c r="BE2465" s="223"/>
      <c r="BF2465" s="223"/>
      <c r="BG2465" s="223"/>
      <c r="BH2465" s="223"/>
      <c r="BI2465" s="223"/>
      <c r="BJ2465" s="223"/>
      <c r="BK2465" s="223"/>
      <c r="BL2465" s="223"/>
      <c r="BM2465" s="223"/>
      <c r="BN2465" s="223"/>
      <c r="BO2465" s="223"/>
      <c r="BP2465" s="223"/>
      <c r="BQ2465" s="223"/>
      <c r="BR2465" s="223"/>
      <c r="BS2465" s="223"/>
      <c r="BT2465" s="223"/>
      <c r="BU2465" s="223"/>
      <c r="BV2465" s="223"/>
      <c r="BW2465" s="223"/>
      <c r="BX2465" s="223"/>
      <c r="BY2465" s="223"/>
      <c r="BZ2465" s="223"/>
      <c r="CA2465" s="223"/>
      <c r="CB2465" s="223"/>
      <c r="CC2465" s="223"/>
      <c r="CD2465" s="223"/>
      <c r="CE2465" s="223"/>
      <c r="CF2465" s="223"/>
      <c r="CG2465" s="223"/>
      <c r="CH2465" s="223"/>
      <c r="CI2465" s="223"/>
      <c r="CJ2465" s="223"/>
      <c r="CK2465" s="223"/>
      <c r="CL2465" s="223"/>
      <c r="CM2465" s="223"/>
      <c r="CN2465" s="223"/>
      <c r="CO2465" s="223"/>
      <c r="CP2465" s="223"/>
      <c r="CQ2465" s="223"/>
      <c r="CR2465" s="223"/>
      <c r="CS2465" s="223"/>
      <c r="CT2465" s="223"/>
      <c r="CU2465" s="223"/>
      <c r="CV2465" s="223"/>
      <c r="CW2465" s="223"/>
      <c r="CX2465" s="223"/>
      <c r="CY2465" s="223"/>
      <c r="CZ2465" s="223"/>
      <c r="DA2465" s="223"/>
      <c r="DB2465" s="223"/>
      <c r="DC2465" s="223"/>
      <c r="DD2465" s="223"/>
      <c r="DE2465" s="223"/>
      <c r="DF2465" s="223"/>
      <c r="DG2465" s="223"/>
      <c r="DH2465" s="223"/>
      <c r="DI2465" s="223"/>
      <c r="DJ2465" s="223"/>
      <c r="DK2465" s="223"/>
      <c r="DL2465" s="223"/>
      <c r="DM2465" s="223"/>
      <c r="DN2465" s="223"/>
      <c r="DO2465" s="223"/>
      <c r="DP2465" s="223"/>
      <c r="DQ2465" s="223"/>
      <c r="DR2465" s="223"/>
      <c r="DS2465" s="223"/>
      <c r="DT2465" s="223"/>
      <c r="DU2465" s="223"/>
      <c r="DV2465" s="223"/>
      <c r="DW2465" s="223"/>
      <c r="DX2465" s="223"/>
      <c r="DY2465" s="223"/>
      <c r="DZ2465" s="223"/>
      <c r="EA2465" s="223"/>
      <c r="EB2465" s="223"/>
      <c r="EC2465" s="223"/>
      <c r="ED2465" s="223"/>
      <c r="EE2465" s="223"/>
      <c r="EF2465" s="223"/>
      <c r="EG2465" s="223"/>
      <c r="EH2465" s="223"/>
      <c r="EI2465" s="223"/>
      <c r="EJ2465" s="223"/>
      <c r="EK2465" s="223"/>
      <c r="EL2465" s="223"/>
      <c r="EM2465" s="223"/>
      <c r="EN2465" s="223"/>
      <c r="EO2465" s="223"/>
      <c r="EP2465" s="223"/>
      <c r="EQ2465" s="223"/>
      <c r="ER2465" s="223"/>
      <c r="ES2465" s="223"/>
      <c r="ET2465" s="223"/>
      <c r="EU2465" s="223"/>
      <c r="EV2465" s="223"/>
      <c r="EW2465" s="223"/>
      <c r="EX2465" s="223"/>
      <c r="EY2465" s="223"/>
      <c r="EZ2465" s="223"/>
      <c r="FA2465" s="223"/>
      <c r="FB2465" s="223"/>
      <c r="FC2465" s="223"/>
      <c r="FD2465" s="223"/>
      <c r="FE2465" s="223"/>
      <c r="FF2465" s="223"/>
      <c r="FG2465" s="223"/>
      <c r="FH2465" s="223"/>
      <c r="FI2465" s="223"/>
      <c r="FJ2465" s="223"/>
      <c r="FK2465" s="223"/>
      <c r="FL2465" s="223"/>
      <c r="FM2465" s="223"/>
      <c r="FN2465" s="223"/>
      <c r="FO2465" s="223"/>
      <c r="FP2465" s="223"/>
      <c r="FQ2465" s="223"/>
      <c r="FR2465" s="223"/>
      <c r="FS2465" s="223"/>
      <c r="FT2465" s="223"/>
      <c r="FU2465" s="223"/>
      <c r="FV2465" s="223"/>
      <c r="FW2465" s="223"/>
      <c r="FX2465" s="223"/>
      <c r="FY2465" s="223"/>
      <c r="FZ2465" s="223"/>
      <c r="GA2465" s="223"/>
      <c r="GB2465" s="223"/>
      <c r="GC2465" s="223"/>
      <c r="GD2465" s="223"/>
      <c r="GE2465" s="223"/>
      <c r="GF2465" s="223"/>
      <c r="GG2465" s="223"/>
      <c r="GH2465" s="223"/>
      <c r="GI2465" s="223"/>
      <c r="GJ2465" s="223"/>
      <c r="GK2465" s="223"/>
      <c r="GL2465" s="223"/>
      <c r="GM2465" s="223"/>
      <c r="GN2465" s="223"/>
      <c r="GO2465" s="223"/>
      <c r="GP2465" s="223"/>
      <c r="GQ2465" s="223"/>
      <c r="GR2465" s="223"/>
      <c r="GS2465" s="223"/>
      <c r="GT2465" s="223"/>
      <c r="GU2465" s="223"/>
      <c r="GV2465" s="223"/>
      <c r="GW2465" s="223"/>
      <c r="GX2465" s="223"/>
      <c r="GY2465" s="223"/>
      <c r="GZ2465" s="223"/>
      <c r="HA2465" s="223"/>
      <c r="HB2465" s="223"/>
      <c r="HC2465" s="223"/>
      <c r="HD2465" s="223"/>
      <c r="HE2465" s="223"/>
      <c r="HF2465" s="223"/>
      <c r="HG2465" s="223"/>
      <c r="HH2465" s="223"/>
      <c r="HI2465" s="223"/>
      <c r="HJ2465" s="223"/>
      <c r="HK2465" s="223"/>
      <c r="HL2465" s="223"/>
      <c r="HM2465" s="223"/>
      <c r="HN2465" s="223"/>
      <c r="HO2465" s="223"/>
      <c r="HP2465" s="223"/>
      <c r="HQ2465" s="223"/>
      <c r="HR2465" s="223"/>
      <c r="HS2465" s="223"/>
      <c r="HT2465" s="223"/>
      <c r="HU2465" s="223"/>
      <c r="HV2465" s="223"/>
      <c r="HW2465" s="223"/>
      <c r="HX2465" s="223"/>
      <c r="HY2465" s="223"/>
      <c r="HZ2465" s="223"/>
      <c r="IA2465" s="223"/>
      <c r="IB2465" s="223"/>
      <c r="IC2465" s="223"/>
      <c r="ID2465" s="223"/>
      <c r="IE2465" s="223"/>
      <c r="IF2465" s="223"/>
      <c r="IG2465" s="223"/>
      <c r="IH2465" s="223"/>
      <c r="II2465" s="223"/>
      <c r="IJ2465" s="223"/>
      <c r="IK2465" s="223"/>
      <c r="IL2465" s="223"/>
      <c r="IM2465" s="223"/>
      <c r="IN2465" s="223"/>
      <c r="IO2465" s="223"/>
      <c r="IP2465" s="223"/>
      <c r="IQ2465" s="223"/>
      <c r="IR2465" s="223"/>
      <c r="IS2465" s="223"/>
      <c r="IT2465" s="223"/>
      <c r="IU2465" s="223"/>
      <c r="IV2465" s="223"/>
    </row>
    <row r="2466" spans="46:256" s="221" customFormat="1" x14ac:dyDescent="0.2">
      <c r="AT2466" s="222"/>
      <c r="AU2466" s="222"/>
      <c r="BD2466" s="223"/>
      <c r="BE2466" s="223"/>
      <c r="BF2466" s="223"/>
      <c r="BG2466" s="223"/>
      <c r="BH2466" s="223"/>
      <c r="BI2466" s="223"/>
      <c r="BJ2466" s="223"/>
      <c r="BK2466" s="223"/>
      <c r="BL2466" s="223"/>
      <c r="BM2466" s="223"/>
      <c r="BN2466" s="223"/>
      <c r="BO2466" s="223"/>
      <c r="BP2466" s="223"/>
      <c r="BQ2466" s="223"/>
      <c r="BR2466" s="223"/>
      <c r="BS2466" s="223"/>
      <c r="BT2466" s="223"/>
      <c r="BU2466" s="223"/>
      <c r="BV2466" s="223"/>
      <c r="BW2466" s="223"/>
      <c r="BX2466" s="223"/>
      <c r="BY2466" s="223"/>
      <c r="BZ2466" s="223"/>
      <c r="CA2466" s="223"/>
      <c r="CB2466" s="223"/>
      <c r="CC2466" s="223"/>
      <c r="CD2466" s="223"/>
      <c r="CE2466" s="223"/>
      <c r="CF2466" s="223"/>
      <c r="CG2466" s="223"/>
      <c r="CH2466" s="223"/>
      <c r="CI2466" s="223"/>
      <c r="CJ2466" s="223"/>
      <c r="CK2466" s="223"/>
      <c r="CL2466" s="223"/>
      <c r="CM2466" s="223"/>
      <c r="CN2466" s="223"/>
      <c r="CO2466" s="223"/>
      <c r="CP2466" s="223"/>
      <c r="CQ2466" s="223"/>
      <c r="CR2466" s="223"/>
      <c r="CS2466" s="223"/>
      <c r="CT2466" s="223"/>
      <c r="CU2466" s="223"/>
      <c r="CV2466" s="223"/>
      <c r="CW2466" s="223"/>
      <c r="CX2466" s="223"/>
      <c r="CY2466" s="223"/>
      <c r="CZ2466" s="223"/>
      <c r="DA2466" s="223"/>
      <c r="DB2466" s="223"/>
      <c r="DC2466" s="223"/>
      <c r="DD2466" s="223"/>
      <c r="DE2466" s="223"/>
      <c r="DF2466" s="223"/>
      <c r="DG2466" s="223"/>
      <c r="DH2466" s="223"/>
      <c r="DI2466" s="223"/>
      <c r="DJ2466" s="223"/>
      <c r="DK2466" s="223"/>
      <c r="DL2466" s="223"/>
      <c r="DM2466" s="223"/>
      <c r="DN2466" s="223"/>
      <c r="DO2466" s="223"/>
      <c r="DP2466" s="223"/>
      <c r="DQ2466" s="223"/>
      <c r="DR2466" s="223"/>
      <c r="DS2466" s="223"/>
      <c r="DT2466" s="223"/>
      <c r="DU2466" s="223"/>
      <c r="DV2466" s="223"/>
      <c r="DW2466" s="223"/>
      <c r="DX2466" s="223"/>
      <c r="DY2466" s="223"/>
      <c r="DZ2466" s="223"/>
      <c r="EA2466" s="223"/>
      <c r="EB2466" s="223"/>
      <c r="EC2466" s="223"/>
      <c r="ED2466" s="223"/>
      <c r="EE2466" s="223"/>
      <c r="EF2466" s="223"/>
      <c r="EG2466" s="223"/>
      <c r="EH2466" s="223"/>
      <c r="EI2466" s="223"/>
      <c r="EJ2466" s="223"/>
      <c r="EK2466" s="223"/>
      <c r="EL2466" s="223"/>
      <c r="EM2466" s="223"/>
      <c r="EN2466" s="223"/>
      <c r="EO2466" s="223"/>
      <c r="EP2466" s="223"/>
      <c r="EQ2466" s="223"/>
      <c r="ER2466" s="223"/>
      <c r="ES2466" s="223"/>
      <c r="ET2466" s="223"/>
      <c r="EU2466" s="223"/>
      <c r="EV2466" s="223"/>
      <c r="EW2466" s="223"/>
      <c r="EX2466" s="223"/>
      <c r="EY2466" s="223"/>
      <c r="EZ2466" s="223"/>
      <c r="FA2466" s="223"/>
      <c r="FB2466" s="223"/>
      <c r="FC2466" s="223"/>
      <c r="FD2466" s="223"/>
      <c r="FE2466" s="223"/>
      <c r="FF2466" s="223"/>
      <c r="FG2466" s="223"/>
      <c r="FH2466" s="223"/>
      <c r="FI2466" s="223"/>
      <c r="FJ2466" s="223"/>
      <c r="FK2466" s="223"/>
      <c r="FL2466" s="223"/>
      <c r="FM2466" s="223"/>
      <c r="FN2466" s="223"/>
      <c r="FO2466" s="223"/>
      <c r="FP2466" s="223"/>
      <c r="FQ2466" s="223"/>
      <c r="FR2466" s="223"/>
      <c r="FS2466" s="223"/>
      <c r="FT2466" s="223"/>
      <c r="FU2466" s="223"/>
      <c r="FV2466" s="223"/>
      <c r="FW2466" s="223"/>
      <c r="FX2466" s="223"/>
      <c r="FY2466" s="223"/>
      <c r="FZ2466" s="223"/>
      <c r="GA2466" s="223"/>
      <c r="GB2466" s="223"/>
      <c r="GC2466" s="223"/>
      <c r="GD2466" s="223"/>
      <c r="GE2466" s="223"/>
      <c r="GF2466" s="223"/>
      <c r="GG2466" s="223"/>
      <c r="GH2466" s="223"/>
      <c r="GI2466" s="223"/>
      <c r="GJ2466" s="223"/>
      <c r="GK2466" s="223"/>
      <c r="GL2466" s="223"/>
      <c r="GM2466" s="223"/>
      <c r="GN2466" s="223"/>
      <c r="GO2466" s="223"/>
      <c r="GP2466" s="223"/>
      <c r="GQ2466" s="223"/>
      <c r="GR2466" s="223"/>
      <c r="GS2466" s="223"/>
      <c r="GT2466" s="223"/>
      <c r="GU2466" s="223"/>
      <c r="GV2466" s="223"/>
      <c r="GW2466" s="223"/>
      <c r="GX2466" s="223"/>
      <c r="GY2466" s="223"/>
      <c r="GZ2466" s="223"/>
      <c r="HA2466" s="223"/>
      <c r="HB2466" s="223"/>
      <c r="HC2466" s="223"/>
      <c r="HD2466" s="223"/>
      <c r="HE2466" s="223"/>
      <c r="HF2466" s="223"/>
      <c r="HG2466" s="223"/>
      <c r="HH2466" s="223"/>
      <c r="HI2466" s="223"/>
      <c r="HJ2466" s="223"/>
      <c r="HK2466" s="223"/>
      <c r="HL2466" s="223"/>
      <c r="HM2466" s="223"/>
      <c r="HN2466" s="223"/>
      <c r="HO2466" s="223"/>
      <c r="HP2466" s="223"/>
      <c r="HQ2466" s="223"/>
      <c r="HR2466" s="223"/>
      <c r="HS2466" s="223"/>
      <c r="HT2466" s="223"/>
      <c r="HU2466" s="223"/>
      <c r="HV2466" s="223"/>
      <c r="HW2466" s="223"/>
      <c r="HX2466" s="223"/>
      <c r="HY2466" s="223"/>
      <c r="HZ2466" s="223"/>
      <c r="IA2466" s="223"/>
      <c r="IB2466" s="223"/>
      <c r="IC2466" s="223"/>
      <c r="ID2466" s="223"/>
      <c r="IE2466" s="223"/>
      <c r="IF2466" s="223"/>
      <c r="IG2466" s="223"/>
      <c r="IH2466" s="223"/>
      <c r="II2466" s="223"/>
      <c r="IJ2466" s="223"/>
      <c r="IK2466" s="223"/>
      <c r="IL2466" s="223"/>
      <c r="IM2466" s="223"/>
      <c r="IN2466" s="223"/>
      <c r="IO2466" s="223"/>
      <c r="IP2466" s="223"/>
      <c r="IQ2466" s="223"/>
      <c r="IR2466" s="223"/>
      <c r="IS2466" s="223"/>
      <c r="IT2466" s="223"/>
      <c r="IU2466" s="223"/>
      <c r="IV2466" s="223"/>
    </row>
    <row r="2467" spans="46:256" s="221" customFormat="1" x14ac:dyDescent="0.2">
      <c r="AT2467" s="222"/>
      <c r="AU2467" s="222"/>
      <c r="BD2467" s="223"/>
      <c r="BE2467" s="223"/>
      <c r="BF2467" s="223"/>
      <c r="BG2467" s="223"/>
      <c r="BH2467" s="223"/>
      <c r="BI2467" s="223"/>
      <c r="BJ2467" s="223"/>
      <c r="BK2467" s="223"/>
      <c r="BL2467" s="223"/>
      <c r="BM2467" s="223"/>
      <c r="BN2467" s="223"/>
      <c r="BO2467" s="223"/>
      <c r="BP2467" s="223"/>
      <c r="BQ2467" s="223"/>
      <c r="BR2467" s="223"/>
      <c r="BS2467" s="223"/>
      <c r="BT2467" s="223"/>
      <c r="BU2467" s="223"/>
      <c r="BV2467" s="223"/>
      <c r="BW2467" s="223"/>
      <c r="BX2467" s="223"/>
      <c r="BY2467" s="223"/>
      <c r="BZ2467" s="223"/>
      <c r="CA2467" s="223"/>
      <c r="CB2467" s="223"/>
      <c r="CC2467" s="223"/>
      <c r="CD2467" s="223"/>
      <c r="CE2467" s="223"/>
      <c r="CF2467" s="223"/>
      <c r="CG2467" s="223"/>
      <c r="CH2467" s="223"/>
      <c r="CI2467" s="223"/>
      <c r="CJ2467" s="223"/>
      <c r="CK2467" s="223"/>
      <c r="CL2467" s="223"/>
      <c r="CM2467" s="223"/>
      <c r="CN2467" s="223"/>
      <c r="CO2467" s="223"/>
      <c r="CP2467" s="223"/>
      <c r="CQ2467" s="223"/>
      <c r="CR2467" s="223"/>
      <c r="CS2467" s="223"/>
      <c r="CT2467" s="223"/>
      <c r="CU2467" s="223"/>
      <c r="CV2467" s="223"/>
      <c r="CW2467" s="223"/>
      <c r="CX2467" s="223"/>
      <c r="CY2467" s="223"/>
      <c r="CZ2467" s="223"/>
      <c r="DA2467" s="223"/>
      <c r="DB2467" s="223"/>
      <c r="DC2467" s="223"/>
      <c r="DD2467" s="223"/>
      <c r="DE2467" s="223"/>
      <c r="DF2467" s="223"/>
      <c r="DG2467" s="223"/>
      <c r="DH2467" s="223"/>
      <c r="DI2467" s="223"/>
      <c r="DJ2467" s="223"/>
      <c r="DK2467" s="223"/>
      <c r="DL2467" s="223"/>
      <c r="DM2467" s="223"/>
      <c r="DN2467" s="223"/>
      <c r="DO2467" s="223"/>
      <c r="DP2467" s="223"/>
      <c r="DQ2467" s="223"/>
      <c r="DR2467" s="223"/>
      <c r="DS2467" s="223"/>
      <c r="DT2467" s="223"/>
      <c r="DU2467" s="223"/>
      <c r="DV2467" s="223"/>
      <c r="DW2467" s="223"/>
      <c r="DX2467" s="223"/>
      <c r="DY2467" s="223"/>
      <c r="DZ2467" s="223"/>
      <c r="EA2467" s="223"/>
      <c r="EB2467" s="223"/>
      <c r="EC2467" s="223"/>
      <c r="ED2467" s="223"/>
      <c r="EE2467" s="223"/>
      <c r="EF2467" s="223"/>
      <c r="EG2467" s="223"/>
      <c r="EH2467" s="223"/>
      <c r="EI2467" s="223"/>
      <c r="EJ2467" s="223"/>
      <c r="EK2467" s="223"/>
      <c r="EL2467" s="223"/>
      <c r="EM2467" s="223"/>
      <c r="EN2467" s="223"/>
      <c r="EO2467" s="223"/>
      <c r="EP2467" s="223"/>
      <c r="EQ2467" s="223"/>
      <c r="ER2467" s="223"/>
      <c r="ES2467" s="223"/>
      <c r="ET2467" s="223"/>
      <c r="EU2467" s="223"/>
      <c r="EV2467" s="223"/>
      <c r="EW2467" s="223"/>
      <c r="EX2467" s="223"/>
      <c r="EY2467" s="223"/>
      <c r="EZ2467" s="223"/>
      <c r="FA2467" s="223"/>
      <c r="FB2467" s="223"/>
      <c r="FC2467" s="223"/>
      <c r="FD2467" s="223"/>
      <c r="FE2467" s="223"/>
      <c r="FF2467" s="223"/>
      <c r="FG2467" s="223"/>
      <c r="FH2467" s="223"/>
      <c r="FI2467" s="223"/>
      <c r="FJ2467" s="223"/>
      <c r="FK2467" s="223"/>
      <c r="FL2467" s="223"/>
      <c r="FM2467" s="223"/>
      <c r="FN2467" s="223"/>
      <c r="FO2467" s="223"/>
      <c r="FP2467" s="223"/>
      <c r="FQ2467" s="223"/>
      <c r="FR2467" s="223"/>
      <c r="FS2467" s="223"/>
      <c r="FT2467" s="223"/>
      <c r="FU2467" s="223"/>
      <c r="FV2467" s="223"/>
      <c r="FW2467" s="223"/>
      <c r="FX2467" s="223"/>
      <c r="FY2467" s="223"/>
      <c r="FZ2467" s="223"/>
      <c r="GA2467" s="223"/>
      <c r="GB2467" s="223"/>
      <c r="GC2467" s="223"/>
      <c r="GD2467" s="223"/>
      <c r="GE2467" s="223"/>
      <c r="GF2467" s="223"/>
      <c r="GG2467" s="223"/>
      <c r="GH2467" s="223"/>
      <c r="GI2467" s="223"/>
      <c r="GJ2467" s="223"/>
      <c r="GK2467" s="223"/>
      <c r="GL2467" s="223"/>
      <c r="GM2467" s="223"/>
      <c r="GN2467" s="223"/>
      <c r="GO2467" s="223"/>
      <c r="GP2467" s="223"/>
      <c r="GQ2467" s="223"/>
      <c r="GR2467" s="223"/>
      <c r="GS2467" s="223"/>
      <c r="GT2467" s="223"/>
      <c r="GU2467" s="223"/>
      <c r="GV2467" s="223"/>
      <c r="GW2467" s="223"/>
      <c r="GX2467" s="223"/>
      <c r="GY2467" s="223"/>
      <c r="GZ2467" s="223"/>
      <c r="HA2467" s="223"/>
      <c r="HB2467" s="223"/>
      <c r="HC2467" s="223"/>
      <c r="HD2467" s="223"/>
      <c r="HE2467" s="223"/>
      <c r="HF2467" s="223"/>
      <c r="HG2467" s="223"/>
      <c r="HH2467" s="223"/>
      <c r="HI2467" s="223"/>
      <c r="HJ2467" s="223"/>
      <c r="HK2467" s="223"/>
      <c r="HL2467" s="223"/>
      <c r="HM2467" s="223"/>
      <c r="HN2467" s="223"/>
      <c r="HO2467" s="223"/>
      <c r="HP2467" s="223"/>
      <c r="HQ2467" s="223"/>
      <c r="HR2467" s="223"/>
      <c r="HS2467" s="223"/>
      <c r="HT2467" s="223"/>
      <c r="HU2467" s="223"/>
      <c r="HV2467" s="223"/>
      <c r="HW2467" s="223"/>
      <c r="HX2467" s="223"/>
      <c r="HY2467" s="223"/>
      <c r="HZ2467" s="223"/>
      <c r="IA2467" s="223"/>
      <c r="IB2467" s="223"/>
      <c r="IC2467" s="223"/>
      <c r="ID2467" s="223"/>
      <c r="IE2467" s="223"/>
      <c r="IF2467" s="223"/>
      <c r="IG2467" s="223"/>
      <c r="IH2467" s="223"/>
      <c r="II2467" s="223"/>
      <c r="IJ2467" s="223"/>
      <c r="IK2467" s="223"/>
      <c r="IL2467" s="223"/>
      <c r="IM2467" s="223"/>
      <c r="IN2467" s="223"/>
      <c r="IO2467" s="223"/>
      <c r="IP2467" s="223"/>
      <c r="IQ2467" s="223"/>
      <c r="IR2467" s="223"/>
      <c r="IS2467" s="223"/>
      <c r="IT2467" s="223"/>
      <c r="IU2467" s="223"/>
      <c r="IV2467" s="223"/>
    </row>
    <row r="2468" spans="46:256" s="221" customFormat="1" x14ac:dyDescent="0.2">
      <c r="AT2468" s="222"/>
      <c r="AU2468" s="222"/>
      <c r="BD2468" s="223"/>
      <c r="BE2468" s="223"/>
      <c r="BF2468" s="223"/>
      <c r="BG2468" s="223"/>
      <c r="BH2468" s="223"/>
      <c r="BI2468" s="223"/>
      <c r="BJ2468" s="223"/>
      <c r="BK2468" s="223"/>
      <c r="BL2468" s="223"/>
      <c r="BM2468" s="223"/>
      <c r="BN2468" s="223"/>
      <c r="BO2468" s="223"/>
      <c r="BP2468" s="223"/>
      <c r="BQ2468" s="223"/>
      <c r="BR2468" s="223"/>
      <c r="BS2468" s="223"/>
      <c r="BT2468" s="223"/>
      <c r="BU2468" s="223"/>
      <c r="BV2468" s="223"/>
      <c r="BW2468" s="223"/>
      <c r="BX2468" s="223"/>
      <c r="BY2468" s="223"/>
      <c r="BZ2468" s="223"/>
      <c r="CA2468" s="223"/>
      <c r="CB2468" s="223"/>
      <c r="CC2468" s="223"/>
      <c r="CD2468" s="223"/>
      <c r="CE2468" s="223"/>
      <c r="CF2468" s="223"/>
      <c r="CG2468" s="223"/>
      <c r="CH2468" s="223"/>
      <c r="CI2468" s="223"/>
      <c r="CJ2468" s="223"/>
      <c r="CK2468" s="223"/>
      <c r="CL2468" s="223"/>
      <c r="CM2468" s="223"/>
      <c r="CN2468" s="223"/>
      <c r="CO2468" s="223"/>
      <c r="CP2468" s="223"/>
      <c r="CQ2468" s="223"/>
      <c r="CR2468" s="223"/>
      <c r="CS2468" s="223"/>
      <c r="CT2468" s="223"/>
      <c r="CU2468" s="223"/>
      <c r="CV2468" s="223"/>
      <c r="CW2468" s="223"/>
      <c r="CX2468" s="223"/>
      <c r="CY2468" s="223"/>
      <c r="CZ2468" s="223"/>
      <c r="DA2468" s="223"/>
      <c r="DB2468" s="223"/>
      <c r="DC2468" s="223"/>
      <c r="DD2468" s="223"/>
      <c r="DE2468" s="223"/>
      <c r="DF2468" s="223"/>
      <c r="DG2468" s="223"/>
      <c r="DH2468" s="223"/>
      <c r="DI2468" s="223"/>
      <c r="DJ2468" s="223"/>
      <c r="DK2468" s="223"/>
      <c r="DL2468" s="223"/>
      <c r="DM2468" s="223"/>
      <c r="DN2468" s="223"/>
      <c r="DO2468" s="223"/>
      <c r="DP2468" s="223"/>
      <c r="DQ2468" s="223"/>
      <c r="DR2468" s="223"/>
      <c r="DS2468" s="223"/>
      <c r="DT2468" s="223"/>
      <c r="DU2468" s="223"/>
      <c r="DV2468" s="223"/>
      <c r="DW2468" s="223"/>
      <c r="DX2468" s="223"/>
      <c r="DY2468" s="223"/>
      <c r="DZ2468" s="223"/>
      <c r="EA2468" s="223"/>
      <c r="EB2468" s="223"/>
      <c r="EC2468" s="223"/>
      <c r="ED2468" s="223"/>
      <c r="EE2468" s="223"/>
      <c r="EF2468" s="223"/>
      <c r="EG2468" s="223"/>
      <c r="EH2468" s="223"/>
      <c r="EI2468" s="223"/>
      <c r="EJ2468" s="223"/>
      <c r="EK2468" s="223"/>
      <c r="EL2468" s="223"/>
      <c r="EM2468" s="223"/>
      <c r="EN2468" s="223"/>
      <c r="EO2468" s="223"/>
      <c r="EP2468" s="223"/>
      <c r="EQ2468" s="223"/>
      <c r="ER2468" s="223"/>
      <c r="ES2468" s="223"/>
      <c r="ET2468" s="223"/>
      <c r="EU2468" s="223"/>
      <c r="EV2468" s="223"/>
      <c r="EW2468" s="223"/>
      <c r="EX2468" s="223"/>
      <c r="EY2468" s="223"/>
      <c r="EZ2468" s="223"/>
      <c r="FA2468" s="223"/>
      <c r="FB2468" s="223"/>
      <c r="FC2468" s="223"/>
      <c r="FD2468" s="223"/>
      <c r="FE2468" s="223"/>
      <c r="FF2468" s="223"/>
      <c r="FG2468" s="223"/>
      <c r="FH2468" s="223"/>
      <c r="FI2468" s="223"/>
      <c r="FJ2468" s="223"/>
      <c r="FK2468" s="223"/>
      <c r="FL2468" s="223"/>
      <c r="FM2468" s="223"/>
      <c r="FN2468" s="223"/>
      <c r="FO2468" s="223"/>
      <c r="FP2468" s="223"/>
      <c r="FQ2468" s="223"/>
      <c r="FR2468" s="223"/>
      <c r="FS2468" s="223"/>
      <c r="FT2468" s="223"/>
      <c r="FU2468" s="223"/>
      <c r="FV2468" s="223"/>
      <c r="FW2468" s="223"/>
      <c r="FX2468" s="223"/>
      <c r="FY2468" s="223"/>
      <c r="FZ2468" s="223"/>
      <c r="GA2468" s="223"/>
      <c r="GB2468" s="223"/>
      <c r="GC2468" s="223"/>
      <c r="GD2468" s="223"/>
      <c r="GE2468" s="223"/>
      <c r="GF2468" s="223"/>
      <c r="GG2468" s="223"/>
      <c r="GH2468" s="223"/>
      <c r="GI2468" s="223"/>
      <c r="GJ2468" s="223"/>
      <c r="GK2468" s="223"/>
      <c r="GL2468" s="223"/>
      <c r="GM2468" s="223"/>
      <c r="GN2468" s="223"/>
      <c r="GO2468" s="223"/>
      <c r="GP2468" s="223"/>
      <c r="GQ2468" s="223"/>
      <c r="GR2468" s="223"/>
      <c r="GS2468" s="223"/>
      <c r="GT2468" s="223"/>
      <c r="GU2468" s="223"/>
      <c r="GV2468" s="223"/>
      <c r="GW2468" s="223"/>
      <c r="GX2468" s="223"/>
      <c r="GY2468" s="223"/>
      <c r="GZ2468" s="223"/>
      <c r="HA2468" s="223"/>
      <c r="HB2468" s="223"/>
      <c r="HC2468" s="223"/>
      <c r="HD2468" s="223"/>
      <c r="HE2468" s="223"/>
      <c r="HF2468" s="223"/>
      <c r="HG2468" s="223"/>
      <c r="HH2468" s="223"/>
      <c r="HI2468" s="223"/>
      <c r="HJ2468" s="223"/>
      <c r="HK2468" s="223"/>
      <c r="HL2468" s="223"/>
      <c r="HM2468" s="223"/>
      <c r="HN2468" s="223"/>
      <c r="HO2468" s="223"/>
      <c r="HP2468" s="223"/>
      <c r="HQ2468" s="223"/>
      <c r="HR2468" s="223"/>
      <c r="HS2468" s="223"/>
      <c r="HT2468" s="223"/>
      <c r="HU2468" s="223"/>
      <c r="HV2468" s="223"/>
      <c r="HW2468" s="223"/>
      <c r="HX2468" s="223"/>
      <c r="HY2468" s="223"/>
      <c r="HZ2468" s="223"/>
      <c r="IA2468" s="223"/>
      <c r="IB2468" s="223"/>
      <c r="IC2468" s="223"/>
      <c r="ID2468" s="223"/>
      <c r="IE2468" s="223"/>
      <c r="IF2468" s="223"/>
      <c r="IG2468" s="223"/>
      <c r="IH2468" s="223"/>
      <c r="II2468" s="223"/>
      <c r="IJ2468" s="223"/>
      <c r="IK2468" s="223"/>
      <c r="IL2468" s="223"/>
      <c r="IM2468" s="223"/>
      <c r="IN2468" s="223"/>
      <c r="IO2468" s="223"/>
      <c r="IP2468" s="223"/>
      <c r="IQ2468" s="223"/>
      <c r="IR2468" s="223"/>
      <c r="IS2468" s="223"/>
      <c r="IT2468" s="223"/>
      <c r="IU2468" s="223"/>
      <c r="IV2468" s="223"/>
    </row>
    <row r="2469" spans="46:256" s="221" customFormat="1" x14ac:dyDescent="0.2">
      <c r="AT2469" s="222"/>
      <c r="AU2469" s="222"/>
      <c r="BD2469" s="223"/>
      <c r="BE2469" s="223"/>
      <c r="BF2469" s="223"/>
      <c r="BG2469" s="223"/>
      <c r="BH2469" s="223"/>
      <c r="BI2469" s="223"/>
      <c r="BJ2469" s="223"/>
      <c r="BK2469" s="223"/>
      <c r="BL2469" s="223"/>
      <c r="BM2469" s="223"/>
      <c r="BN2469" s="223"/>
      <c r="BO2469" s="223"/>
      <c r="BP2469" s="223"/>
      <c r="BQ2469" s="223"/>
      <c r="BR2469" s="223"/>
      <c r="BS2469" s="223"/>
      <c r="BT2469" s="223"/>
      <c r="BU2469" s="223"/>
      <c r="BV2469" s="223"/>
      <c r="BW2469" s="223"/>
      <c r="BX2469" s="223"/>
      <c r="BY2469" s="223"/>
      <c r="BZ2469" s="223"/>
      <c r="CA2469" s="223"/>
      <c r="CB2469" s="223"/>
      <c r="CC2469" s="223"/>
      <c r="CD2469" s="223"/>
      <c r="CE2469" s="223"/>
      <c r="CF2469" s="223"/>
      <c r="CG2469" s="223"/>
      <c r="CH2469" s="223"/>
      <c r="CI2469" s="223"/>
      <c r="CJ2469" s="223"/>
      <c r="CK2469" s="223"/>
      <c r="CL2469" s="223"/>
      <c r="CM2469" s="223"/>
      <c r="CN2469" s="223"/>
      <c r="CO2469" s="223"/>
      <c r="CP2469" s="223"/>
      <c r="CQ2469" s="223"/>
      <c r="CR2469" s="223"/>
      <c r="CS2469" s="223"/>
      <c r="CT2469" s="223"/>
      <c r="CU2469" s="223"/>
      <c r="CV2469" s="223"/>
      <c r="CW2469" s="223"/>
      <c r="CX2469" s="223"/>
      <c r="CY2469" s="223"/>
      <c r="CZ2469" s="223"/>
      <c r="DA2469" s="223"/>
      <c r="DB2469" s="223"/>
      <c r="DC2469" s="223"/>
      <c r="DD2469" s="223"/>
      <c r="DE2469" s="223"/>
      <c r="DF2469" s="223"/>
      <c r="DG2469" s="223"/>
      <c r="DH2469" s="223"/>
      <c r="DI2469" s="223"/>
      <c r="DJ2469" s="223"/>
      <c r="DK2469" s="223"/>
      <c r="DL2469" s="223"/>
      <c r="DM2469" s="223"/>
      <c r="DN2469" s="223"/>
      <c r="DO2469" s="223"/>
      <c r="DP2469" s="223"/>
      <c r="DQ2469" s="223"/>
      <c r="DR2469" s="223"/>
      <c r="DS2469" s="223"/>
      <c r="DT2469" s="223"/>
      <c r="DU2469" s="223"/>
      <c r="DV2469" s="223"/>
      <c r="DW2469" s="223"/>
      <c r="DX2469" s="223"/>
      <c r="DY2469" s="223"/>
      <c r="DZ2469" s="223"/>
      <c r="EA2469" s="223"/>
      <c r="EB2469" s="223"/>
      <c r="EC2469" s="223"/>
      <c r="ED2469" s="223"/>
      <c r="EE2469" s="223"/>
      <c r="EF2469" s="223"/>
      <c r="EG2469" s="223"/>
      <c r="EH2469" s="223"/>
      <c r="EI2469" s="223"/>
      <c r="EJ2469" s="223"/>
      <c r="EK2469" s="223"/>
      <c r="EL2469" s="223"/>
      <c r="EM2469" s="223"/>
      <c r="EN2469" s="223"/>
      <c r="EO2469" s="223"/>
      <c r="EP2469" s="223"/>
      <c r="EQ2469" s="223"/>
      <c r="ER2469" s="223"/>
      <c r="ES2469" s="223"/>
      <c r="ET2469" s="223"/>
      <c r="EU2469" s="223"/>
      <c r="EV2469" s="223"/>
      <c r="EW2469" s="223"/>
      <c r="EX2469" s="223"/>
      <c r="EY2469" s="223"/>
      <c r="EZ2469" s="223"/>
      <c r="FA2469" s="223"/>
      <c r="FB2469" s="223"/>
      <c r="FC2469" s="223"/>
      <c r="FD2469" s="223"/>
      <c r="FE2469" s="223"/>
      <c r="FF2469" s="223"/>
      <c r="FG2469" s="223"/>
      <c r="FH2469" s="223"/>
      <c r="FI2469" s="223"/>
      <c r="FJ2469" s="223"/>
      <c r="FK2469" s="223"/>
      <c r="FL2469" s="223"/>
      <c r="FM2469" s="223"/>
      <c r="FN2469" s="223"/>
      <c r="FO2469" s="223"/>
      <c r="FP2469" s="223"/>
      <c r="FQ2469" s="223"/>
      <c r="FR2469" s="223"/>
      <c r="FS2469" s="223"/>
      <c r="FT2469" s="223"/>
      <c r="FU2469" s="223"/>
      <c r="FV2469" s="223"/>
      <c r="FW2469" s="223"/>
      <c r="FX2469" s="223"/>
      <c r="FY2469" s="223"/>
      <c r="FZ2469" s="223"/>
      <c r="GA2469" s="223"/>
      <c r="GB2469" s="223"/>
      <c r="GC2469" s="223"/>
      <c r="GD2469" s="223"/>
      <c r="GE2469" s="223"/>
      <c r="GF2469" s="223"/>
      <c r="GG2469" s="223"/>
      <c r="GH2469" s="223"/>
      <c r="GI2469" s="223"/>
      <c r="GJ2469" s="223"/>
      <c r="GK2469" s="223"/>
      <c r="GL2469" s="223"/>
      <c r="GM2469" s="223"/>
      <c r="GN2469" s="223"/>
      <c r="GO2469" s="223"/>
      <c r="GP2469" s="223"/>
      <c r="GQ2469" s="223"/>
      <c r="GR2469" s="223"/>
      <c r="GS2469" s="223"/>
      <c r="GT2469" s="223"/>
      <c r="GU2469" s="223"/>
      <c r="GV2469" s="223"/>
      <c r="GW2469" s="223"/>
      <c r="GX2469" s="223"/>
      <c r="GY2469" s="223"/>
      <c r="GZ2469" s="223"/>
      <c r="HA2469" s="223"/>
      <c r="HB2469" s="223"/>
      <c r="HC2469" s="223"/>
      <c r="HD2469" s="223"/>
      <c r="HE2469" s="223"/>
      <c r="HF2469" s="223"/>
      <c r="HG2469" s="223"/>
      <c r="HH2469" s="223"/>
      <c r="HI2469" s="223"/>
      <c r="HJ2469" s="223"/>
      <c r="HK2469" s="223"/>
      <c r="HL2469" s="223"/>
      <c r="HM2469" s="223"/>
      <c r="HN2469" s="223"/>
      <c r="HO2469" s="223"/>
      <c r="HP2469" s="223"/>
      <c r="HQ2469" s="223"/>
      <c r="HR2469" s="223"/>
      <c r="HS2469" s="223"/>
      <c r="HT2469" s="223"/>
      <c r="HU2469" s="223"/>
      <c r="HV2469" s="223"/>
      <c r="HW2469" s="223"/>
      <c r="HX2469" s="223"/>
      <c r="HY2469" s="223"/>
      <c r="HZ2469" s="223"/>
      <c r="IA2469" s="223"/>
      <c r="IB2469" s="223"/>
      <c r="IC2469" s="223"/>
      <c r="ID2469" s="223"/>
      <c r="IE2469" s="223"/>
      <c r="IF2469" s="223"/>
      <c r="IG2469" s="223"/>
      <c r="IH2469" s="223"/>
      <c r="II2469" s="223"/>
      <c r="IJ2469" s="223"/>
      <c r="IK2469" s="223"/>
      <c r="IL2469" s="223"/>
      <c r="IM2469" s="223"/>
      <c r="IN2469" s="223"/>
      <c r="IO2469" s="223"/>
      <c r="IP2469" s="223"/>
      <c r="IQ2469" s="223"/>
      <c r="IR2469" s="223"/>
      <c r="IS2469" s="223"/>
      <c r="IT2469" s="223"/>
      <c r="IU2469" s="223"/>
      <c r="IV2469" s="223"/>
    </row>
    <row r="2470" spans="46:256" s="221" customFormat="1" x14ac:dyDescent="0.2">
      <c r="AT2470" s="222"/>
      <c r="AU2470" s="222"/>
      <c r="BD2470" s="223"/>
      <c r="BE2470" s="223"/>
      <c r="BF2470" s="223"/>
      <c r="BG2470" s="223"/>
      <c r="BH2470" s="223"/>
      <c r="BI2470" s="223"/>
      <c r="BJ2470" s="223"/>
      <c r="BK2470" s="223"/>
      <c r="BL2470" s="223"/>
      <c r="BM2470" s="223"/>
      <c r="BN2470" s="223"/>
      <c r="BO2470" s="223"/>
      <c r="BP2470" s="223"/>
      <c r="BQ2470" s="223"/>
      <c r="BR2470" s="223"/>
      <c r="BS2470" s="223"/>
      <c r="BT2470" s="223"/>
      <c r="BU2470" s="223"/>
      <c r="BV2470" s="223"/>
      <c r="BW2470" s="223"/>
      <c r="BX2470" s="223"/>
      <c r="BY2470" s="223"/>
      <c r="BZ2470" s="223"/>
      <c r="CA2470" s="223"/>
      <c r="CB2470" s="223"/>
      <c r="CC2470" s="223"/>
      <c r="CD2470" s="223"/>
      <c r="CE2470" s="223"/>
      <c r="CF2470" s="223"/>
      <c r="CG2470" s="223"/>
      <c r="CH2470" s="223"/>
      <c r="CI2470" s="223"/>
      <c r="CJ2470" s="223"/>
      <c r="CK2470" s="223"/>
      <c r="CL2470" s="223"/>
      <c r="CM2470" s="223"/>
      <c r="CN2470" s="223"/>
      <c r="CO2470" s="223"/>
      <c r="CP2470" s="223"/>
      <c r="CQ2470" s="223"/>
      <c r="CR2470" s="223"/>
      <c r="CS2470" s="223"/>
      <c r="CT2470" s="223"/>
      <c r="CU2470" s="223"/>
      <c r="CV2470" s="223"/>
      <c r="CW2470" s="223"/>
      <c r="CX2470" s="223"/>
      <c r="CY2470" s="223"/>
      <c r="CZ2470" s="223"/>
      <c r="DA2470" s="223"/>
      <c r="DB2470" s="223"/>
      <c r="DC2470" s="223"/>
      <c r="DD2470" s="223"/>
      <c r="DE2470" s="223"/>
      <c r="DF2470" s="223"/>
      <c r="DG2470" s="223"/>
      <c r="DH2470" s="223"/>
      <c r="DI2470" s="223"/>
      <c r="DJ2470" s="223"/>
      <c r="DK2470" s="223"/>
      <c r="DL2470" s="223"/>
      <c r="DM2470" s="223"/>
      <c r="DN2470" s="223"/>
      <c r="DO2470" s="223"/>
      <c r="DP2470" s="223"/>
      <c r="DQ2470" s="223"/>
      <c r="DR2470" s="223"/>
      <c r="DS2470" s="223"/>
      <c r="DT2470" s="223"/>
      <c r="DU2470" s="223"/>
      <c r="DV2470" s="223"/>
      <c r="DW2470" s="223"/>
      <c r="DX2470" s="223"/>
      <c r="DY2470" s="223"/>
      <c r="DZ2470" s="223"/>
      <c r="EA2470" s="223"/>
      <c r="EB2470" s="223"/>
      <c r="EC2470" s="223"/>
      <c r="ED2470" s="223"/>
      <c r="EE2470" s="223"/>
      <c r="EF2470" s="223"/>
      <c r="EG2470" s="223"/>
      <c r="EH2470" s="223"/>
      <c r="EI2470" s="223"/>
      <c r="EJ2470" s="223"/>
      <c r="EK2470" s="223"/>
      <c r="EL2470" s="223"/>
      <c r="EM2470" s="223"/>
      <c r="EN2470" s="223"/>
      <c r="EO2470" s="223"/>
      <c r="EP2470" s="223"/>
      <c r="EQ2470" s="223"/>
      <c r="ER2470" s="223"/>
      <c r="ES2470" s="223"/>
      <c r="ET2470" s="223"/>
      <c r="EU2470" s="223"/>
      <c r="EV2470" s="223"/>
      <c r="EW2470" s="223"/>
      <c r="EX2470" s="223"/>
      <c r="EY2470" s="223"/>
      <c r="EZ2470" s="223"/>
      <c r="FA2470" s="223"/>
      <c r="FB2470" s="223"/>
      <c r="FC2470" s="223"/>
      <c r="FD2470" s="223"/>
      <c r="FE2470" s="223"/>
      <c r="FF2470" s="223"/>
      <c r="FG2470" s="223"/>
      <c r="FH2470" s="223"/>
      <c r="FI2470" s="223"/>
      <c r="FJ2470" s="223"/>
      <c r="FK2470" s="223"/>
      <c r="FL2470" s="223"/>
      <c r="FM2470" s="223"/>
      <c r="FN2470" s="223"/>
      <c r="FO2470" s="223"/>
      <c r="FP2470" s="223"/>
      <c r="FQ2470" s="223"/>
      <c r="FR2470" s="223"/>
      <c r="FS2470" s="223"/>
      <c r="FT2470" s="223"/>
      <c r="FU2470" s="223"/>
      <c r="FV2470" s="223"/>
      <c r="FW2470" s="223"/>
      <c r="FX2470" s="223"/>
      <c r="FY2470" s="223"/>
      <c r="FZ2470" s="223"/>
      <c r="GA2470" s="223"/>
      <c r="GB2470" s="223"/>
      <c r="GC2470" s="223"/>
      <c r="GD2470" s="223"/>
      <c r="GE2470" s="223"/>
      <c r="GF2470" s="223"/>
      <c r="GG2470" s="223"/>
      <c r="GH2470" s="223"/>
      <c r="GI2470" s="223"/>
      <c r="GJ2470" s="223"/>
      <c r="GK2470" s="223"/>
      <c r="GL2470" s="223"/>
      <c r="GM2470" s="223"/>
      <c r="GN2470" s="223"/>
      <c r="GO2470" s="223"/>
      <c r="GP2470" s="223"/>
      <c r="GQ2470" s="223"/>
      <c r="GR2470" s="223"/>
      <c r="GS2470" s="223"/>
      <c r="GT2470" s="223"/>
      <c r="GU2470" s="223"/>
      <c r="GV2470" s="223"/>
      <c r="GW2470" s="223"/>
      <c r="GX2470" s="223"/>
      <c r="GY2470" s="223"/>
      <c r="GZ2470" s="223"/>
      <c r="HA2470" s="223"/>
      <c r="HB2470" s="223"/>
      <c r="HC2470" s="223"/>
      <c r="HD2470" s="223"/>
      <c r="HE2470" s="223"/>
      <c r="HF2470" s="223"/>
      <c r="HG2470" s="223"/>
      <c r="HH2470" s="223"/>
      <c r="HI2470" s="223"/>
      <c r="HJ2470" s="223"/>
      <c r="HK2470" s="223"/>
      <c r="HL2470" s="223"/>
      <c r="HM2470" s="223"/>
      <c r="HN2470" s="223"/>
      <c r="HO2470" s="223"/>
      <c r="HP2470" s="223"/>
      <c r="HQ2470" s="223"/>
      <c r="HR2470" s="223"/>
      <c r="HS2470" s="223"/>
      <c r="HT2470" s="223"/>
      <c r="HU2470" s="223"/>
      <c r="HV2470" s="223"/>
      <c r="HW2470" s="223"/>
      <c r="HX2470" s="223"/>
      <c r="HY2470" s="223"/>
      <c r="HZ2470" s="223"/>
      <c r="IA2470" s="223"/>
      <c r="IB2470" s="223"/>
      <c r="IC2470" s="223"/>
      <c r="ID2470" s="223"/>
      <c r="IE2470" s="223"/>
      <c r="IF2470" s="223"/>
      <c r="IG2470" s="223"/>
      <c r="IH2470" s="223"/>
      <c r="II2470" s="223"/>
      <c r="IJ2470" s="223"/>
      <c r="IK2470" s="223"/>
      <c r="IL2470" s="223"/>
      <c r="IM2470" s="223"/>
      <c r="IN2470" s="223"/>
      <c r="IO2470" s="223"/>
      <c r="IP2470" s="223"/>
      <c r="IQ2470" s="223"/>
      <c r="IR2470" s="223"/>
      <c r="IS2470" s="223"/>
      <c r="IT2470" s="223"/>
      <c r="IU2470" s="223"/>
      <c r="IV2470" s="223"/>
    </row>
    <row r="2471" spans="46:256" s="221" customFormat="1" x14ac:dyDescent="0.2">
      <c r="AT2471" s="222"/>
      <c r="AU2471" s="222"/>
      <c r="BD2471" s="223"/>
      <c r="BE2471" s="223"/>
      <c r="BF2471" s="223"/>
      <c r="BG2471" s="223"/>
      <c r="BH2471" s="223"/>
      <c r="BI2471" s="223"/>
      <c r="BJ2471" s="223"/>
      <c r="BK2471" s="223"/>
      <c r="BL2471" s="223"/>
      <c r="BM2471" s="223"/>
      <c r="BN2471" s="223"/>
      <c r="BO2471" s="223"/>
      <c r="BP2471" s="223"/>
      <c r="BQ2471" s="223"/>
      <c r="BR2471" s="223"/>
      <c r="BS2471" s="223"/>
      <c r="BT2471" s="223"/>
      <c r="BU2471" s="223"/>
      <c r="BV2471" s="223"/>
      <c r="BW2471" s="223"/>
      <c r="BX2471" s="223"/>
      <c r="BY2471" s="223"/>
      <c r="BZ2471" s="223"/>
      <c r="CA2471" s="223"/>
      <c r="CB2471" s="223"/>
      <c r="CC2471" s="223"/>
      <c r="CD2471" s="223"/>
      <c r="CE2471" s="223"/>
      <c r="CF2471" s="223"/>
      <c r="CG2471" s="223"/>
      <c r="CH2471" s="223"/>
      <c r="CI2471" s="223"/>
      <c r="CJ2471" s="223"/>
      <c r="CK2471" s="223"/>
      <c r="CL2471" s="223"/>
      <c r="CM2471" s="223"/>
      <c r="CN2471" s="223"/>
      <c r="CO2471" s="223"/>
      <c r="CP2471" s="223"/>
      <c r="CQ2471" s="223"/>
      <c r="CR2471" s="223"/>
      <c r="CS2471" s="223"/>
      <c r="CT2471" s="223"/>
      <c r="CU2471" s="223"/>
      <c r="CV2471" s="223"/>
      <c r="CW2471" s="223"/>
      <c r="CX2471" s="223"/>
      <c r="CY2471" s="223"/>
      <c r="CZ2471" s="223"/>
      <c r="DA2471" s="223"/>
      <c r="DB2471" s="223"/>
      <c r="DC2471" s="223"/>
      <c r="DD2471" s="223"/>
      <c r="DE2471" s="223"/>
      <c r="DF2471" s="223"/>
      <c r="DG2471" s="223"/>
      <c r="DH2471" s="223"/>
      <c r="DI2471" s="223"/>
      <c r="DJ2471" s="223"/>
      <c r="DK2471" s="223"/>
      <c r="DL2471" s="223"/>
      <c r="DM2471" s="223"/>
      <c r="DN2471" s="223"/>
      <c r="DO2471" s="223"/>
      <c r="DP2471" s="223"/>
      <c r="DQ2471" s="223"/>
      <c r="DR2471" s="223"/>
      <c r="DS2471" s="223"/>
      <c r="DT2471" s="223"/>
      <c r="DU2471" s="223"/>
      <c r="DV2471" s="223"/>
      <c r="DW2471" s="223"/>
      <c r="DX2471" s="223"/>
      <c r="DY2471" s="223"/>
      <c r="DZ2471" s="223"/>
      <c r="EA2471" s="223"/>
      <c r="EB2471" s="223"/>
      <c r="EC2471" s="223"/>
      <c r="ED2471" s="223"/>
      <c r="EE2471" s="223"/>
      <c r="EF2471" s="223"/>
      <c r="EG2471" s="223"/>
      <c r="EH2471" s="223"/>
      <c r="EI2471" s="223"/>
      <c r="EJ2471" s="223"/>
      <c r="EK2471" s="223"/>
      <c r="EL2471" s="223"/>
      <c r="EM2471" s="223"/>
      <c r="EN2471" s="223"/>
      <c r="EO2471" s="223"/>
      <c r="EP2471" s="223"/>
      <c r="EQ2471" s="223"/>
      <c r="ER2471" s="223"/>
      <c r="ES2471" s="223"/>
      <c r="ET2471" s="223"/>
      <c r="EU2471" s="223"/>
      <c r="EV2471" s="223"/>
      <c r="EW2471" s="223"/>
      <c r="EX2471" s="223"/>
      <c r="EY2471" s="223"/>
      <c r="EZ2471" s="223"/>
      <c r="FA2471" s="223"/>
      <c r="FB2471" s="223"/>
      <c r="FC2471" s="223"/>
      <c r="FD2471" s="223"/>
      <c r="FE2471" s="223"/>
      <c r="FF2471" s="223"/>
      <c r="FG2471" s="223"/>
      <c r="FH2471" s="223"/>
      <c r="FI2471" s="223"/>
      <c r="FJ2471" s="223"/>
      <c r="FK2471" s="223"/>
      <c r="FL2471" s="223"/>
      <c r="FM2471" s="223"/>
      <c r="FN2471" s="223"/>
      <c r="FO2471" s="223"/>
      <c r="FP2471" s="223"/>
      <c r="FQ2471" s="223"/>
      <c r="FR2471" s="223"/>
      <c r="FS2471" s="223"/>
      <c r="FT2471" s="223"/>
      <c r="FU2471" s="223"/>
      <c r="FV2471" s="223"/>
      <c r="FW2471" s="223"/>
      <c r="FX2471" s="223"/>
      <c r="FY2471" s="223"/>
      <c r="FZ2471" s="223"/>
      <c r="GA2471" s="223"/>
      <c r="GB2471" s="223"/>
      <c r="GC2471" s="223"/>
      <c r="GD2471" s="223"/>
      <c r="GE2471" s="223"/>
      <c r="GF2471" s="223"/>
      <c r="GG2471" s="223"/>
      <c r="GH2471" s="223"/>
      <c r="GI2471" s="223"/>
      <c r="GJ2471" s="223"/>
      <c r="GK2471" s="223"/>
      <c r="GL2471" s="223"/>
      <c r="GM2471" s="223"/>
      <c r="GN2471" s="223"/>
      <c r="GO2471" s="223"/>
      <c r="GP2471" s="223"/>
      <c r="GQ2471" s="223"/>
      <c r="GR2471" s="223"/>
      <c r="GS2471" s="223"/>
      <c r="GT2471" s="223"/>
      <c r="GU2471" s="223"/>
      <c r="GV2471" s="223"/>
      <c r="GW2471" s="223"/>
      <c r="GX2471" s="223"/>
      <c r="GY2471" s="223"/>
      <c r="GZ2471" s="223"/>
      <c r="HA2471" s="223"/>
      <c r="HB2471" s="223"/>
      <c r="HC2471" s="223"/>
      <c r="HD2471" s="223"/>
      <c r="HE2471" s="223"/>
      <c r="HF2471" s="223"/>
      <c r="HG2471" s="223"/>
      <c r="HH2471" s="223"/>
      <c r="HI2471" s="223"/>
      <c r="HJ2471" s="223"/>
      <c r="HK2471" s="223"/>
      <c r="HL2471" s="223"/>
      <c r="HM2471" s="223"/>
      <c r="HN2471" s="223"/>
      <c r="HO2471" s="223"/>
      <c r="HP2471" s="223"/>
      <c r="HQ2471" s="223"/>
      <c r="HR2471" s="223"/>
      <c r="HS2471" s="223"/>
      <c r="HT2471" s="223"/>
      <c r="HU2471" s="223"/>
      <c r="HV2471" s="223"/>
      <c r="HW2471" s="223"/>
      <c r="HX2471" s="223"/>
      <c r="HY2471" s="223"/>
      <c r="HZ2471" s="223"/>
      <c r="IA2471" s="223"/>
      <c r="IB2471" s="223"/>
      <c r="IC2471" s="223"/>
      <c r="ID2471" s="223"/>
      <c r="IE2471" s="223"/>
      <c r="IF2471" s="223"/>
      <c r="IG2471" s="223"/>
      <c r="IH2471" s="223"/>
      <c r="II2471" s="223"/>
      <c r="IJ2471" s="223"/>
      <c r="IK2471" s="223"/>
      <c r="IL2471" s="223"/>
      <c r="IM2471" s="223"/>
      <c r="IN2471" s="223"/>
      <c r="IO2471" s="223"/>
      <c r="IP2471" s="223"/>
      <c r="IQ2471" s="223"/>
      <c r="IR2471" s="223"/>
      <c r="IS2471" s="223"/>
      <c r="IT2471" s="223"/>
      <c r="IU2471" s="223"/>
      <c r="IV2471" s="223"/>
    </row>
    <row r="2472" spans="46:256" s="221" customFormat="1" x14ac:dyDescent="0.2">
      <c r="AT2472" s="222"/>
      <c r="AU2472" s="222"/>
      <c r="BD2472" s="223"/>
      <c r="BE2472" s="223"/>
      <c r="BF2472" s="223"/>
      <c r="BG2472" s="223"/>
      <c r="BH2472" s="223"/>
      <c r="BI2472" s="223"/>
      <c r="BJ2472" s="223"/>
      <c r="BK2472" s="223"/>
      <c r="BL2472" s="223"/>
      <c r="BM2472" s="223"/>
      <c r="BN2472" s="223"/>
      <c r="BO2472" s="223"/>
      <c r="BP2472" s="223"/>
      <c r="BQ2472" s="223"/>
      <c r="BR2472" s="223"/>
      <c r="BS2472" s="223"/>
      <c r="BT2472" s="223"/>
      <c r="BU2472" s="223"/>
      <c r="BV2472" s="223"/>
      <c r="BW2472" s="223"/>
      <c r="BX2472" s="223"/>
      <c r="BY2472" s="223"/>
      <c r="BZ2472" s="223"/>
      <c r="CA2472" s="223"/>
      <c r="CB2472" s="223"/>
      <c r="CC2472" s="223"/>
      <c r="CD2472" s="223"/>
      <c r="CE2472" s="223"/>
      <c r="CF2472" s="223"/>
      <c r="CG2472" s="223"/>
      <c r="CH2472" s="223"/>
      <c r="CI2472" s="223"/>
      <c r="CJ2472" s="223"/>
      <c r="CK2472" s="223"/>
      <c r="CL2472" s="223"/>
      <c r="CM2472" s="223"/>
      <c r="CN2472" s="223"/>
      <c r="CO2472" s="223"/>
      <c r="CP2472" s="223"/>
      <c r="CQ2472" s="223"/>
      <c r="CR2472" s="223"/>
      <c r="CS2472" s="223"/>
      <c r="CT2472" s="223"/>
      <c r="CU2472" s="223"/>
      <c r="CV2472" s="223"/>
      <c r="CW2472" s="223"/>
      <c r="CX2472" s="223"/>
      <c r="CY2472" s="223"/>
      <c r="CZ2472" s="223"/>
      <c r="DA2472" s="223"/>
      <c r="DB2472" s="223"/>
      <c r="DC2472" s="223"/>
      <c r="DD2472" s="223"/>
      <c r="DE2472" s="223"/>
      <c r="DF2472" s="223"/>
      <c r="DG2472" s="223"/>
      <c r="DH2472" s="223"/>
      <c r="DI2472" s="223"/>
      <c r="DJ2472" s="223"/>
      <c r="DK2472" s="223"/>
      <c r="DL2472" s="223"/>
      <c r="DM2472" s="223"/>
      <c r="DN2472" s="223"/>
      <c r="DO2472" s="223"/>
      <c r="DP2472" s="223"/>
      <c r="DQ2472" s="223"/>
      <c r="DR2472" s="223"/>
      <c r="DS2472" s="223"/>
      <c r="DT2472" s="223"/>
      <c r="DU2472" s="223"/>
      <c r="DV2472" s="223"/>
      <c r="DW2472" s="223"/>
      <c r="DX2472" s="223"/>
      <c r="DY2472" s="223"/>
      <c r="DZ2472" s="223"/>
      <c r="EA2472" s="223"/>
      <c r="EB2472" s="223"/>
      <c r="EC2472" s="223"/>
      <c r="ED2472" s="223"/>
      <c r="EE2472" s="223"/>
      <c r="EF2472" s="223"/>
      <c r="EG2472" s="223"/>
      <c r="EH2472" s="223"/>
      <c r="EI2472" s="223"/>
      <c r="EJ2472" s="223"/>
      <c r="EK2472" s="223"/>
      <c r="EL2472" s="223"/>
      <c r="EM2472" s="223"/>
      <c r="EN2472" s="223"/>
      <c r="EO2472" s="223"/>
      <c r="EP2472" s="223"/>
      <c r="EQ2472" s="223"/>
      <c r="ER2472" s="223"/>
      <c r="ES2472" s="223"/>
      <c r="ET2472" s="223"/>
      <c r="EU2472" s="223"/>
      <c r="EV2472" s="223"/>
      <c r="EW2472" s="223"/>
      <c r="EX2472" s="223"/>
      <c r="EY2472" s="223"/>
      <c r="EZ2472" s="223"/>
      <c r="FA2472" s="223"/>
      <c r="FB2472" s="223"/>
      <c r="FC2472" s="223"/>
      <c r="FD2472" s="223"/>
      <c r="FE2472" s="223"/>
      <c r="FF2472" s="223"/>
      <c r="FG2472" s="223"/>
      <c r="FH2472" s="223"/>
      <c r="FI2472" s="223"/>
      <c r="FJ2472" s="223"/>
      <c r="FK2472" s="223"/>
      <c r="FL2472" s="223"/>
      <c r="FM2472" s="223"/>
      <c r="FN2472" s="223"/>
      <c r="FO2472" s="223"/>
      <c r="FP2472" s="223"/>
      <c r="FQ2472" s="223"/>
      <c r="FR2472" s="223"/>
      <c r="FS2472" s="223"/>
      <c r="FT2472" s="223"/>
      <c r="FU2472" s="223"/>
      <c r="FV2472" s="223"/>
      <c r="FW2472" s="223"/>
      <c r="FX2472" s="223"/>
      <c r="FY2472" s="223"/>
      <c r="FZ2472" s="223"/>
      <c r="GA2472" s="223"/>
      <c r="GB2472" s="223"/>
      <c r="GC2472" s="223"/>
      <c r="GD2472" s="223"/>
      <c r="GE2472" s="223"/>
      <c r="GF2472" s="223"/>
      <c r="GG2472" s="223"/>
      <c r="GH2472" s="223"/>
      <c r="GI2472" s="223"/>
      <c r="GJ2472" s="223"/>
      <c r="GK2472" s="223"/>
      <c r="GL2472" s="223"/>
      <c r="GM2472" s="223"/>
      <c r="GN2472" s="223"/>
      <c r="GO2472" s="223"/>
      <c r="GP2472" s="223"/>
      <c r="GQ2472" s="223"/>
      <c r="GR2472" s="223"/>
      <c r="GS2472" s="223"/>
      <c r="GT2472" s="223"/>
      <c r="GU2472" s="223"/>
      <c r="GV2472" s="223"/>
      <c r="GW2472" s="223"/>
      <c r="GX2472" s="223"/>
      <c r="GY2472" s="223"/>
      <c r="GZ2472" s="223"/>
      <c r="HA2472" s="223"/>
      <c r="HB2472" s="223"/>
      <c r="HC2472" s="223"/>
      <c r="HD2472" s="223"/>
      <c r="HE2472" s="223"/>
      <c r="HF2472" s="223"/>
      <c r="HG2472" s="223"/>
      <c r="HH2472" s="223"/>
      <c r="HI2472" s="223"/>
      <c r="HJ2472" s="223"/>
      <c r="HK2472" s="223"/>
      <c r="HL2472" s="223"/>
      <c r="HM2472" s="223"/>
      <c r="HN2472" s="223"/>
      <c r="HO2472" s="223"/>
      <c r="HP2472" s="223"/>
      <c r="HQ2472" s="223"/>
      <c r="HR2472" s="223"/>
      <c r="HS2472" s="223"/>
      <c r="HT2472" s="223"/>
      <c r="HU2472" s="223"/>
      <c r="HV2472" s="223"/>
      <c r="HW2472" s="223"/>
      <c r="HX2472" s="223"/>
      <c r="HY2472" s="223"/>
      <c r="HZ2472" s="223"/>
      <c r="IA2472" s="223"/>
      <c r="IB2472" s="223"/>
      <c r="IC2472" s="223"/>
      <c r="ID2472" s="223"/>
      <c r="IE2472" s="223"/>
      <c r="IF2472" s="223"/>
      <c r="IG2472" s="223"/>
      <c r="IH2472" s="223"/>
      <c r="II2472" s="223"/>
      <c r="IJ2472" s="223"/>
      <c r="IK2472" s="223"/>
      <c r="IL2472" s="223"/>
      <c r="IM2472" s="223"/>
      <c r="IN2472" s="223"/>
      <c r="IO2472" s="223"/>
      <c r="IP2472" s="223"/>
      <c r="IQ2472" s="223"/>
      <c r="IR2472" s="223"/>
      <c r="IS2472" s="223"/>
      <c r="IT2472" s="223"/>
      <c r="IU2472" s="223"/>
      <c r="IV2472" s="223"/>
    </row>
    <row r="2473" spans="46:256" s="221" customFormat="1" x14ac:dyDescent="0.2">
      <c r="AT2473" s="222"/>
      <c r="AU2473" s="222"/>
      <c r="BD2473" s="223"/>
      <c r="BE2473" s="223"/>
      <c r="BF2473" s="223"/>
      <c r="BG2473" s="223"/>
      <c r="BH2473" s="223"/>
      <c r="BI2473" s="223"/>
      <c r="BJ2473" s="223"/>
      <c r="BK2473" s="223"/>
      <c r="BL2473" s="223"/>
      <c r="BM2473" s="223"/>
      <c r="BN2473" s="223"/>
      <c r="BO2473" s="223"/>
      <c r="BP2473" s="223"/>
      <c r="BQ2473" s="223"/>
      <c r="BR2473" s="223"/>
      <c r="BS2473" s="223"/>
      <c r="BT2473" s="223"/>
      <c r="BU2473" s="223"/>
      <c r="BV2473" s="223"/>
      <c r="BW2473" s="223"/>
      <c r="BX2473" s="223"/>
      <c r="BY2473" s="223"/>
      <c r="BZ2473" s="223"/>
      <c r="CA2473" s="223"/>
      <c r="CB2473" s="223"/>
      <c r="CC2473" s="223"/>
      <c r="CD2473" s="223"/>
      <c r="CE2473" s="223"/>
      <c r="CF2473" s="223"/>
      <c r="CG2473" s="223"/>
      <c r="CH2473" s="223"/>
      <c r="CI2473" s="223"/>
      <c r="CJ2473" s="223"/>
      <c r="CK2473" s="223"/>
      <c r="CL2473" s="223"/>
      <c r="CM2473" s="223"/>
      <c r="CN2473" s="223"/>
      <c r="CO2473" s="223"/>
      <c r="CP2473" s="223"/>
      <c r="CQ2473" s="223"/>
      <c r="CR2473" s="223"/>
      <c r="CS2473" s="223"/>
      <c r="CT2473" s="223"/>
      <c r="CU2473" s="223"/>
      <c r="CV2473" s="223"/>
      <c r="CW2473" s="223"/>
      <c r="CX2473" s="223"/>
      <c r="CY2473" s="223"/>
      <c r="CZ2473" s="223"/>
      <c r="DA2473" s="223"/>
      <c r="DB2473" s="223"/>
      <c r="DC2473" s="223"/>
      <c r="DD2473" s="223"/>
      <c r="DE2473" s="223"/>
      <c r="DF2473" s="223"/>
      <c r="DG2473" s="223"/>
      <c r="DH2473" s="223"/>
      <c r="DI2473" s="223"/>
      <c r="DJ2473" s="223"/>
      <c r="DK2473" s="223"/>
      <c r="DL2473" s="223"/>
      <c r="DM2473" s="223"/>
      <c r="DN2473" s="223"/>
      <c r="DO2473" s="223"/>
      <c r="DP2473" s="223"/>
      <c r="DQ2473" s="223"/>
      <c r="DR2473" s="223"/>
      <c r="DS2473" s="223"/>
      <c r="DT2473" s="223"/>
      <c r="DU2473" s="223"/>
      <c r="DV2473" s="223"/>
      <c r="DW2473" s="223"/>
      <c r="DX2473" s="223"/>
      <c r="DY2473" s="223"/>
      <c r="DZ2473" s="223"/>
      <c r="EA2473" s="223"/>
      <c r="EB2473" s="223"/>
      <c r="EC2473" s="223"/>
      <c r="ED2473" s="223"/>
      <c r="EE2473" s="223"/>
      <c r="EF2473" s="223"/>
      <c r="EG2473" s="223"/>
      <c r="EH2473" s="223"/>
      <c r="EI2473" s="223"/>
      <c r="EJ2473" s="223"/>
      <c r="EK2473" s="223"/>
      <c r="EL2473" s="223"/>
      <c r="EM2473" s="223"/>
      <c r="EN2473" s="223"/>
      <c r="EO2473" s="223"/>
      <c r="EP2473" s="223"/>
      <c r="EQ2473" s="223"/>
      <c r="ER2473" s="223"/>
      <c r="ES2473" s="223"/>
      <c r="ET2473" s="223"/>
      <c r="EU2473" s="223"/>
      <c r="EV2473" s="223"/>
      <c r="EW2473" s="223"/>
      <c r="EX2473" s="223"/>
      <c r="EY2473" s="223"/>
      <c r="EZ2473" s="223"/>
      <c r="FA2473" s="223"/>
      <c r="FB2473" s="223"/>
      <c r="FC2473" s="223"/>
      <c r="FD2473" s="223"/>
      <c r="FE2473" s="223"/>
      <c r="FF2473" s="223"/>
      <c r="FG2473" s="223"/>
      <c r="FH2473" s="223"/>
      <c r="FI2473" s="223"/>
      <c r="FJ2473" s="223"/>
      <c r="FK2473" s="223"/>
      <c r="FL2473" s="223"/>
      <c r="FM2473" s="223"/>
      <c r="FN2473" s="223"/>
      <c r="FO2473" s="223"/>
      <c r="FP2473" s="223"/>
      <c r="FQ2473" s="223"/>
      <c r="FR2473" s="223"/>
      <c r="FS2473" s="223"/>
      <c r="FT2473" s="223"/>
      <c r="FU2473" s="223"/>
      <c r="FV2473" s="223"/>
      <c r="FW2473" s="223"/>
      <c r="FX2473" s="223"/>
      <c r="FY2473" s="223"/>
      <c r="FZ2473" s="223"/>
      <c r="GA2473" s="223"/>
      <c r="GB2473" s="223"/>
      <c r="GC2473" s="223"/>
      <c r="GD2473" s="223"/>
      <c r="GE2473" s="223"/>
      <c r="GF2473" s="223"/>
      <c r="GG2473" s="223"/>
      <c r="GH2473" s="223"/>
      <c r="GI2473" s="223"/>
      <c r="GJ2473" s="223"/>
      <c r="GK2473" s="223"/>
      <c r="GL2473" s="223"/>
      <c r="GM2473" s="223"/>
      <c r="GN2473" s="223"/>
      <c r="GO2473" s="223"/>
      <c r="GP2473" s="223"/>
      <c r="GQ2473" s="223"/>
      <c r="GR2473" s="223"/>
      <c r="GS2473" s="223"/>
      <c r="GT2473" s="223"/>
      <c r="GU2473" s="223"/>
      <c r="GV2473" s="223"/>
      <c r="GW2473" s="223"/>
      <c r="GX2473" s="223"/>
      <c r="GY2473" s="223"/>
      <c r="GZ2473" s="223"/>
      <c r="HA2473" s="223"/>
      <c r="HB2473" s="223"/>
      <c r="HC2473" s="223"/>
      <c r="HD2473" s="223"/>
      <c r="HE2473" s="223"/>
      <c r="HF2473" s="223"/>
      <c r="HG2473" s="223"/>
      <c r="HH2473" s="223"/>
      <c r="HI2473" s="223"/>
      <c r="HJ2473" s="223"/>
      <c r="HK2473" s="223"/>
      <c r="HL2473" s="223"/>
      <c r="HM2473" s="223"/>
      <c r="HN2473" s="223"/>
      <c r="HO2473" s="223"/>
      <c r="HP2473" s="223"/>
      <c r="HQ2473" s="223"/>
      <c r="HR2473" s="223"/>
      <c r="HS2473" s="223"/>
      <c r="HT2473" s="223"/>
      <c r="HU2473" s="223"/>
      <c r="HV2473" s="223"/>
      <c r="HW2473" s="223"/>
      <c r="HX2473" s="223"/>
      <c r="HY2473" s="223"/>
      <c r="HZ2473" s="223"/>
      <c r="IA2473" s="223"/>
      <c r="IB2473" s="223"/>
      <c r="IC2473" s="223"/>
      <c r="ID2473" s="223"/>
      <c r="IE2473" s="223"/>
      <c r="IF2473" s="223"/>
      <c r="IG2473" s="223"/>
      <c r="IH2473" s="223"/>
      <c r="II2473" s="223"/>
      <c r="IJ2473" s="223"/>
      <c r="IK2473" s="223"/>
      <c r="IL2473" s="223"/>
      <c r="IM2473" s="223"/>
      <c r="IN2473" s="223"/>
      <c r="IO2473" s="223"/>
      <c r="IP2473" s="223"/>
      <c r="IQ2473" s="223"/>
      <c r="IR2473" s="223"/>
      <c r="IS2473" s="223"/>
      <c r="IT2473" s="223"/>
      <c r="IU2473" s="223"/>
      <c r="IV2473" s="223"/>
    </row>
    <row r="2474" spans="46:256" s="221" customFormat="1" x14ac:dyDescent="0.2">
      <c r="AT2474" s="222"/>
      <c r="AU2474" s="222"/>
      <c r="BD2474" s="223"/>
      <c r="BE2474" s="223"/>
      <c r="BF2474" s="223"/>
      <c r="BG2474" s="223"/>
      <c r="BH2474" s="223"/>
      <c r="BI2474" s="223"/>
      <c r="BJ2474" s="223"/>
      <c r="BK2474" s="223"/>
      <c r="BL2474" s="223"/>
      <c r="BM2474" s="223"/>
      <c r="BN2474" s="223"/>
      <c r="BO2474" s="223"/>
      <c r="BP2474" s="223"/>
      <c r="BQ2474" s="223"/>
      <c r="BR2474" s="223"/>
      <c r="BS2474" s="223"/>
      <c r="BT2474" s="223"/>
      <c r="BU2474" s="223"/>
      <c r="BV2474" s="223"/>
      <c r="BW2474" s="223"/>
      <c r="BX2474" s="223"/>
      <c r="BY2474" s="223"/>
      <c r="BZ2474" s="223"/>
      <c r="CA2474" s="223"/>
      <c r="CB2474" s="223"/>
      <c r="CC2474" s="223"/>
      <c r="CD2474" s="223"/>
      <c r="CE2474" s="223"/>
      <c r="CF2474" s="223"/>
      <c r="CG2474" s="223"/>
      <c r="CH2474" s="223"/>
      <c r="CI2474" s="223"/>
      <c r="CJ2474" s="223"/>
      <c r="CK2474" s="223"/>
      <c r="CL2474" s="223"/>
      <c r="CM2474" s="223"/>
      <c r="CN2474" s="223"/>
      <c r="CO2474" s="223"/>
      <c r="CP2474" s="223"/>
      <c r="CQ2474" s="223"/>
      <c r="CR2474" s="223"/>
      <c r="CS2474" s="223"/>
      <c r="CT2474" s="223"/>
      <c r="CU2474" s="223"/>
      <c r="CV2474" s="223"/>
      <c r="CW2474" s="223"/>
      <c r="CX2474" s="223"/>
      <c r="CY2474" s="223"/>
      <c r="CZ2474" s="223"/>
      <c r="DA2474" s="223"/>
      <c r="DB2474" s="223"/>
      <c r="DC2474" s="223"/>
      <c r="DD2474" s="223"/>
      <c r="DE2474" s="223"/>
      <c r="DF2474" s="223"/>
      <c r="DG2474" s="223"/>
      <c r="DH2474" s="223"/>
      <c r="DI2474" s="223"/>
      <c r="DJ2474" s="223"/>
      <c r="DK2474" s="223"/>
      <c r="DL2474" s="223"/>
      <c r="DM2474" s="223"/>
      <c r="DN2474" s="223"/>
      <c r="DO2474" s="223"/>
      <c r="DP2474" s="223"/>
      <c r="DQ2474" s="223"/>
      <c r="DR2474" s="223"/>
      <c r="DS2474" s="223"/>
      <c r="DT2474" s="223"/>
      <c r="DU2474" s="223"/>
      <c r="DV2474" s="223"/>
      <c r="DW2474" s="223"/>
      <c r="DX2474" s="223"/>
      <c r="DY2474" s="223"/>
      <c r="DZ2474" s="223"/>
      <c r="EA2474" s="223"/>
      <c r="EB2474" s="223"/>
      <c r="EC2474" s="223"/>
      <c r="ED2474" s="223"/>
      <c r="EE2474" s="223"/>
      <c r="EF2474" s="223"/>
      <c r="EG2474" s="223"/>
      <c r="EH2474" s="223"/>
      <c r="EI2474" s="223"/>
      <c r="EJ2474" s="223"/>
      <c r="EK2474" s="223"/>
      <c r="EL2474" s="223"/>
      <c r="EM2474" s="223"/>
      <c r="EN2474" s="223"/>
      <c r="EO2474" s="223"/>
      <c r="EP2474" s="223"/>
      <c r="EQ2474" s="223"/>
      <c r="ER2474" s="223"/>
      <c r="ES2474" s="223"/>
      <c r="ET2474" s="223"/>
      <c r="EU2474" s="223"/>
      <c r="EV2474" s="223"/>
      <c r="EW2474" s="223"/>
      <c r="EX2474" s="223"/>
      <c r="EY2474" s="223"/>
      <c r="EZ2474" s="223"/>
      <c r="FA2474" s="223"/>
      <c r="FB2474" s="223"/>
      <c r="FC2474" s="223"/>
      <c r="FD2474" s="223"/>
      <c r="FE2474" s="223"/>
      <c r="FF2474" s="223"/>
      <c r="FG2474" s="223"/>
      <c r="FH2474" s="223"/>
      <c r="FI2474" s="223"/>
      <c r="FJ2474" s="223"/>
      <c r="FK2474" s="223"/>
      <c r="FL2474" s="223"/>
      <c r="FM2474" s="223"/>
      <c r="FN2474" s="223"/>
      <c r="FO2474" s="223"/>
      <c r="FP2474" s="223"/>
      <c r="FQ2474" s="223"/>
      <c r="FR2474" s="223"/>
      <c r="FS2474" s="223"/>
      <c r="FT2474" s="223"/>
      <c r="FU2474" s="223"/>
      <c r="FV2474" s="223"/>
      <c r="FW2474" s="223"/>
      <c r="FX2474" s="223"/>
      <c r="FY2474" s="223"/>
      <c r="FZ2474" s="223"/>
      <c r="GA2474" s="223"/>
      <c r="GB2474" s="223"/>
      <c r="GC2474" s="223"/>
      <c r="GD2474" s="223"/>
      <c r="GE2474" s="223"/>
      <c r="GF2474" s="223"/>
      <c r="GG2474" s="223"/>
      <c r="GH2474" s="223"/>
      <c r="GI2474" s="223"/>
      <c r="GJ2474" s="223"/>
      <c r="GK2474" s="223"/>
      <c r="GL2474" s="223"/>
      <c r="GM2474" s="223"/>
      <c r="GN2474" s="223"/>
      <c r="GO2474" s="223"/>
      <c r="GP2474" s="223"/>
      <c r="GQ2474" s="223"/>
      <c r="GR2474" s="223"/>
      <c r="GS2474" s="223"/>
      <c r="GT2474" s="223"/>
      <c r="GU2474" s="223"/>
      <c r="GV2474" s="223"/>
      <c r="GW2474" s="223"/>
      <c r="GX2474" s="223"/>
      <c r="GY2474" s="223"/>
      <c r="GZ2474" s="223"/>
      <c r="HA2474" s="223"/>
      <c r="HB2474" s="223"/>
      <c r="HC2474" s="223"/>
      <c r="HD2474" s="223"/>
      <c r="HE2474" s="223"/>
      <c r="HF2474" s="223"/>
      <c r="HG2474" s="223"/>
      <c r="HH2474" s="223"/>
      <c r="HI2474" s="223"/>
      <c r="HJ2474" s="223"/>
      <c r="HK2474" s="223"/>
      <c r="HL2474" s="223"/>
      <c r="HM2474" s="223"/>
      <c r="HN2474" s="223"/>
      <c r="HO2474" s="223"/>
      <c r="HP2474" s="223"/>
      <c r="HQ2474" s="223"/>
      <c r="HR2474" s="223"/>
      <c r="HS2474" s="223"/>
      <c r="HT2474" s="223"/>
      <c r="HU2474" s="223"/>
      <c r="HV2474" s="223"/>
      <c r="HW2474" s="223"/>
      <c r="HX2474" s="223"/>
      <c r="HY2474" s="223"/>
      <c r="HZ2474" s="223"/>
      <c r="IA2474" s="223"/>
      <c r="IB2474" s="223"/>
      <c r="IC2474" s="223"/>
      <c r="ID2474" s="223"/>
      <c r="IE2474" s="223"/>
      <c r="IF2474" s="223"/>
      <c r="IG2474" s="223"/>
      <c r="IH2474" s="223"/>
      <c r="II2474" s="223"/>
      <c r="IJ2474" s="223"/>
      <c r="IK2474" s="223"/>
      <c r="IL2474" s="223"/>
      <c r="IM2474" s="223"/>
      <c r="IN2474" s="223"/>
      <c r="IO2474" s="223"/>
      <c r="IP2474" s="223"/>
      <c r="IQ2474" s="223"/>
      <c r="IR2474" s="223"/>
      <c r="IS2474" s="223"/>
      <c r="IT2474" s="223"/>
      <c r="IU2474" s="223"/>
      <c r="IV2474" s="223"/>
    </row>
    <row r="2475" spans="46:256" s="221" customFormat="1" x14ac:dyDescent="0.2">
      <c r="AT2475" s="222"/>
      <c r="AU2475" s="222"/>
      <c r="BD2475" s="223"/>
      <c r="BE2475" s="223"/>
      <c r="BF2475" s="223"/>
      <c r="BG2475" s="223"/>
      <c r="BH2475" s="223"/>
      <c r="BI2475" s="223"/>
      <c r="BJ2475" s="223"/>
      <c r="BK2475" s="223"/>
      <c r="BL2475" s="223"/>
      <c r="BM2475" s="223"/>
      <c r="BN2475" s="223"/>
      <c r="BO2475" s="223"/>
      <c r="BP2475" s="223"/>
      <c r="BQ2475" s="223"/>
      <c r="BR2475" s="223"/>
      <c r="BS2475" s="223"/>
      <c r="BT2475" s="223"/>
      <c r="BU2475" s="223"/>
      <c r="BV2475" s="223"/>
      <c r="BW2475" s="223"/>
      <c r="BX2475" s="223"/>
      <c r="BY2475" s="223"/>
      <c r="BZ2475" s="223"/>
      <c r="CA2475" s="223"/>
      <c r="CB2475" s="223"/>
      <c r="CC2475" s="223"/>
      <c r="CD2475" s="223"/>
      <c r="CE2475" s="223"/>
      <c r="CF2475" s="223"/>
      <c r="CG2475" s="223"/>
      <c r="CH2475" s="223"/>
      <c r="CI2475" s="223"/>
      <c r="CJ2475" s="223"/>
      <c r="CK2475" s="223"/>
      <c r="CL2475" s="223"/>
      <c r="CM2475" s="223"/>
      <c r="CN2475" s="223"/>
      <c r="CO2475" s="223"/>
      <c r="CP2475" s="223"/>
      <c r="CQ2475" s="223"/>
      <c r="CR2475" s="223"/>
      <c r="CS2475" s="223"/>
      <c r="CT2475" s="223"/>
      <c r="CU2475" s="223"/>
      <c r="CV2475" s="223"/>
      <c r="CW2475" s="223"/>
      <c r="CX2475" s="223"/>
      <c r="CY2475" s="223"/>
      <c r="CZ2475" s="223"/>
      <c r="DA2475" s="223"/>
      <c r="DB2475" s="223"/>
      <c r="DC2475" s="223"/>
      <c r="DD2475" s="223"/>
      <c r="DE2475" s="223"/>
      <c r="DF2475" s="223"/>
      <c r="DG2475" s="223"/>
      <c r="DH2475" s="223"/>
      <c r="DI2475" s="223"/>
      <c r="DJ2475" s="223"/>
      <c r="DK2475" s="223"/>
      <c r="DL2475" s="223"/>
      <c r="DM2475" s="223"/>
      <c r="DN2475" s="223"/>
      <c r="DO2475" s="223"/>
      <c r="DP2475" s="223"/>
      <c r="DQ2475" s="223"/>
      <c r="DR2475" s="223"/>
      <c r="DS2475" s="223"/>
      <c r="DT2475" s="223"/>
      <c r="DU2475" s="223"/>
      <c r="DV2475" s="223"/>
      <c r="DW2475" s="223"/>
      <c r="DX2475" s="223"/>
      <c r="DY2475" s="223"/>
      <c r="DZ2475" s="223"/>
      <c r="EA2475" s="223"/>
      <c r="EB2475" s="223"/>
      <c r="EC2475" s="223"/>
      <c r="ED2475" s="223"/>
      <c r="EE2475" s="223"/>
      <c r="EF2475" s="223"/>
      <c r="EG2475" s="223"/>
      <c r="EH2475" s="223"/>
      <c r="EI2475" s="223"/>
      <c r="EJ2475" s="223"/>
      <c r="EK2475" s="223"/>
      <c r="EL2475" s="223"/>
      <c r="EM2475" s="223"/>
      <c r="EN2475" s="223"/>
      <c r="EO2475" s="223"/>
      <c r="EP2475" s="223"/>
      <c r="EQ2475" s="223"/>
      <c r="ER2475" s="223"/>
      <c r="ES2475" s="223"/>
      <c r="ET2475" s="223"/>
      <c r="EU2475" s="223"/>
      <c r="EV2475" s="223"/>
      <c r="EW2475" s="223"/>
      <c r="EX2475" s="223"/>
      <c r="EY2475" s="223"/>
      <c r="EZ2475" s="223"/>
      <c r="FA2475" s="223"/>
      <c r="FB2475" s="223"/>
      <c r="FC2475" s="223"/>
      <c r="FD2475" s="223"/>
      <c r="FE2475" s="223"/>
      <c r="FF2475" s="223"/>
      <c r="FG2475" s="223"/>
      <c r="FH2475" s="223"/>
      <c r="FI2475" s="223"/>
      <c r="FJ2475" s="223"/>
      <c r="FK2475" s="223"/>
      <c r="FL2475" s="223"/>
      <c r="FM2475" s="223"/>
      <c r="FN2475" s="223"/>
      <c r="FO2475" s="223"/>
      <c r="FP2475" s="223"/>
      <c r="FQ2475" s="223"/>
      <c r="FR2475" s="223"/>
      <c r="FS2475" s="223"/>
      <c r="FT2475" s="223"/>
      <c r="FU2475" s="223"/>
      <c r="FV2475" s="223"/>
      <c r="FW2475" s="223"/>
      <c r="FX2475" s="223"/>
      <c r="FY2475" s="223"/>
      <c r="FZ2475" s="223"/>
      <c r="GA2475" s="223"/>
      <c r="GB2475" s="223"/>
      <c r="GC2475" s="223"/>
      <c r="GD2475" s="223"/>
      <c r="GE2475" s="223"/>
      <c r="GF2475" s="223"/>
      <c r="GG2475" s="223"/>
      <c r="GH2475" s="223"/>
      <c r="GI2475" s="223"/>
      <c r="GJ2475" s="223"/>
      <c r="GK2475" s="223"/>
      <c r="GL2475" s="223"/>
      <c r="GM2475" s="223"/>
      <c r="GN2475" s="223"/>
      <c r="GO2475" s="223"/>
      <c r="GP2475" s="223"/>
      <c r="GQ2475" s="223"/>
      <c r="GR2475" s="223"/>
      <c r="GS2475" s="223"/>
      <c r="GT2475" s="223"/>
      <c r="GU2475" s="223"/>
      <c r="GV2475" s="223"/>
      <c r="GW2475" s="223"/>
      <c r="GX2475" s="223"/>
      <c r="GY2475" s="223"/>
      <c r="GZ2475" s="223"/>
      <c r="HA2475" s="223"/>
      <c r="HB2475" s="223"/>
      <c r="HC2475" s="223"/>
      <c r="HD2475" s="223"/>
      <c r="HE2475" s="223"/>
      <c r="HF2475" s="223"/>
      <c r="HG2475" s="223"/>
      <c r="HH2475" s="223"/>
      <c r="HI2475" s="223"/>
      <c r="HJ2475" s="223"/>
      <c r="HK2475" s="223"/>
      <c r="HL2475" s="223"/>
      <c r="HM2475" s="223"/>
      <c r="HN2475" s="223"/>
      <c r="HO2475" s="223"/>
      <c r="HP2475" s="223"/>
      <c r="HQ2475" s="223"/>
      <c r="HR2475" s="223"/>
      <c r="HS2475" s="223"/>
      <c r="HT2475" s="223"/>
      <c r="HU2475" s="223"/>
      <c r="HV2475" s="223"/>
      <c r="HW2475" s="223"/>
      <c r="HX2475" s="223"/>
      <c r="HY2475" s="223"/>
      <c r="HZ2475" s="223"/>
      <c r="IA2475" s="223"/>
      <c r="IB2475" s="223"/>
      <c r="IC2475" s="223"/>
      <c r="ID2475" s="223"/>
      <c r="IE2475" s="223"/>
      <c r="IF2475" s="223"/>
      <c r="IG2475" s="223"/>
      <c r="IH2475" s="223"/>
      <c r="II2475" s="223"/>
      <c r="IJ2475" s="223"/>
      <c r="IK2475" s="223"/>
      <c r="IL2475" s="223"/>
      <c r="IM2475" s="223"/>
      <c r="IN2475" s="223"/>
      <c r="IO2475" s="223"/>
      <c r="IP2475" s="223"/>
      <c r="IQ2475" s="223"/>
      <c r="IR2475" s="223"/>
      <c r="IS2475" s="223"/>
      <c r="IT2475" s="223"/>
      <c r="IU2475" s="223"/>
      <c r="IV2475" s="223"/>
    </row>
    <row r="2476" spans="46:256" s="221" customFormat="1" x14ac:dyDescent="0.2">
      <c r="AT2476" s="222"/>
      <c r="AU2476" s="222"/>
      <c r="BD2476" s="223"/>
      <c r="BE2476" s="223"/>
      <c r="BF2476" s="223"/>
      <c r="BG2476" s="223"/>
      <c r="BH2476" s="223"/>
      <c r="BI2476" s="223"/>
      <c r="BJ2476" s="223"/>
      <c r="BK2476" s="223"/>
      <c r="BL2476" s="223"/>
      <c r="BM2476" s="223"/>
      <c r="BN2476" s="223"/>
      <c r="BO2476" s="223"/>
      <c r="BP2476" s="223"/>
      <c r="BQ2476" s="223"/>
      <c r="BR2476" s="223"/>
      <c r="BS2476" s="223"/>
      <c r="BT2476" s="223"/>
      <c r="BU2476" s="223"/>
      <c r="BV2476" s="223"/>
      <c r="BW2476" s="223"/>
      <c r="BX2476" s="223"/>
      <c r="BY2476" s="223"/>
      <c r="BZ2476" s="223"/>
      <c r="CA2476" s="223"/>
      <c r="CB2476" s="223"/>
      <c r="CC2476" s="223"/>
      <c r="CD2476" s="223"/>
      <c r="CE2476" s="223"/>
      <c r="CF2476" s="223"/>
      <c r="CG2476" s="223"/>
      <c r="CH2476" s="223"/>
      <c r="CI2476" s="223"/>
      <c r="CJ2476" s="223"/>
      <c r="CK2476" s="223"/>
      <c r="CL2476" s="223"/>
      <c r="CM2476" s="223"/>
      <c r="CN2476" s="223"/>
      <c r="CO2476" s="223"/>
      <c r="CP2476" s="223"/>
      <c r="CQ2476" s="223"/>
      <c r="CR2476" s="223"/>
      <c r="CS2476" s="223"/>
      <c r="CT2476" s="223"/>
      <c r="CU2476" s="223"/>
      <c r="CV2476" s="223"/>
      <c r="CW2476" s="223"/>
      <c r="CX2476" s="223"/>
      <c r="CY2476" s="223"/>
      <c r="CZ2476" s="223"/>
      <c r="DA2476" s="223"/>
      <c r="DB2476" s="223"/>
      <c r="DC2476" s="223"/>
      <c r="DD2476" s="223"/>
      <c r="DE2476" s="223"/>
      <c r="DF2476" s="223"/>
      <c r="DG2476" s="223"/>
      <c r="DH2476" s="223"/>
      <c r="DI2476" s="223"/>
      <c r="DJ2476" s="223"/>
      <c r="DK2476" s="223"/>
      <c r="DL2476" s="223"/>
      <c r="DM2476" s="223"/>
      <c r="DN2476" s="223"/>
      <c r="DO2476" s="223"/>
      <c r="DP2476" s="223"/>
      <c r="DQ2476" s="223"/>
      <c r="DR2476" s="223"/>
      <c r="DS2476" s="223"/>
      <c r="DT2476" s="223"/>
      <c r="DU2476" s="223"/>
      <c r="DV2476" s="223"/>
      <c r="DW2476" s="223"/>
      <c r="DX2476" s="223"/>
      <c r="DY2476" s="223"/>
      <c r="DZ2476" s="223"/>
      <c r="EA2476" s="223"/>
      <c r="EB2476" s="223"/>
      <c r="EC2476" s="223"/>
      <c r="ED2476" s="223"/>
      <c r="EE2476" s="223"/>
      <c r="EF2476" s="223"/>
      <c r="EG2476" s="223"/>
      <c r="EH2476" s="223"/>
      <c r="EI2476" s="223"/>
      <c r="EJ2476" s="223"/>
      <c r="EK2476" s="223"/>
      <c r="EL2476" s="223"/>
      <c r="EM2476" s="223"/>
      <c r="EN2476" s="223"/>
      <c r="EO2476" s="223"/>
      <c r="EP2476" s="223"/>
      <c r="EQ2476" s="223"/>
      <c r="ER2476" s="223"/>
      <c r="ES2476" s="223"/>
      <c r="ET2476" s="223"/>
      <c r="EU2476" s="223"/>
      <c r="EV2476" s="223"/>
      <c r="EW2476" s="223"/>
      <c r="EX2476" s="223"/>
      <c r="EY2476" s="223"/>
      <c r="EZ2476" s="223"/>
      <c r="FA2476" s="223"/>
      <c r="FB2476" s="223"/>
      <c r="FC2476" s="223"/>
      <c r="FD2476" s="223"/>
      <c r="FE2476" s="223"/>
      <c r="FF2476" s="223"/>
      <c r="FG2476" s="223"/>
      <c r="FH2476" s="223"/>
      <c r="FI2476" s="223"/>
      <c r="FJ2476" s="223"/>
      <c r="FK2476" s="223"/>
      <c r="FL2476" s="223"/>
      <c r="FM2476" s="223"/>
      <c r="FN2476" s="223"/>
      <c r="FO2476" s="223"/>
      <c r="FP2476" s="223"/>
      <c r="FQ2476" s="223"/>
      <c r="FR2476" s="223"/>
      <c r="FS2476" s="223"/>
      <c r="FT2476" s="223"/>
      <c r="FU2476" s="223"/>
      <c r="FV2476" s="223"/>
      <c r="FW2476" s="223"/>
      <c r="FX2476" s="223"/>
      <c r="FY2476" s="223"/>
      <c r="FZ2476" s="223"/>
      <c r="GA2476" s="223"/>
      <c r="GB2476" s="223"/>
      <c r="GC2476" s="223"/>
      <c r="GD2476" s="223"/>
      <c r="GE2476" s="223"/>
      <c r="GF2476" s="223"/>
      <c r="GG2476" s="223"/>
      <c r="GH2476" s="223"/>
      <c r="GI2476" s="223"/>
      <c r="GJ2476" s="223"/>
      <c r="GK2476" s="223"/>
      <c r="GL2476" s="223"/>
      <c r="GM2476" s="223"/>
      <c r="GN2476" s="223"/>
      <c r="GO2476" s="223"/>
      <c r="GP2476" s="223"/>
      <c r="GQ2476" s="223"/>
      <c r="GR2476" s="223"/>
      <c r="GS2476" s="223"/>
      <c r="GT2476" s="223"/>
      <c r="GU2476" s="223"/>
      <c r="GV2476" s="223"/>
      <c r="GW2476" s="223"/>
      <c r="GX2476" s="223"/>
      <c r="GY2476" s="223"/>
      <c r="GZ2476" s="223"/>
      <c r="HA2476" s="223"/>
      <c r="HB2476" s="223"/>
      <c r="HC2476" s="223"/>
      <c r="HD2476" s="223"/>
      <c r="HE2476" s="223"/>
      <c r="HF2476" s="223"/>
      <c r="HG2476" s="223"/>
      <c r="HH2476" s="223"/>
      <c r="HI2476" s="223"/>
      <c r="HJ2476" s="223"/>
      <c r="HK2476" s="223"/>
      <c r="HL2476" s="223"/>
      <c r="HM2476" s="223"/>
      <c r="HN2476" s="223"/>
      <c r="HO2476" s="223"/>
      <c r="HP2476" s="223"/>
      <c r="HQ2476" s="223"/>
      <c r="HR2476" s="223"/>
      <c r="HS2476" s="223"/>
      <c r="HT2476" s="223"/>
      <c r="HU2476" s="223"/>
      <c r="HV2476" s="223"/>
      <c r="HW2476" s="223"/>
      <c r="HX2476" s="223"/>
      <c r="HY2476" s="223"/>
      <c r="HZ2476" s="223"/>
      <c r="IA2476" s="223"/>
      <c r="IB2476" s="223"/>
      <c r="IC2476" s="223"/>
      <c r="ID2476" s="223"/>
      <c r="IE2476" s="223"/>
      <c r="IF2476" s="223"/>
      <c r="IG2476" s="223"/>
      <c r="IH2476" s="223"/>
      <c r="II2476" s="223"/>
      <c r="IJ2476" s="223"/>
      <c r="IK2476" s="223"/>
      <c r="IL2476" s="223"/>
      <c r="IM2476" s="223"/>
      <c r="IN2476" s="223"/>
      <c r="IO2476" s="223"/>
      <c r="IP2476" s="223"/>
      <c r="IQ2476" s="223"/>
      <c r="IR2476" s="223"/>
      <c r="IS2476" s="223"/>
      <c r="IT2476" s="223"/>
      <c r="IU2476" s="223"/>
      <c r="IV2476" s="223"/>
    </row>
    <row r="2477" spans="46:256" s="221" customFormat="1" x14ac:dyDescent="0.2">
      <c r="AT2477" s="222"/>
      <c r="AU2477" s="222"/>
      <c r="BD2477" s="223"/>
      <c r="BE2477" s="223"/>
      <c r="BF2477" s="223"/>
      <c r="BG2477" s="223"/>
      <c r="BH2477" s="223"/>
      <c r="BI2477" s="223"/>
      <c r="BJ2477" s="223"/>
      <c r="BK2477" s="223"/>
      <c r="BL2477" s="223"/>
      <c r="BM2477" s="223"/>
      <c r="BN2477" s="223"/>
      <c r="BO2477" s="223"/>
      <c r="BP2477" s="223"/>
      <c r="BQ2477" s="223"/>
      <c r="BR2477" s="223"/>
      <c r="BS2477" s="223"/>
      <c r="BT2477" s="223"/>
      <c r="BU2477" s="223"/>
      <c r="BV2477" s="223"/>
      <c r="BW2477" s="223"/>
      <c r="BX2477" s="223"/>
      <c r="BY2477" s="223"/>
      <c r="BZ2477" s="223"/>
      <c r="CA2477" s="223"/>
      <c r="CB2477" s="223"/>
      <c r="CC2477" s="223"/>
      <c r="CD2477" s="223"/>
      <c r="CE2477" s="223"/>
      <c r="CF2477" s="223"/>
      <c r="CG2477" s="223"/>
      <c r="CH2477" s="223"/>
      <c r="CI2477" s="223"/>
      <c r="CJ2477" s="223"/>
      <c r="CK2477" s="223"/>
      <c r="CL2477" s="223"/>
      <c r="CM2477" s="223"/>
      <c r="CN2477" s="223"/>
      <c r="CO2477" s="223"/>
      <c r="CP2477" s="223"/>
      <c r="CQ2477" s="223"/>
      <c r="CR2477" s="223"/>
      <c r="CS2477" s="223"/>
      <c r="CT2477" s="223"/>
      <c r="CU2477" s="223"/>
      <c r="CV2477" s="223"/>
      <c r="CW2477" s="223"/>
      <c r="CX2477" s="223"/>
      <c r="CY2477" s="223"/>
      <c r="CZ2477" s="223"/>
      <c r="DA2477" s="223"/>
      <c r="DB2477" s="223"/>
      <c r="DC2477" s="223"/>
      <c r="DD2477" s="223"/>
      <c r="DE2477" s="223"/>
      <c r="DF2477" s="223"/>
      <c r="DG2477" s="223"/>
      <c r="DH2477" s="223"/>
      <c r="DI2477" s="223"/>
      <c r="DJ2477" s="223"/>
      <c r="DK2477" s="223"/>
      <c r="DL2477" s="223"/>
      <c r="DM2477" s="223"/>
      <c r="DN2477" s="223"/>
      <c r="DO2477" s="223"/>
      <c r="DP2477" s="223"/>
      <c r="DQ2477" s="223"/>
      <c r="DR2477" s="223"/>
      <c r="DS2477" s="223"/>
      <c r="DT2477" s="223"/>
      <c r="DU2477" s="223"/>
      <c r="DV2477" s="223"/>
      <c r="DW2477" s="223"/>
      <c r="DX2477" s="223"/>
      <c r="DY2477" s="223"/>
      <c r="DZ2477" s="223"/>
      <c r="EA2477" s="223"/>
      <c r="EB2477" s="223"/>
      <c r="EC2477" s="223"/>
      <c r="ED2477" s="223"/>
      <c r="EE2477" s="223"/>
      <c r="EF2477" s="223"/>
      <c r="EG2477" s="223"/>
      <c r="EH2477" s="223"/>
      <c r="EI2477" s="223"/>
      <c r="EJ2477" s="223"/>
      <c r="EK2477" s="223"/>
      <c r="EL2477" s="223"/>
      <c r="EM2477" s="223"/>
      <c r="EN2477" s="223"/>
      <c r="EO2477" s="223"/>
      <c r="EP2477" s="223"/>
      <c r="EQ2477" s="223"/>
      <c r="ER2477" s="223"/>
      <c r="ES2477" s="223"/>
      <c r="ET2477" s="223"/>
      <c r="EU2477" s="223"/>
      <c r="EV2477" s="223"/>
      <c r="EW2477" s="223"/>
      <c r="EX2477" s="223"/>
      <c r="EY2477" s="223"/>
      <c r="EZ2477" s="223"/>
      <c r="FA2477" s="223"/>
      <c r="FB2477" s="223"/>
      <c r="FC2477" s="223"/>
      <c r="FD2477" s="223"/>
      <c r="FE2477" s="223"/>
      <c r="FF2477" s="223"/>
      <c r="FG2477" s="223"/>
      <c r="FH2477" s="223"/>
      <c r="FI2477" s="223"/>
      <c r="FJ2477" s="223"/>
      <c r="FK2477" s="223"/>
      <c r="FL2477" s="223"/>
      <c r="FM2477" s="223"/>
      <c r="FN2477" s="223"/>
      <c r="FO2477" s="223"/>
      <c r="FP2477" s="223"/>
      <c r="FQ2477" s="223"/>
      <c r="FR2477" s="223"/>
      <c r="FS2477" s="223"/>
      <c r="FT2477" s="223"/>
      <c r="FU2477" s="223"/>
      <c r="FV2477" s="223"/>
      <c r="FW2477" s="223"/>
      <c r="FX2477" s="223"/>
      <c r="FY2477" s="223"/>
      <c r="FZ2477" s="223"/>
      <c r="GA2477" s="223"/>
      <c r="GB2477" s="223"/>
      <c r="GC2477" s="223"/>
      <c r="GD2477" s="223"/>
      <c r="GE2477" s="223"/>
      <c r="GF2477" s="223"/>
      <c r="GG2477" s="223"/>
      <c r="GH2477" s="223"/>
      <c r="GI2477" s="223"/>
      <c r="GJ2477" s="223"/>
      <c r="GK2477" s="223"/>
      <c r="GL2477" s="223"/>
      <c r="GM2477" s="223"/>
      <c r="GN2477" s="223"/>
      <c r="GO2477" s="223"/>
      <c r="GP2477" s="223"/>
      <c r="GQ2477" s="223"/>
      <c r="GR2477" s="223"/>
      <c r="GS2477" s="223"/>
      <c r="GT2477" s="223"/>
      <c r="GU2477" s="223"/>
      <c r="GV2477" s="223"/>
      <c r="GW2477" s="223"/>
      <c r="GX2477" s="223"/>
      <c r="GY2477" s="223"/>
      <c r="GZ2477" s="223"/>
      <c r="HA2477" s="223"/>
      <c r="HB2477" s="223"/>
      <c r="HC2477" s="223"/>
      <c r="HD2477" s="223"/>
      <c r="HE2477" s="223"/>
      <c r="HF2477" s="223"/>
      <c r="HG2477" s="223"/>
      <c r="HH2477" s="223"/>
      <c r="HI2477" s="223"/>
      <c r="HJ2477" s="223"/>
      <c r="HK2477" s="223"/>
      <c r="HL2477" s="223"/>
      <c r="HM2477" s="223"/>
      <c r="HN2477" s="223"/>
      <c r="HO2477" s="223"/>
      <c r="HP2477" s="223"/>
      <c r="HQ2477" s="223"/>
      <c r="HR2477" s="223"/>
      <c r="HS2477" s="223"/>
      <c r="HT2477" s="223"/>
      <c r="HU2477" s="223"/>
      <c r="HV2477" s="223"/>
      <c r="HW2477" s="223"/>
      <c r="HX2477" s="223"/>
      <c r="HY2477" s="223"/>
      <c r="HZ2477" s="223"/>
      <c r="IA2477" s="223"/>
      <c r="IB2477" s="223"/>
      <c r="IC2477" s="223"/>
      <c r="ID2477" s="223"/>
      <c r="IE2477" s="223"/>
      <c r="IF2477" s="223"/>
      <c r="IG2477" s="223"/>
      <c r="IH2477" s="223"/>
      <c r="II2477" s="223"/>
      <c r="IJ2477" s="223"/>
      <c r="IK2477" s="223"/>
      <c r="IL2477" s="223"/>
      <c r="IM2477" s="223"/>
      <c r="IN2477" s="223"/>
      <c r="IO2477" s="223"/>
      <c r="IP2477" s="223"/>
      <c r="IQ2477" s="223"/>
      <c r="IR2477" s="223"/>
      <c r="IS2477" s="223"/>
      <c r="IT2477" s="223"/>
      <c r="IU2477" s="223"/>
      <c r="IV2477" s="223"/>
    </row>
    <row r="2478" spans="46:256" s="221" customFormat="1" x14ac:dyDescent="0.2">
      <c r="AT2478" s="222"/>
      <c r="AU2478" s="222"/>
      <c r="BD2478" s="223"/>
      <c r="BE2478" s="223"/>
      <c r="BF2478" s="223"/>
      <c r="BG2478" s="223"/>
      <c r="BH2478" s="223"/>
      <c r="BI2478" s="223"/>
      <c r="BJ2478" s="223"/>
      <c r="BK2478" s="223"/>
      <c r="BL2478" s="223"/>
      <c r="BM2478" s="223"/>
      <c r="BN2478" s="223"/>
      <c r="BO2478" s="223"/>
      <c r="BP2478" s="223"/>
      <c r="BQ2478" s="223"/>
      <c r="BR2478" s="223"/>
      <c r="BS2478" s="223"/>
      <c r="BT2478" s="223"/>
      <c r="BU2478" s="223"/>
      <c r="BV2478" s="223"/>
      <c r="BW2478" s="223"/>
      <c r="BX2478" s="223"/>
      <c r="BY2478" s="223"/>
      <c r="BZ2478" s="223"/>
      <c r="CA2478" s="223"/>
      <c r="CB2478" s="223"/>
      <c r="CC2478" s="223"/>
      <c r="CD2478" s="223"/>
      <c r="CE2478" s="223"/>
      <c r="CF2478" s="223"/>
      <c r="CG2478" s="223"/>
      <c r="CH2478" s="223"/>
      <c r="CI2478" s="223"/>
      <c r="CJ2478" s="223"/>
      <c r="CK2478" s="223"/>
      <c r="CL2478" s="223"/>
      <c r="CM2478" s="223"/>
      <c r="CN2478" s="223"/>
      <c r="CO2478" s="223"/>
      <c r="CP2478" s="223"/>
      <c r="CQ2478" s="223"/>
      <c r="CR2478" s="223"/>
      <c r="CS2478" s="223"/>
      <c r="CT2478" s="223"/>
      <c r="CU2478" s="223"/>
      <c r="CV2478" s="223"/>
      <c r="CW2478" s="223"/>
      <c r="CX2478" s="223"/>
      <c r="CY2478" s="223"/>
      <c r="CZ2478" s="223"/>
      <c r="DA2478" s="223"/>
      <c r="DB2478" s="223"/>
      <c r="DC2478" s="223"/>
      <c r="DD2478" s="223"/>
      <c r="DE2478" s="223"/>
      <c r="DF2478" s="223"/>
      <c r="DG2478" s="223"/>
      <c r="DH2478" s="223"/>
      <c r="DI2478" s="223"/>
      <c r="DJ2478" s="223"/>
      <c r="DK2478" s="223"/>
      <c r="DL2478" s="223"/>
      <c r="DM2478" s="223"/>
      <c r="DN2478" s="223"/>
      <c r="DO2478" s="223"/>
      <c r="DP2478" s="223"/>
      <c r="DQ2478" s="223"/>
      <c r="DR2478" s="223"/>
      <c r="DS2478" s="223"/>
      <c r="DT2478" s="223"/>
      <c r="DU2478" s="223"/>
      <c r="DV2478" s="223"/>
      <c r="DW2478" s="223"/>
      <c r="DX2478" s="223"/>
      <c r="DY2478" s="223"/>
      <c r="DZ2478" s="223"/>
      <c r="EA2478" s="223"/>
      <c r="EB2478" s="223"/>
      <c r="EC2478" s="223"/>
      <c r="ED2478" s="223"/>
      <c r="EE2478" s="223"/>
      <c r="EF2478" s="223"/>
      <c r="EG2478" s="223"/>
      <c r="EH2478" s="223"/>
      <c r="EI2478" s="223"/>
      <c r="EJ2478" s="223"/>
      <c r="EK2478" s="223"/>
      <c r="EL2478" s="223"/>
      <c r="EM2478" s="223"/>
      <c r="EN2478" s="223"/>
      <c r="EO2478" s="223"/>
      <c r="EP2478" s="223"/>
      <c r="EQ2478" s="223"/>
      <c r="ER2478" s="223"/>
      <c r="ES2478" s="223"/>
      <c r="ET2478" s="223"/>
      <c r="EU2478" s="223"/>
      <c r="EV2478" s="223"/>
      <c r="EW2478" s="223"/>
      <c r="EX2478" s="223"/>
      <c r="EY2478" s="223"/>
      <c r="EZ2478" s="223"/>
      <c r="FA2478" s="223"/>
      <c r="FB2478" s="223"/>
      <c r="FC2478" s="223"/>
      <c r="FD2478" s="223"/>
      <c r="FE2478" s="223"/>
      <c r="FF2478" s="223"/>
      <c r="FG2478" s="223"/>
      <c r="FH2478" s="223"/>
      <c r="FI2478" s="223"/>
      <c r="FJ2478" s="223"/>
      <c r="FK2478" s="223"/>
      <c r="FL2478" s="223"/>
      <c r="FM2478" s="223"/>
      <c r="FN2478" s="223"/>
      <c r="FO2478" s="223"/>
      <c r="FP2478" s="223"/>
      <c r="FQ2478" s="223"/>
      <c r="FR2478" s="223"/>
      <c r="FS2478" s="223"/>
      <c r="FT2478" s="223"/>
      <c r="FU2478" s="223"/>
      <c r="FV2478" s="223"/>
      <c r="FW2478" s="223"/>
      <c r="FX2478" s="223"/>
      <c r="FY2478" s="223"/>
      <c r="FZ2478" s="223"/>
      <c r="GA2478" s="223"/>
      <c r="GB2478" s="223"/>
      <c r="GC2478" s="223"/>
      <c r="GD2478" s="223"/>
      <c r="GE2478" s="223"/>
      <c r="GF2478" s="223"/>
      <c r="GG2478" s="223"/>
      <c r="GH2478" s="223"/>
      <c r="GI2478" s="223"/>
      <c r="GJ2478" s="223"/>
      <c r="GK2478" s="223"/>
      <c r="GL2478" s="223"/>
      <c r="GM2478" s="223"/>
      <c r="GN2478" s="223"/>
      <c r="GO2478" s="223"/>
      <c r="GP2478" s="223"/>
      <c r="GQ2478" s="223"/>
      <c r="GR2478" s="223"/>
      <c r="GS2478" s="223"/>
      <c r="GT2478" s="223"/>
      <c r="GU2478" s="223"/>
      <c r="GV2478" s="223"/>
      <c r="GW2478" s="223"/>
      <c r="GX2478" s="223"/>
      <c r="GY2478" s="223"/>
      <c r="GZ2478" s="223"/>
      <c r="HA2478" s="223"/>
      <c r="HB2478" s="223"/>
      <c r="HC2478" s="223"/>
      <c r="HD2478" s="223"/>
      <c r="HE2478" s="223"/>
      <c r="HF2478" s="223"/>
      <c r="HG2478" s="223"/>
      <c r="HH2478" s="223"/>
      <c r="HI2478" s="223"/>
      <c r="HJ2478" s="223"/>
      <c r="HK2478" s="223"/>
      <c r="HL2478" s="223"/>
      <c r="HM2478" s="223"/>
      <c r="HN2478" s="223"/>
      <c r="HO2478" s="223"/>
      <c r="HP2478" s="223"/>
      <c r="HQ2478" s="223"/>
      <c r="HR2478" s="223"/>
      <c r="HS2478" s="223"/>
      <c r="HT2478" s="223"/>
      <c r="HU2478" s="223"/>
      <c r="HV2478" s="223"/>
      <c r="HW2478" s="223"/>
      <c r="HX2478" s="223"/>
      <c r="HY2478" s="223"/>
      <c r="HZ2478" s="223"/>
      <c r="IA2478" s="223"/>
      <c r="IB2478" s="223"/>
      <c r="IC2478" s="223"/>
      <c r="ID2478" s="223"/>
      <c r="IE2478" s="223"/>
      <c r="IF2478" s="223"/>
      <c r="IG2478" s="223"/>
      <c r="IH2478" s="223"/>
      <c r="II2478" s="223"/>
      <c r="IJ2478" s="223"/>
      <c r="IK2478" s="223"/>
      <c r="IL2478" s="223"/>
      <c r="IM2478" s="223"/>
      <c r="IN2478" s="223"/>
      <c r="IO2478" s="223"/>
      <c r="IP2478" s="223"/>
      <c r="IQ2478" s="223"/>
      <c r="IR2478" s="223"/>
      <c r="IS2478" s="223"/>
      <c r="IT2478" s="223"/>
      <c r="IU2478" s="223"/>
      <c r="IV2478" s="223"/>
    </row>
    <row r="2479" spans="46:256" s="221" customFormat="1" x14ac:dyDescent="0.2">
      <c r="AT2479" s="222"/>
      <c r="AU2479" s="222"/>
      <c r="BD2479" s="223"/>
      <c r="BE2479" s="223"/>
      <c r="BF2479" s="223"/>
      <c r="BG2479" s="223"/>
      <c r="BH2479" s="223"/>
      <c r="BI2479" s="223"/>
      <c r="BJ2479" s="223"/>
      <c r="BK2479" s="223"/>
      <c r="BL2479" s="223"/>
      <c r="BM2479" s="223"/>
      <c r="BN2479" s="223"/>
      <c r="BO2479" s="223"/>
      <c r="BP2479" s="223"/>
      <c r="BQ2479" s="223"/>
      <c r="BR2479" s="223"/>
      <c r="BS2479" s="223"/>
      <c r="BT2479" s="223"/>
      <c r="BU2479" s="223"/>
      <c r="BV2479" s="223"/>
      <c r="BW2479" s="223"/>
      <c r="BX2479" s="223"/>
      <c r="BY2479" s="223"/>
      <c r="BZ2479" s="223"/>
      <c r="CA2479" s="223"/>
      <c r="CB2479" s="223"/>
      <c r="CC2479" s="223"/>
      <c r="CD2479" s="223"/>
      <c r="CE2479" s="223"/>
      <c r="CF2479" s="223"/>
      <c r="CG2479" s="223"/>
      <c r="CH2479" s="223"/>
      <c r="CI2479" s="223"/>
      <c r="CJ2479" s="223"/>
      <c r="CK2479" s="223"/>
      <c r="CL2479" s="223"/>
      <c r="CM2479" s="223"/>
      <c r="CN2479" s="223"/>
      <c r="CO2479" s="223"/>
      <c r="CP2479" s="223"/>
      <c r="CQ2479" s="223"/>
      <c r="CR2479" s="223"/>
      <c r="CS2479" s="223"/>
      <c r="CT2479" s="223"/>
      <c r="CU2479" s="223"/>
      <c r="CV2479" s="223"/>
      <c r="CW2479" s="223"/>
      <c r="CX2479" s="223"/>
      <c r="CY2479" s="223"/>
      <c r="CZ2479" s="223"/>
      <c r="DA2479" s="223"/>
      <c r="DB2479" s="223"/>
      <c r="DC2479" s="223"/>
      <c r="DD2479" s="223"/>
      <c r="DE2479" s="223"/>
      <c r="DF2479" s="223"/>
      <c r="DG2479" s="223"/>
      <c r="DH2479" s="223"/>
      <c r="DI2479" s="223"/>
      <c r="DJ2479" s="223"/>
      <c r="DK2479" s="223"/>
      <c r="DL2479" s="223"/>
      <c r="DM2479" s="223"/>
      <c r="DN2479" s="223"/>
      <c r="DO2479" s="223"/>
      <c r="DP2479" s="223"/>
      <c r="DQ2479" s="223"/>
      <c r="DR2479" s="223"/>
      <c r="DS2479" s="223"/>
      <c r="DT2479" s="223"/>
      <c r="DU2479" s="223"/>
      <c r="DV2479" s="223"/>
      <c r="DW2479" s="223"/>
      <c r="DX2479" s="223"/>
      <c r="DY2479" s="223"/>
      <c r="DZ2479" s="223"/>
      <c r="EA2479" s="223"/>
      <c r="EB2479" s="223"/>
      <c r="EC2479" s="223"/>
      <c r="ED2479" s="223"/>
      <c r="EE2479" s="223"/>
      <c r="EF2479" s="223"/>
      <c r="EG2479" s="223"/>
      <c r="EH2479" s="223"/>
      <c r="EI2479" s="223"/>
      <c r="EJ2479" s="223"/>
      <c r="EK2479" s="223"/>
      <c r="EL2479" s="223"/>
      <c r="EM2479" s="223"/>
      <c r="EN2479" s="223"/>
      <c r="EO2479" s="223"/>
      <c r="EP2479" s="223"/>
      <c r="EQ2479" s="223"/>
      <c r="ER2479" s="223"/>
      <c r="ES2479" s="223"/>
      <c r="ET2479" s="223"/>
      <c r="EU2479" s="223"/>
      <c r="EV2479" s="223"/>
      <c r="EW2479" s="223"/>
      <c r="EX2479" s="223"/>
      <c r="EY2479" s="223"/>
      <c r="EZ2479" s="223"/>
      <c r="FA2479" s="223"/>
      <c r="FB2479" s="223"/>
      <c r="FC2479" s="223"/>
      <c r="FD2479" s="223"/>
      <c r="FE2479" s="223"/>
      <c r="FF2479" s="223"/>
      <c r="FG2479" s="223"/>
      <c r="FH2479" s="223"/>
      <c r="FI2479" s="223"/>
      <c r="FJ2479" s="223"/>
      <c r="FK2479" s="223"/>
      <c r="FL2479" s="223"/>
      <c r="FM2479" s="223"/>
      <c r="FN2479" s="223"/>
      <c r="FO2479" s="223"/>
      <c r="FP2479" s="223"/>
      <c r="FQ2479" s="223"/>
      <c r="FR2479" s="223"/>
      <c r="FS2479" s="223"/>
      <c r="FT2479" s="223"/>
      <c r="FU2479" s="223"/>
      <c r="FV2479" s="223"/>
      <c r="FW2479" s="223"/>
      <c r="FX2479" s="223"/>
      <c r="FY2479" s="223"/>
      <c r="FZ2479" s="223"/>
      <c r="GA2479" s="223"/>
      <c r="GB2479" s="223"/>
      <c r="GC2479" s="223"/>
      <c r="GD2479" s="223"/>
      <c r="GE2479" s="223"/>
      <c r="GF2479" s="223"/>
      <c r="GG2479" s="223"/>
      <c r="GH2479" s="223"/>
      <c r="GI2479" s="223"/>
      <c r="GJ2479" s="223"/>
      <c r="GK2479" s="223"/>
      <c r="GL2479" s="223"/>
      <c r="GM2479" s="223"/>
      <c r="GN2479" s="223"/>
      <c r="GO2479" s="223"/>
      <c r="GP2479" s="223"/>
      <c r="GQ2479" s="223"/>
      <c r="GR2479" s="223"/>
      <c r="GS2479" s="223"/>
      <c r="GT2479" s="223"/>
      <c r="GU2479" s="223"/>
      <c r="GV2479" s="223"/>
      <c r="GW2479" s="223"/>
      <c r="GX2479" s="223"/>
      <c r="GY2479" s="223"/>
      <c r="GZ2479" s="223"/>
      <c r="HA2479" s="223"/>
      <c r="HB2479" s="223"/>
      <c r="HC2479" s="223"/>
      <c r="HD2479" s="223"/>
      <c r="HE2479" s="223"/>
      <c r="HF2479" s="223"/>
      <c r="HG2479" s="223"/>
      <c r="HH2479" s="223"/>
      <c r="HI2479" s="223"/>
      <c r="HJ2479" s="223"/>
      <c r="HK2479" s="223"/>
      <c r="HL2479" s="223"/>
      <c r="HM2479" s="223"/>
      <c r="HN2479" s="223"/>
      <c r="HO2479" s="223"/>
      <c r="HP2479" s="223"/>
      <c r="HQ2479" s="223"/>
      <c r="HR2479" s="223"/>
      <c r="HS2479" s="223"/>
      <c r="HT2479" s="223"/>
      <c r="HU2479" s="223"/>
      <c r="HV2479" s="223"/>
      <c r="HW2479" s="223"/>
      <c r="HX2479" s="223"/>
      <c r="HY2479" s="223"/>
      <c r="HZ2479" s="223"/>
      <c r="IA2479" s="223"/>
      <c r="IB2479" s="223"/>
      <c r="IC2479" s="223"/>
      <c r="ID2479" s="223"/>
      <c r="IE2479" s="223"/>
      <c r="IF2479" s="223"/>
      <c r="IG2479" s="223"/>
      <c r="IH2479" s="223"/>
      <c r="II2479" s="223"/>
      <c r="IJ2479" s="223"/>
      <c r="IK2479" s="223"/>
      <c r="IL2479" s="223"/>
      <c r="IM2479" s="223"/>
      <c r="IN2479" s="223"/>
      <c r="IO2479" s="223"/>
      <c r="IP2479" s="223"/>
      <c r="IQ2479" s="223"/>
      <c r="IR2479" s="223"/>
      <c r="IS2479" s="223"/>
      <c r="IT2479" s="223"/>
      <c r="IU2479" s="223"/>
      <c r="IV2479" s="223"/>
    </row>
    <row r="2480" spans="46:256" s="221" customFormat="1" x14ac:dyDescent="0.2">
      <c r="AT2480" s="222"/>
      <c r="AU2480" s="222"/>
      <c r="BD2480" s="223"/>
      <c r="BE2480" s="223"/>
      <c r="BF2480" s="223"/>
      <c r="BG2480" s="223"/>
      <c r="BH2480" s="223"/>
      <c r="BI2480" s="223"/>
      <c r="BJ2480" s="223"/>
      <c r="BK2480" s="223"/>
      <c r="BL2480" s="223"/>
      <c r="BM2480" s="223"/>
      <c r="BN2480" s="223"/>
      <c r="BO2480" s="223"/>
      <c r="BP2480" s="223"/>
      <c r="BQ2480" s="223"/>
      <c r="BR2480" s="223"/>
      <c r="BS2480" s="223"/>
      <c r="BT2480" s="223"/>
      <c r="BU2480" s="223"/>
      <c r="BV2480" s="223"/>
      <c r="BW2480" s="223"/>
      <c r="BX2480" s="223"/>
      <c r="BY2480" s="223"/>
      <c r="BZ2480" s="223"/>
      <c r="CA2480" s="223"/>
      <c r="CB2480" s="223"/>
      <c r="CC2480" s="223"/>
      <c r="CD2480" s="223"/>
      <c r="CE2480" s="223"/>
      <c r="CF2480" s="223"/>
      <c r="CG2480" s="223"/>
      <c r="CH2480" s="223"/>
      <c r="CI2480" s="223"/>
      <c r="CJ2480" s="223"/>
      <c r="CK2480" s="223"/>
      <c r="CL2480" s="223"/>
      <c r="CM2480" s="223"/>
      <c r="CN2480" s="223"/>
      <c r="CO2480" s="223"/>
      <c r="CP2480" s="223"/>
      <c r="CQ2480" s="223"/>
      <c r="CR2480" s="223"/>
      <c r="CS2480" s="223"/>
      <c r="CT2480" s="223"/>
      <c r="CU2480" s="223"/>
      <c r="CV2480" s="223"/>
      <c r="CW2480" s="223"/>
      <c r="CX2480" s="223"/>
      <c r="CY2480" s="223"/>
      <c r="CZ2480" s="223"/>
      <c r="DA2480" s="223"/>
      <c r="DB2480" s="223"/>
      <c r="DC2480" s="223"/>
      <c r="DD2480" s="223"/>
      <c r="DE2480" s="223"/>
      <c r="DF2480" s="223"/>
      <c r="DG2480" s="223"/>
      <c r="DH2480" s="223"/>
      <c r="DI2480" s="223"/>
      <c r="DJ2480" s="223"/>
      <c r="DK2480" s="223"/>
      <c r="DL2480" s="223"/>
      <c r="DM2480" s="223"/>
      <c r="DN2480" s="223"/>
      <c r="DO2480" s="223"/>
      <c r="DP2480" s="223"/>
      <c r="DQ2480" s="223"/>
      <c r="DR2480" s="223"/>
      <c r="DS2480" s="223"/>
      <c r="DT2480" s="223"/>
      <c r="DU2480" s="223"/>
      <c r="DV2480" s="223"/>
      <c r="DW2480" s="223"/>
      <c r="DX2480" s="223"/>
      <c r="DY2480" s="223"/>
      <c r="DZ2480" s="223"/>
      <c r="EA2480" s="223"/>
      <c r="EB2480" s="223"/>
      <c r="EC2480" s="223"/>
      <c r="ED2480" s="223"/>
      <c r="EE2480" s="223"/>
      <c r="EF2480" s="223"/>
      <c r="EG2480" s="223"/>
      <c r="EH2480" s="223"/>
      <c r="EI2480" s="223"/>
      <c r="EJ2480" s="223"/>
      <c r="EK2480" s="223"/>
      <c r="EL2480" s="223"/>
      <c r="EM2480" s="223"/>
      <c r="EN2480" s="223"/>
      <c r="EO2480" s="223"/>
      <c r="EP2480" s="223"/>
      <c r="EQ2480" s="223"/>
      <c r="ER2480" s="223"/>
      <c r="ES2480" s="223"/>
      <c r="ET2480" s="223"/>
      <c r="EU2480" s="223"/>
      <c r="EV2480" s="223"/>
      <c r="EW2480" s="223"/>
      <c r="EX2480" s="223"/>
      <c r="EY2480" s="223"/>
      <c r="EZ2480" s="223"/>
      <c r="FA2480" s="223"/>
      <c r="FB2480" s="223"/>
      <c r="FC2480" s="223"/>
      <c r="FD2480" s="223"/>
      <c r="FE2480" s="223"/>
      <c r="FF2480" s="223"/>
      <c r="FG2480" s="223"/>
      <c r="FH2480" s="223"/>
      <c r="FI2480" s="223"/>
      <c r="FJ2480" s="223"/>
      <c r="FK2480" s="223"/>
      <c r="FL2480" s="223"/>
      <c r="FM2480" s="223"/>
      <c r="FN2480" s="223"/>
      <c r="FO2480" s="223"/>
      <c r="FP2480" s="223"/>
      <c r="FQ2480" s="223"/>
      <c r="FR2480" s="223"/>
      <c r="FS2480" s="223"/>
      <c r="FT2480" s="223"/>
      <c r="FU2480" s="223"/>
      <c r="FV2480" s="223"/>
      <c r="FW2480" s="223"/>
      <c r="FX2480" s="223"/>
      <c r="FY2480" s="223"/>
      <c r="FZ2480" s="223"/>
      <c r="GA2480" s="223"/>
      <c r="GB2480" s="223"/>
      <c r="GC2480" s="223"/>
      <c r="GD2480" s="223"/>
      <c r="GE2480" s="223"/>
      <c r="GF2480" s="223"/>
      <c r="GG2480" s="223"/>
      <c r="GH2480" s="223"/>
      <c r="GI2480" s="223"/>
      <c r="GJ2480" s="223"/>
      <c r="GK2480" s="223"/>
      <c r="GL2480" s="223"/>
      <c r="GM2480" s="223"/>
      <c r="GN2480" s="223"/>
      <c r="GO2480" s="223"/>
      <c r="GP2480" s="223"/>
      <c r="GQ2480" s="223"/>
      <c r="GR2480" s="223"/>
      <c r="GS2480" s="223"/>
      <c r="GT2480" s="223"/>
      <c r="GU2480" s="223"/>
      <c r="GV2480" s="223"/>
      <c r="GW2480" s="223"/>
      <c r="GX2480" s="223"/>
      <c r="GY2480" s="223"/>
      <c r="GZ2480" s="223"/>
      <c r="HA2480" s="223"/>
      <c r="HB2480" s="223"/>
      <c r="HC2480" s="223"/>
      <c r="HD2480" s="223"/>
      <c r="HE2480" s="223"/>
      <c r="HF2480" s="223"/>
      <c r="HG2480" s="223"/>
      <c r="HH2480" s="223"/>
      <c r="HI2480" s="223"/>
      <c r="HJ2480" s="223"/>
      <c r="HK2480" s="223"/>
      <c r="HL2480" s="223"/>
      <c r="HM2480" s="223"/>
      <c r="HN2480" s="223"/>
      <c r="HO2480" s="223"/>
      <c r="HP2480" s="223"/>
      <c r="HQ2480" s="223"/>
      <c r="HR2480" s="223"/>
      <c r="HS2480" s="223"/>
      <c r="HT2480" s="223"/>
      <c r="HU2480" s="223"/>
      <c r="HV2480" s="223"/>
      <c r="HW2480" s="223"/>
      <c r="HX2480" s="223"/>
      <c r="HY2480" s="223"/>
      <c r="HZ2480" s="223"/>
      <c r="IA2480" s="223"/>
      <c r="IB2480" s="223"/>
      <c r="IC2480" s="223"/>
      <c r="ID2480" s="223"/>
      <c r="IE2480" s="223"/>
      <c r="IF2480" s="223"/>
      <c r="IG2480" s="223"/>
      <c r="IH2480" s="223"/>
      <c r="II2480" s="223"/>
      <c r="IJ2480" s="223"/>
      <c r="IK2480" s="223"/>
      <c r="IL2480" s="223"/>
      <c r="IM2480" s="223"/>
      <c r="IN2480" s="223"/>
      <c r="IO2480" s="223"/>
      <c r="IP2480" s="223"/>
      <c r="IQ2480" s="223"/>
      <c r="IR2480" s="223"/>
      <c r="IS2480" s="223"/>
      <c r="IT2480" s="223"/>
      <c r="IU2480" s="223"/>
      <c r="IV2480" s="223"/>
    </row>
    <row r="2481" spans="22:256" s="221" customFormat="1" x14ac:dyDescent="0.2">
      <c r="AT2481" s="222"/>
      <c r="AU2481" s="222"/>
      <c r="BD2481" s="223"/>
      <c r="BE2481" s="223"/>
      <c r="BF2481" s="223"/>
      <c r="BG2481" s="223"/>
      <c r="BH2481" s="223"/>
      <c r="BI2481" s="223"/>
      <c r="BJ2481" s="223"/>
      <c r="BK2481" s="223"/>
      <c r="BL2481" s="223"/>
      <c r="BM2481" s="223"/>
      <c r="BN2481" s="223"/>
      <c r="BO2481" s="223"/>
      <c r="BP2481" s="223"/>
      <c r="BQ2481" s="223"/>
      <c r="BR2481" s="223"/>
      <c r="BS2481" s="223"/>
      <c r="BT2481" s="223"/>
      <c r="BU2481" s="223"/>
      <c r="BV2481" s="223"/>
      <c r="BW2481" s="223"/>
      <c r="BX2481" s="223"/>
      <c r="BY2481" s="223"/>
      <c r="BZ2481" s="223"/>
      <c r="CA2481" s="223"/>
      <c r="CB2481" s="223"/>
      <c r="CC2481" s="223"/>
      <c r="CD2481" s="223"/>
      <c r="CE2481" s="223"/>
      <c r="CF2481" s="223"/>
      <c r="CG2481" s="223"/>
      <c r="CH2481" s="223"/>
      <c r="CI2481" s="223"/>
      <c r="CJ2481" s="223"/>
      <c r="CK2481" s="223"/>
      <c r="CL2481" s="223"/>
      <c r="CM2481" s="223"/>
      <c r="CN2481" s="223"/>
      <c r="CO2481" s="223"/>
      <c r="CP2481" s="223"/>
      <c r="CQ2481" s="223"/>
      <c r="CR2481" s="223"/>
      <c r="CS2481" s="223"/>
      <c r="CT2481" s="223"/>
      <c r="CU2481" s="223"/>
      <c r="CV2481" s="223"/>
      <c r="CW2481" s="223"/>
      <c r="CX2481" s="223"/>
      <c r="CY2481" s="223"/>
      <c r="CZ2481" s="223"/>
      <c r="DA2481" s="223"/>
      <c r="DB2481" s="223"/>
      <c r="DC2481" s="223"/>
      <c r="DD2481" s="223"/>
      <c r="DE2481" s="223"/>
      <c r="DF2481" s="223"/>
      <c r="DG2481" s="223"/>
      <c r="DH2481" s="223"/>
      <c r="DI2481" s="223"/>
      <c r="DJ2481" s="223"/>
      <c r="DK2481" s="223"/>
      <c r="DL2481" s="223"/>
      <c r="DM2481" s="223"/>
      <c r="DN2481" s="223"/>
      <c r="DO2481" s="223"/>
      <c r="DP2481" s="223"/>
      <c r="DQ2481" s="223"/>
      <c r="DR2481" s="223"/>
      <c r="DS2481" s="223"/>
      <c r="DT2481" s="223"/>
      <c r="DU2481" s="223"/>
      <c r="DV2481" s="223"/>
      <c r="DW2481" s="223"/>
      <c r="DX2481" s="223"/>
      <c r="DY2481" s="223"/>
      <c r="DZ2481" s="223"/>
      <c r="EA2481" s="223"/>
      <c r="EB2481" s="223"/>
      <c r="EC2481" s="223"/>
      <c r="ED2481" s="223"/>
      <c r="EE2481" s="223"/>
      <c r="EF2481" s="223"/>
      <c r="EG2481" s="223"/>
      <c r="EH2481" s="223"/>
      <c r="EI2481" s="223"/>
      <c r="EJ2481" s="223"/>
      <c r="EK2481" s="223"/>
      <c r="EL2481" s="223"/>
      <c r="EM2481" s="223"/>
      <c r="EN2481" s="223"/>
      <c r="EO2481" s="223"/>
      <c r="EP2481" s="223"/>
      <c r="EQ2481" s="223"/>
      <c r="ER2481" s="223"/>
      <c r="ES2481" s="223"/>
      <c r="ET2481" s="223"/>
      <c r="EU2481" s="223"/>
      <c r="EV2481" s="223"/>
      <c r="EW2481" s="223"/>
      <c r="EX2481" s="223"/>
      <c r="EY2481" s="223"/>
      <c r="EZ2481" s="223"/>
      <c r="FA2481" s="223"/>
      <c r="FB2481" s="223"/>
      <c r="FC2481" s="223"/>
      <c r="FD2481" s="223"/>
      <c r="FE2481" s="223"/>
      <c r="FF2481" s="223"/>
      <c r="FG2481" s="223"/>
      <c r="FH2481" s="223"/>
      <c r="FI2481" s="223"/>
      <c r="FJ2481" s="223"/>
      <c r="FK2481" s="223"/>
      <c r="FL2481" s="223"/>
      <c r="FM2481" s="223"/>
      <c r="FN2481" s="223"/>
      <c r="FO2481" s="223"/>
      <c r="FP2481" s="223"/>
      <c r="FQ2481" s="223"/>
      <c r="FR2481" s="223"/>
      <c r="FS2481" s="223"/>
      <c r="FT2481" s="223"/>
      <c r="FU2481" s="223"/>
      <c r="FV2481" s="223"/>
      <c r="FW2481" s="223"/>
      <c r="FX2481" s="223"/>
      <c r="FY2481" s="223"/>
      <c r="FZ2481" s="223"/>
      <c r="GA2481" s="223"/>
      <c r="GB2481" s="223"/>
      <c r="GC2481" s="223"/>
      <c r="GD2481" s="223"/>
      <c r="GE2481" s="223"/>
      <c r="GF2481" s="223"/>
      <c r="GG2481" s="223"/>
      <c r="GH2481" s="223"/>
      <c r="GI2481" s="223"/>
      <c r="GJ2481" s="223"/>
      <c r="GK2481" s="223"/>
      <c r="GL2481" s="223"/>
      <c r="GM2481" s="223"/>
      <c r="GN2481" s="223"/>
      <c r="GO2481" s="223"/>
      <c r="GP2481" s="223"/>
      <c r="GQ2481" s="223"/>
      <c r="GR2481" s="223"/>
      <c r="GS2481" s="223"/>
      <c r="GT2481" s="223"/>
      <c r="GU2481" s="223"/>
      <c r="GV2481" s="223"/>
      <c r="GW2481" s="223"/>
      <c r="GX2481" s="223"/>
      <c r="GY2481" s="223"/>
      <c r="GZ2481" s="223"/>
      <c r="HA2481" s="223"/>
      <c r="HB2481" s="223"/>
      <c r="HC2481" s="223"/>
      <c r="HD2481" s="223"/>
      <c r="HE2481" s="223"/>
      <c r="HF2481" s="223"/>
      <c r="HG2481" s="223"/>
      <c r="HH2481" s="223"/>
      <c r="HI2481" s="223"/>
      <c r="HJ2481" s="223"/>
      <c r="HK2481" s="223"/>
      <c r="HL2481" s="223"/>
      <c r="HM2481" s="223"/>
      <c r="HN2481" s="223"/>
      <c r="HO2481" s="223"/>
      <c r="HP2481" s="223"/>
      <c r="HQ2481" s="223"/>
      <c r="HR2481" s="223"/>
      <c r="HS2481" s="223"/>
      <c r="HT2481" s="223"/>
      <c r="HU2481" s="223"/>
      <c r="HV2481" s="223"/>
      <c r="HW2481" s="223"/>
      <c r="HX2481" s="223"/>
      <c r="HY2481" s="223"/>
      <c r="HZ2481" s="223"/>
      <c r="IA2481" s="223"/>
      <c r="IB2481" s="223"/>
      <c r="IC2481" s="223"/>
      <c r="ID2481" s="223"/>
      <c r="IE2481" s="223"/>
      <c r="IF2481" s="223"/>
      <c r="IG2481" s="223"/>
      <c r="IH2481" s="223"/>
      <c r="II2481" s="223"/>
      <c r="IJ2481" s="223"/>
      <c r="IK2481" s="223"/>
      <c r="IL2481" s="223"/>
      <c r="IM2481" s="223"/>
      <c r="IN2481" s="223"/>
      <c r="IO2481" s="223"/>
      <c r="IP2481" s="223"/>
      <c r="IQ2481" s="223"/>
      <c r="IR2481" s="223"/>
      <c r="IS2481" s="223"/>
      <c r="IT2481" s="223"/>
      <c r="IU2481" s="223"/>
      <c r="IV2481" s="223"/>
    </row>
    <row r="2482" spans="22:256" s="221" customFormat="1" x14ac:dyDescent="0.2">
      <c r="V2482" s="223"/>
      <c r="W2482" s="223"/>
      <c r="X2482" s="223"/>
      <c r="Y2482" s="223"/>
      <c r="Z2482" s="223"/>
      <c r="AA2482" s="223"/>
      <c r="AB2482" s="223"/>
      <c r="AC2482" s="223"/>
      <c r="AD2482" s="223"/>
      <c r="AE2482" s="223"/>
      <c r="AF2482" s="223"/>
      <c r="AG2482" s="223"/>
      <c r="AH2482" s="223"/>
      <c r="AI2482" s="223"/>
      <c r="AJ2482" s="223"/>
      <c r="AK2482" s="223"/>
      <c r="AL2482" s="223"/>
      <c r="AM2482" s="223"/>
      <c r="AN2482" s="223"/>
      <c r="AO2482" s="223"/>
      <c r="AP2482" s="223"/>
      <c r="AQ2482" s="223"/>
      <c r="AR2482" s="223"/>
      <c r="AS2482" s="223"/>
      <c r="AT2482" s="324"/>
      <c r="AU2482" s="324"/>
      <c r="AV2482" s="223"/>
      <c r="AW2482" s="223"/>
      <c r="AX2482" s="223"/>
      <c r="AY2482" s="223"/>
      <c r="AZ2482" s="223"/>
      <c r="BA2482" s="223"/>
      <c r="BB2482" s="223"/>
      <c r="BC2482" s="223"/>
      <c r="BD2482" s="223"/>
      <c r="BE2482" s="223"/>
      <c r="BF2482" s="223"/>
      <c r="BG2482" s="223"/>
      <c r="BH2482" s="223"/>
      <c r="BI2482" s="223"/>
      <c r="BJ2482" s="223"/>
      <c r="BK2482" s="223"/>
      <c r="BL2482" s="223"/>
      <c r="BM2482" s="223"/>
      <c r="BN2482" s="223"/>
      <c r="BO2482" s="223"/>
      <c r="BP2482" s="223"/>
      <c r="BQ2482" s="223"/>
      <c r="BR2482" s="223"/>
      <c r="BS2482" s="223"/>
      <c r="BT2482" s="223"/>
      <c r="BU2482" s="223"/>
      <c r="BV2482" s="223"/>
      <c r="BW2482" s="223"/>
      <c r="BX2482" s="223"/>
      <c r="BY2482" s="223"/>
      <c r="BZ2482" s="223"/>
      <c r="CA2482" s="223"/>
      <c r="CB2482" s="223"/>
      <c r="CC2482" s="223"/>
      <c r="CD2482" s="223"/>
      <c r="CE2482" s="223"/>
      <c r="CF2482" s="223"/>
      <c r="CG2482" s="223"/>
      <c r="CH2482" s="223"/>
      <c r="CI2482" s="223"/>
      <c r="CJ2482" s="223"/>
      <c r="CK2482" s="223"/>
      <c r="CL2482" s="223"/>
      <c r="CM2482" s="223"/>
      <c r="CN2482" s="223"/>
      <c r="CO2482" s="223"/>
      <c r="CP2482" s="223"/>
      <c r="CQ2482" s="223"/>
      <c r="CR2482" s="223"/>
      <c r="CS2482" s="223"/>
      <c r="CT2482" s="223"/>
      <c r="CU2482" s="223"/>
      <c r="CV2482" s="223"/>
      <c r="CW2482" s="223"/>
      <c r="CX2482" s="223"/>
      <c r="CY2482" s="223"/>
      <c r="CZ2482" s="223"/>
      <c r="DA2482" s="223"/>
      <c r="DB2482" s="223"/>
      <c r="DC2482" s="223"/>
      <c r="DD2482" s="223"/>
      <c r="DE2482" s="223"/>
      <c r="DF2482" s="223"/>
      <c r="DG2482" s="223"/>
      <c r="DH2482" s="223"/>
      <c r="DI2482" s="223"/>
      <c r="DJ2482" s="223"/>
      <c r="DK2482" s="223"/>
      <c r="DL2482" s="223"/>
      <c r="DM2482" s="223"/>
      <c r="DN2482" s="223"/>
      <c r="DO2482" s="223"/>
      <c r="DP2482" s="223"/>
      <c r="DQ2482" s="223"/>
      <c r="DR2482" s="223"/>
      <c r="DS2482" s="223"/>
      <c r="DT2482" s="223"/>
      <c r="DU2482" s="223"/>
      <c r="DV2482" s="223"/>
      <c r="DW2482" s="223"/>
      <c r="DX2482" s="223"/>
      <c r="DY2482" s="223"/>
      <c r="DZ2482" s="223"/>
      <c r="EA2482" s="223"/>
      <c r="EB2482" s="223"/>
      <c r="EC2482" s="223"/>
      <c r="ED2482" s="223"/>
      <c r="EE2482" s="223"/>
      <c r="EF2482" s="223"/>
      <c r="EG2482" s="223"/>
      <c r="EH2482" s="223"/>
      <c r="EI2482" s="223"/>
      <c r="EJ2482" s="223"/>
      <c r="EK2482" s="223"/>
      <c r="EL2482" s="223"/>
      <c r="EM2482" s="223"/>
      <c r="EN2482" s="223"/>
      <c r="EO2482" s="223"/>
      <c r="EP2482" s="223"/>
      <c r="EQ2482" s="223"/>
      <c r="ER2482" s="223"/>
      <c r="ES2482" s="223"/>
      <c r="ET2482" s="223"/>
      <c r="EU2482" s="223"/>
      <c r="EV2482" s="223"/>
      <c r="EW2482" s="223"/>
      <c r="EX2482" s="223"/>
      <c r="EY2482" s="223"/>
      <c r="EZ2482" s="223"/>
      <c r="FA2482" s="223"/>
      <c r="FB2482" s="223"/>
      <c r="FC2482" s="223"/>
      <c r="FD2482" s="223"/>
      <c r="FE2482" s="223"/>
      <c r="FF2482" s="223"/>
      <c r="FG2482" s="223"/>
      <c r="FH2482" s="223"/>
      <c r="FI2482" s="223"/>
      <c r="FJ2482" s="223"/>
      <c r="FK2482" s="223"/>
      <c r="FL2482" s="223"/>
      <c r="FM2482" s="223"/>
      <c r="FN2482" s="223"/>
      <c r="FO2482" s="223"/>
      <c r="FP2482" s="223"/>
      <c r="FQ2482" s="223"/>
      <c r="FR2482" s="223"/>
      <c r="FS2482" s="223"/>
      <c r="FT2482" s="223"/>
      <c r="FU2482" s="223"/>
      <c r="FV2482" s="223"/>
      <c r="FW2482" s="223"/>
      <c r="FX2482" s="223"/>
      <c r="FY2482" s="223"/>
      <c r="FZ2482" s="223"/>
      <c r="GA2482" s="223"/>
      <c r="GB2482" s="223"/>
      <c r="GC2482" s="223"/>
      <c r="GD2482" s="223"/>
      <c r="GE2482" s="223"/>
      <c r="GF2482" s="223"/>
      <c r="GG2482" s="223"/>
      <c r="GH2482" s="223"/>
      <c r="GI2482" s="223"/>
      <c r="GJ2482" s="223"/>
      <c r="GK2482" s="223"/>
      <c r="GL2482" s="223"/>
      <c r="GM2482" s="223"/>
      <c r="GN2482" s="223"/>
      <c r="GO2482" s="223"/>
      <c r="GP2482" s="223"/>
      <c r="GQ2482" s="223"/>
      <c r="GR2482" s="223"/>
      <c r="GS2482" s="223"/>
      <c r="GT2482" s="223"/>
      <c r="GU2482" s="223"/>
      <c r="GV2482" s="223"/>
      <c r="GW2482" s="223"/>
      <c r="GX2482" s="223"/>
      <c r="GY2482" s="223"/>
      <c r="GZ2482" s="223"/>
      <c r="HA2482" s="223"/>
      <c r="HB2482" s="223"/>
      <c r="HC2482" s="223"/>
      <c r="HD2482" s="223"/>
      <c r="HE2482" s="223"/>
      <c r="HF2482" s="223"/>
      <c r="HG2482" s="223"/>
      <c r="HH2482" s="223"/>
      <c r="HI2482" s="223"/>
      <c r="HJ2482" s="223"/>
      <c r="HK2482" s="223"/>
      <c r="HL2482" s="223"/>
      <c r="HM2482" s="223"/>
      <c r="HN2482" s="223"/>
      <c r="HO2482" s="223"/>
      <c r="HP2482" s="223"/>
      <c r="HQ2482" s="223"/>
      <c r="HR2482" s="223"/>
      <c r="HS2482" s="223"/>
      <c r="HT2482" s="223"/>
      <c r="HU2482" s="223"/>
      <c r="HV2482" s="223"/>
      <c r="HW2482" s="223"/>
      <c r="HX2482" s="223"/>
      <c r="HY2482" s="223"/>
      <c r="HZ2482" s="223"/>
      <c r="IA2482" s="223"/>
      <c r="IB2482" s="223"/>
      <c r="IC2482" s="223"/>
      <c r="ID2482" s="223"/>
      <c r="IE2482" s="223"/>
      <c r="IF2482" s="223"/>
      <c r="IG2482" s="223"/>
      <c r="IH2482" s="223"/>
      <c r="II2482" s="223"/>
      <c r="IJ2482" s="223"/>
      <c r="IK2482" s="223"/>
      <c r="IL2482" s="223"/>
      <c r="IM2482" s="223"/>
      <c r="IN2482" s="223"/>
      <c r="IO2482" s="223"/>
      <c r="IP2482" s="223"/>
      <c r="IQ2482" s="223"/>
      <c r="IR2482" s="223"/>
      <c r="IS2482" s="223"/>
      <c r="IT2482" s="223"/>
      <c r="IU2482" s="223"/>
      <c r="IV2482" s="223"/>
    </row>
    <row r="2483" spans="22:256" s="221" customFormat="1" x14ac:dyDescent="0.2">
      <c r="V2483" s="223"/>
      <c r="W2483" s="223"/>
      <c r="X2483" s="223"/>
      <c r="Y2483" s="223"/>
      <c r="Z2483" s="223"/>
      <c r="AA2483" s="223"/>
      <c r="AB2483" s="223"/>
      <c r="AC2483" s="223"/>
      <c r="AD2483" s="223"/>
      <c r="AE2483" s="223"/>
      <c r="AF2483" s="223"/>
      <c r="AG2483" s="223"/>
      <c r="AH2483" s="223"/>
      <c r="AI2483" s="223"/>
      <c r="AJ2483" s="223"/>
      <c r="AK2483" s="223"/>
      <c r="AL2483" s="223"/>
      <c r="AM2483" s="223"/>
      <c r="AN2483" s="223"/>
      <c r="AO2483" s="223"/>
      <c r="AP2483" s="223"/>
      <c r="AQ2483" s="223"/>
      <c r="AR2483" s="223"/>
      <c r="AS2483" s="223"/>
      <c r="AT2483" s="324"/>
      <c r="AU2483" s="324"/>
      <c r="AV2483" s="223"/>
      <c r="AW2483" s="223"/>
      <c r="AX2483" s="223"/>
      <c r="AY2483" s="223"/>
      <c r="AZ2483" s="223"/>
      <c r="BA2483" s="223"/>
      <c r="BB2483" s="223"/>
      <c r="BC2483" s="223"/>
      <c r="BD2483" s="223"/>
      <c r="BE2483" s="223"/>
      <c r="BF2483" s="223"/>
      <c r="BG2483" s="223"/>
      <c r="BH2483" s="223"/>
      <c r="BI2483" s="223"/>
      <c r="BJ2483" s="223"/>
      <c r="BK2483" s="223"/>
      <c r="BL2483" s="223"/>
      <c r="BM2483" s="223"/>
      <c r="BN2483" s="223"/>
      <c r="BO2483" s="223"/>
      <c r="BP2483" s="223"/>
      <c r="BQ2483" s="223"/>
      <c r="BR2483" s="223"/>
      <c r="BS2483" s="223"/>
      <c r="BT2483" s="223"/>
      <c r="BU2483" s="223"/>
      <c r="BV2483" s="223"/>
      <c r="BW2483" s="223"/>
      <c r="BX2483" s="223"/>
      <c r="BY2483" s="223"/>
      <c r="BZ2483" s="223"/>
      <c r="CA2483" s="223"/>
      <c r="CB2483" s="223"/>
      <c r="CC2483" s="223"/>
      <c r="CD2483" s="223"/>
      <c r="CE2483" s="223"/>
      <c r="CF2483" s="223"/>
      <c r="CG2483" s="223"/>
      <c r="CH2483" s="223"/>
      <c r="CI2483" s="223"/>
      <c r="CJ2483" s="223"/>
      <c r="CK2483" s="223"/>
      <c r="CL2483" s="223"/>
      <c r="CM2483" s="223"/>
      <c r="CN2483" s="223"/>
      <c r="CO2483" s="223"/>
      <c r="CP2483" s="223"/>
      <c r="CQ2483" s="223"/>
      <c r="CR2483" s="223"/>
      <c r="CS2483" s="223"/>
      <c r="CT2483" s="223"/>
      <c r="CU2483" s="223"/>
      <c r="CV2483" s="223"/>
      <c r="CW2483" s="223"/>
      <c r="CX2483" s="223"/>
      <c r="CY2483" s="223"/>
      <c r="CZ2483" s="223"/>
      <c r="DA2483" s="223"/>
      <c r="DB2483" s="223"/>
      <c r="DC2483" s="223"/>
      <c r="DD2483" s="223"/>
      <c r="DE2483" s="223"/>
      <c r="DF2483" s="223"/>
      <c r="DG2483" s="223"/>
      <c r="DH2483" s="223"/>
      <c r="DI2483" s="223"/>
      <c r="DJ2483" s="223"/>
      <c r="DK2483" s="223"/>
      <c r="DL2483" s="223"/>
      <c r="DM2483" s="223"/>
      <c r="DN2483" s="223"/>
      <c r="DO2483" s="223"/>
      <c r="DP2483" s="223"/>
      <c r="DQ2483" s="223"/>
      <c r="DR2483" s="223"/>
      <c r="DS2483" s="223"/>
      <c r="DT2483" s="223"/>
      <c r="DU2483" s="223"/>
      <c r="DV2483" s="223"/>
      <c r="DW2483" s="223"/>
      <c r="DX2483" s="223"/>
      <c r="DY2483" s="223"/>
      <c r="DZ2483" s="223"/>
      <c r="EA2483" s="223"/>
      <c r="EB2483" s="223"/>
      <c r="EC2483" s="223"/>
      <c r="ED2483" s="223"/>
      <c r="EE2483" s="223"/>
      <c r="EF2483" s="223"/>
      <c r="EG2483" s="223"/>
      <c r="EH2483" s="223"/>
      <c r="EI2483" s="223"/>
      <c r="EJ2483" s="223"/>
      <c r="EK2483" s="223"/>
      <c r="EL2483" s="223"/>
      <c r="EM2483" s="223"/>
      <c r="EN2483" s="223"/>
      <c r="EO2483" s="223"/>
      <c r="EP2483" s="223"/>
      <c r="EQ2483" s="223"/>
      <c r="ER2483" s="223"/>
      <c r="ES2483" s="223"/>
      <c r="ET2483" s="223"/>
      <c r="EU2483" s="223"/>
      <c r="EV2483" s="223"/>
      <c r="EW2483" s="223"/>
      <c r="EX2483" s="223"/>
      <c r="EY2483" s="223"/>
      <c r="EZ2483" s="223"/>
      <c r="FA2483" s="223"/>
      <c r="FB2483" s="223"/>
      <c r="FC2483" s="223"/>
      <c r="FD2483" s="223"/>
      <c r="FE2483" s="223"/>
      <c r="FF2483" s="223"/>
      <c r="FG2483" s="223"/>
      <c r="FH2483" s="223"/>
      <c r="FI2483" s="223"/>
      <c r="FJ2483" s="223"/>
      <c r="FK2483" s="223"/>
      <c r="FL2483" s="223"/>
      <c r="FM2483" s="223"/>
      <c r="FN2483" s="223"/>
      <c r="FO2483" s="223"/>
      <c r="FP2483" s="223"/>
      <c r="FQ2483" s="223"/>
      <c r="FR2483" s="223"/>
      <c r="FS2483" s="223"/>
      <c r="FT2483" s="223"/>
      <c r="FU2483" s="223"/>
      <c r="FV2483" s="223"/>
      <c r="FW2483" s="223"/>
      <c r="FX2483" s="223"/>
      <c r="FY2483" s="223"/>
      <c r="FZ2483" s="223"/>
      <c r="GA2483" s="223"/>
      <c r="GB2483" s="223"/>
      <c r="GC2483" s="223"/>
      <c r="GD2483" s="223"/>
      <c r="GE2483" s="223"/>
      <c r="GF2483" s="223"/>
      <c r="GG2483" s="223"/>
      <c r="GH2483" s="223"/>
      <c r="GI2483" s="223"/>
      <c r="GJ2483" s="223"/>
      <c r="GK2483" s="223"/>
      <c r="GL2483" s="223"/>
      <c r="GM2483" s="223"/>
      <c r="GN2483" s="223"/>
      <c r="GO2483" s="223"/>
      <c r="GP2483" s="223"/>
      <c r="GQ2483" s="223"/>
      <c r="GR2483" s="223"/>
      <c r="GS2483" s="223"/>
      <c r="GT2483" s="223"/>
      <c r="GU2483" s="223"/>
      <c r="GV2483" s="223"/>
      <c r="GW2483" s="223"/>
      <c r="GX2483" s="223"/>
      <c r="GY2483" s="223"/>
      <c r="GZ2483" s="223"/>
      <c r="HA2483" s="223"/>
      <c r="HB2483" s="223"/>
      <c r="HC2483" s="223"/>
      <c r="HD2483" s="223"/>
      <c r="HE2483" s="223"/>
      <c r="HF2483" s="223"/>
      <c r="HG2483" s="223"/>
      <c r="HH2483" s="223"/>
      <c r="HI2483" s="223"/>
      <c r="HJ2483" s="223"/>
      <c r="HK2483" s="223"/>
      <c r="HL2483" s="223"/>
      <c r="HM2483" s="223"/>
      <c r="HN2483" s="223"/>
      <c r="HO2483" s="223"/>
      <c r="HP2483" s="223"/>
      <c r="HQ2483" s="223"/>
      <c r="HR2483" s="223"/>
      <c r="HS2483" s="223"/>
      <c r="HT2483" s="223"/>
      <c r="HU2483" s="223"/>
      <c r="HV2483" s="223"/>
      <c r="HW2483" s="223"/>
      <c r="HX2483" s="223"/>
      <c r="HY2483" s="223"/>
      <c r="HZ2483" s="223"/>
      <c r="IA2483" s="223"/>
      <c r="IB2483" s="223"/>
      <c r="IC2483" s="223"/>
      <c r="ID2483" s="223"/>
      <c r="IE2483" s="223"/>
      <c r="IF2483" s="223"/>
      <c r="IG2483" s="223"/>
      <c r="IH2483" s="223"/>
      <c r="II2483" s="223"/>
      <c r="IJ2483" s="223"/>
      <c r="IK2483" s="223"/>
      <c r="IL2483" s="223"/>
      <c r="IM2483" s="223"/>
      <c r="IN2483" s="223"/>
      <c r="IO2483" s="223"/>
      <c r="IP2483" s="223"/>
      <c r="IQ2483" s="223"/>
      <c r="IR2483" s="223"/>
      <c r="IS2483" s="223"/>
      <c r="IT2483" s="223"/>
      <c r="IU2483" s="223"/>
      <c r="IV2483" s="223"/>
    </row>
    <row r="2484" spans="22:256" s="221" customFormat="1" x14ac:dyDescent="0.2">
      <c r="V2484" s="223"/>
      <c r="W2484" s="223"/>
      <c r="X2484" s="223"/>
      <c r="Y2484" s="223"/>
      <c r="Z2484" s="223"/>
      <c r="AA2484" s="223"/>
      <c r="AB2484" s="223"/>
      <c r="AC2484" s="223"/>
      <c r="AD2484" s="223"/>
      <c r="AE2484" s="223"/>
      <c r="AF2484" s="223"/>
      <c r="AG2484" s="223"/>
      <c r="AH2484" s="223"/>
      <c r="AI2484" s="223"/>
      <c r="AJ2484" s="223"/>
      <c r="AK2484" s="223"/>
      <c r="AL2484" s="223"/>
      <c r="AM2484" s="223"/>
      <c r="AN2484" s="223"/>
      <c r="AO2484" s="223"/>
      <c r="AP2484" s="223"/>
      <c r="AQ2484" s="223"/>
      <c r="AR2484" s="223"/>
      <c r="AS2484" s="223"/>
      <c r="AT2484" s="324"/>
      <c r="AU2484" s="324"/>
      <c r="AV2484" s="223"/>
      <c r="AW2484" s="223"/>
      <c r="AX2484" s="223"/>
      <c r="AY2484" s="223"/>
      <c r="AZ2484" s="223"/>
      <c r="BA2484" s="223"/>
      <c r="BB2484" s="223"/>
      <c r="BC2484" s="223"/>
      <c r="BD2484" s="223"/>
      <c r="BE2484" s="223"/>
      <c r="BF2484" s="223"/>
      <c r="BG2484" s="223"/>
      <c r="BH2484" s="223"/>
      <c r="BI2484" s="223"/>
      <c r="BJ2484" s="223"/>
      <c r="BK2484" s="223"/>
      <c r="BL2484" s="223"/>
      <c r="BM2484" s="223"/>
      <c r="BN2484" s="223"/>
      <c r="BO2484" s="223"/>
      <c r="BP2484" s="223"/>
      <c r="BQ2484" s="223"/>
      <c r="BR2484" s="223"/>
      <c r="BS2484" s="223"/>
      <c r="BT2484" s="223"/>
      <c r="BU2484" s="223"/>
      <c r="BV2484" s="223"/>
      <c r="BW2484" s="223"/>
      <c r="BX2484" s="223"/>
      <c r="BY2484" s="223"/>
      <c r="BZ2484" s="223"/>
      <c r="CA2484" s="223"/>
      <c r="CB2484" s="223"/>
      <c r="CC2484" s="223"/>
      <c r="CD2484" s="223"/>
      <c r="CE2484" s="223"/>
      <c r="CF2484" s="223"/>
      <c r="CG2484" s="223"/>
      <c r="CH2484" s="223"/>
      <c r="CI2484" s="223"/>
      <c r="CJ2484" s="223"/>
      <c r="CK2484" s="223"/>
      <c r="CL2484" s="223"/>
      <c r="CM2484" s="223"/>
      <c r="CN2484" s="223"/>
      <c r="CO2484" s="223"/>
      <c r="CP2484" s="223"/>
      <c r="CQ2484" s="223"/>
      <c r="CR2484" s="223"/>
      <c r="CS2484" s="223"/>
      <c r="CT2484" s="223"/>
      <c r="CU2484" s="223"/>
      <c r="CV2484" s="223"/>
      <c r="CW2484" s="223"/>
      <c r="CX2484" s="223"/>
      <c r="CY2484" s="223"/>
      <c r="CZ2484" s="223"/>
      <c r="DA2484" s="223"/>
      <c r="DB2484" s="223"/>
      <c r="DC2484" s="223"/>
      <c r="DD2484" s="223"/>
      <c r="DE2484" s="223"/>
      <c r="DF2484" s="223"/>
      <c r="DG2484" s="223"/>
      <c r="DH2484" s="223"/>
      <c r="DI2484" s="223"/>
      <c r="DJ2484" s="223"/>
      <c r="DK2484" s="223"/>
      <c r="DL2484" s="223"/>
      <c r="DM2484" s="223"/>
      <c r="DN2484" s="223"/>
      <c r="DO2484" s="223"/>
      <c r="DP2484" s="223"/>
      <c r="DQ2484" s="223"/>
      <c r="DR2484" s="223"/>
      <c r="DS2484" s="223"/>
      <c r="DT2484" s="223"/>
      <c r="DU2484" s="223"/>
      <c r="DV2484" s="223"/>
      <c r="DW2484" s="223"/>
      <c r="DX2484" s="223"/>
      <c r="DY2484" s="223"/>
      <c r="DZ2484" s="223"/>
      <c r="EA2484" s="223"/>
      <c r="EB2484" s="223"/>
      <c r="EC2484" s="223"/>
      <c r="ED2484" s="223"/>
      <c r="EE2484" s="223"/>
      <c r="EF2484" s="223"/>
      <c r="EG2484" s="223"/>
      <c r="EH2484" s="223"/>
      <c r="EI2484" s="223"/>
      <c r="EJ2484" s="223"/>
      <c r="EK2484" s="223"/>
      <c r="EL2484" s="223"/>
      <c r="EM2484" s="223"/>
      <c r="EN2484" s="223"/>
      <c r="EO2484" s="223"/>
      <c r="EP2484" s="223"/>
      <c r="EQ2484" s="223"/>
      <c r="ER2484" s="223"/>
      <c r="ES2484" s="223"/>
      <c r="ET2484" s="223"/>
      <c r="EU2484" s="223"/>
      <c r="EV2484" s="223"/>
      <c r="EW2484" s="223"/>
      <c r="EX2484" s="223"/>
      <c r="EY2484" s="223"/>
      <c r="EZ2484" s="223"/>
      <c r="FA2484" s="223"/>
      <c r="FB2484" s="223"/>
      <c r="FC2484" s="223"/>
      <c r="FD2484" s="223"/>
      <c r="FE2484" s="223"/>
      <c r="FF2484" s="223"/>
      <c r="FG2484" s="223"/>
      <c r="FH2484" s="223"/>
      <c r="FI2484" s="223"/>
      <c r="FJ2484" s="223"/>
      <c r="FK2484" s="223"/>
      <c r="FL2484" s="223"/>
      <c r="FM2484" s="223"/>
      <c r="FN2484" s="223"/>
      <c r="FO2484" s="223"/>
      <c r="FP2484" s="223"/>
      <c r="FQ2484" s="223"/>
      <c r="FR2484" s="223"/>
      <c r="FS2484" s="223"/>
      <c r="FT2484" s="223"/>
      <c r="FU2484" s="223"/>
      <c r="FV2484" s="223"/>
      <c r="FW2484" s="223"/>
      <c r="FX2484" s="223"/>
      <c r="FY2484" s="223"/>
      <c r="FZ2484" s="223"/>
      <c r="GA2484" s="223"/>
      <c r="GB2484" s="223"/>
      <c r="GC2484" s="223"/>
      <c r="GD2484" s="223"/>
      <c r="GE2484" s="223"/>
      <c r="GF2484" s="223"/>
      <c r="GG2484" s="223"/>
      <c r="GH2484" s="223"/>
      <c r="GI2484" s="223"/>
      <c r="GJ2484" s="223"/>
      <c r="GK2484" s="223"/>
      <c r="GL2484" s="223"/>
      <c r="GM2484" s="223"/>
      <c r="GN2484" s="223"/>
      <c r="GO2484" s="223"/>
      <c r="GP2484" s="223"/>
      <c r="GQ2484" s="223"/>
      <c r="GR2484" s="223"/>
      <c r="GS2484" s="223"/>
      <c r="GT2484" s="223"/>
      <c r="GU2484" s="223"/>
      <c r="GV2484" s="223"/>
      <c r="GW2484" s="223"/>
      <c r="GX2484" s="223"/>
      <c r="GY2484" s="223"/>
      <c r="GZ2484" s="223"/>
      <c r="HA2484" s="223"/>
      <c r="HB2484" s="223"/>
      <c r="HC2484" s="223"/>
      <c r="HD2484" s="223"/>
      <c r="HE2484" s="223"/>
      <c r="HF2484" s="223"/>
      <c r="HG2484" s="223"/>
      <c r="HH2484" s="223"/>
      <c r="HI2484" s="223"/>
      <c r="HJ2484" s="223"/>
      <c r="HK2484" s="223"/>
      <c r="HL2484" s="223"/>
      <c r="HM2484" s="223"/>
      <c r="HN2484" s="223"/>
      <c r="HO2484" s="223"/>
      <c r="HP2484" s="223"/>
      <c r="HQ2484" s="223"/>
      <c r="HR2484" s="223"/>
      <c r="HS2484" s="223"/>
      <c r="HT2484" s="223"/>
      <c r="HU2484" s="223"/>
      <c r="HV2484" s="223"/>
      <c r="HW2484" s="223"/>
      <c r="HX2484" s="223"/>
      <c r="HY2484" s="223"/>
      <c r="HZ2484" s="223"/>
      <c r="IA2484" s="223"/>
      <c r="IB2484" s="223"/>
      <c r="IC2484" s="223"/>
      <c r="ID2484" s="223"/>
      <c r="IE2484" s="223"/>
      <c r="IF2484" s="223"/>
      <c r="IG2484" s="223"/>
      <c r="IH2484" s="223"/>
      <c r="II2484" s="223"/>
      <c r="IJ2484" s="223"/>
      <c r="IK2484" s="223"/>
      <c r="IL2484" s="223"/>
      <c r="IM2484" s="223"/>
      <c r="IN2484" s="223"/>
      <c r="IO2484" s="223"/>
      <c r="IP2484" s="223"/>
      <c r="IQ2484" s="223"/>
      <c r="IR2484" s="223"/>
      <c r="IS2484" s="223"/>
      <c r="IT2484" s="223"/>
      <c r="IU2484" s="223"/>
      <c r="IV2484" s="223"/>
    </row>
    <row r="2485" spans="22:256" s="221" customFormat="1" x14ac:dyDescent="0.2">
      <c r="V2485" s="223"/>
      <c r="W2485" s="223"/>
      <c r="X2485" s="223"/>
      <c r="Y2485" s="223"/>
      <c r="Z2485" s="223"/>
      <c r="AA2485" s="223"/>
      <c r="AB2485" s="223"/>
      <c r="AC2485" s="223"/>
      <c r="AD2485" s="223"/>
      <c r="AE2485" s="223"/>
      <c r="AF2485" s="223"/>
      <c r="AG2485" s="223"/>
      <c r="AH2485" s="223"/>
      <c r="AI2485" s="223"/>
      <c r="AJ2485" s="223"/>
      <c r="AK2485" s="223"/>
      <c r="AL2485" s="223"/>
      <c r="AM2485" s="223"/>
      <c r="AN2485" s="223"/>
      <c r="AO2485" s="223"/>
      <c r="AP2485" s="223"/>
      <c r="AQ2485" s="223"/>
      <c r="AR2485" s="223"/>
      <c r="AS2485" s="223"/>
      <c r="AT2485" s="324"/>
      <c r="AU2485" s="324"/>
      <c r="AV2485" s="223"/>
      <c r="AW2485" s="223"/>
      <c r="AX2485" s="223"/>
      <c r="AY2485" s="223"/>
      <c r="AZ2485" s="223"/>
      <c r="BA2485" s="223"/>
      <c r="BB2485" s="223"/>
      <c r="BC2485" s="223"/>
      <c r="BD2485" s="223"/>
      <c r="BE2485" s="223"/>
      <c r="BF2485" s="223"/>
      <c r="BG2485" s="223"/>
      <c r="BH2485" s="223"/>
      <c r="BI2485" s="223"/>
      <c r="BJ2485" s="223"/>
      <c r="BK2485" s="223"/>
      <c r="BL2485" s="223"/>
      <c r="BM2485" s="223"/>
      <c r="BN2485" s="223"/>
      <c r="BO2485" s="223"/>
      <c r="BP2485" s="223"/>
      <c r="BQ2485" s="223"/>
      <c r="BR2485" s="223"/>
      <c r="BS2485" s="223"/>
      <c r="BT2485" s="223"/>
      <c r="BU2485" s="223"/>
      <c r="BV2485" s="223"/>
      <c r="BW2485" s="223"/>
      <c r="BX2485" s="223"/>
      <c r="BY2485" s="223"/>
      <c r="BZ2485" s="223"/>
      <c r="CA2485" s="223"/>
      <c r="CB2485" s="223"/>
      <c r="CC2485" s="223"/>
      <c r="CD2485" s="223"/>
      <c r="CE2485" s="223"/>
      <c r="CF2485" s="223"/>
      <c r="CG2485" s="223"/>
      <c r="CH2485" s="223"/>
      <c r="CI2485" s="223"/>
      <c r="CJ2485" s="223"/>
      <c r="CK2485" s="223"/>
      <c r="CL2485" s="223"/>
      <c r="CM2485" s="223"/>
      <c r="CN2485" s="223"/>
      <c r="CO2485" s="223"/>
      <c r="CP2485" s="223"/>
      <c r="CQ2485" s="223"/>
      <c r="CR2485" s="223"/>
      <c r="CS2485" s="223"/>
      <c r="CT2485" s="223"/>
      <c r="CU2485" s="223"/>
      <c r="CV2485" s="223"/>
      <c r="CW2485" s="223"/>
      <c r="CX2485" s="223"/>
      <c r="CY2485" s="223"/>
      <c r="CZ2485" s="223"/>
      <c r="DA2485" s="223"/>
      <c r="DB2485" s="223"/>
      <c r="DC2485" s="223"/>
      <c r="DD2485" s="223"/>
      <c r="DE2485" s="223"/>
      <c r="DF2485" s="223"/>
      <c r="DG2485" s="223"/>
      <c r="DH2485" s="223"/>
      <c r="DI2485" s="223"/>
      <c r="DJ2485" s="223"/>
      <c r="DK2485" s="223"/>
      <c r="DL2485" s="223"/>
      <c r="DM2485" s="223"/>
      <c r="DN2485" s="223"/>
      <c r="DO2485" s="223"/>
      <c r="DP2485" s="223"/>
      <c r="DQ2485" s="223"/>
      <c r="DR2485" s="223"/>
      <c r="DS2485" s="223"/>
      <c r="DT2485" s="223"/>
      <c r="DU2485" s="223"/>
      <c r="DV2485" s="223"/>
      <c r="DW2485" s="223"/>
      <c r="DX2485" s="223"/>
      <c r="DY2485" s="223"/>
      <c r="DZ2485" s="223"/>
      <c r="EA2485" s="223"/>
      <c r="EB2485" s="223"/>
      <c r="EC2485" s="223"/>
      <c r="ED2485" s="223"/>
      <c r="EE2485" s="223"/>
      <c r="EF2485" s="223"/>
      <c r="EG2485" s="223"/>
      <c r="EH2485" s="223"/>
      <c r="EI2485" s="223"/>
      <c r="EJ2485" s="223"/>
      <c r="EK2485" s="223"/>
      <c r="EL2485" s="223"/>
      <c r="EM2485" s="223"/>
      <c r="EN2485" s="223"/>
      <c r="EO2485" s="223"/>
      <c r="EP2485" s="223"/>
      <c r="EQ2485" s="223"/>
      <c r="ER2485" s="223"/>
      <c r="ES2485" s="223"/>
      <c r="ET2485" s="223"/>
      <c r="EU2485" s="223"/>
      <c r="EV2485" s="223"/>
      <c r="EW2485" s="223"/>
      <c r="EX2485" s="223"/>
      <c r="EY2485" s="223"/>
      <c r="EZ2485" s="223"/>
      <c r="FA2485" s="223"/>
      <c r="FB2485" s="223"/>
      <c r="FC2485" s="223"/>
      <c r="FD2485" s="223"/>
      <c r="FE2485" s="223"/>
      <c r="FF2485" s="223"/>
      <c r="FG2485" s="223"/>
      <c r="FH2485" s="223"/>
      <c r="FI2485" s="223"/>
      <c r="FJ2485" s="223"/>
      <c r="FK2485" s="223"/>
      <c r="FL2485" s="223"/>
      <c r="FM2485" s="223"/>
      <c r="FN2485" s="223"/>
      <c r="FO2485" s="223"/>
      <c r="FP2485" s="223"/>
      <c r="FQ2485" s="223"/>
      <c r="FR2485" s="223"/>
      <c r="FS2485" s="223"/>
      <c r="FT2485" s="223"/>
      <c r="FU2485" s="223"/>
      <c r="FV2485" s="223"/>
      <c r="FW2485" s="223"/>
      <c r="FX2485" s="223"/>
      <c r="FY2485" s="223"/>
      <c r="FZ2485" s="223"/>
      <c r="GA2485" s="223"/>
      <c r="GB2485" s="223"/>
      <c r="GC2485" s="223"/>
      <c r="GD2485" s="223"/>
      <c r="GE2485" s="223"/>
      <c r="GF2485" s="223"/>
      <c r="GG2485" s="223"/>
      <c r="GH2485" s="223"/>
      <c r="GI2485" s="223"/>
      <c r="GJ2485" s="223"/>
      <c r="GK2485" s="223"/>
      <c r="GL2485" s="223"/>
      <c r="GM2485" s="223"/>
      <c r="GN2485" s="223"/>
      <c r="GO2485" s="223"/>
      <c r="GP2485" s="223"/>
      <c r="GQ2485" s="223"/>
      <c r="GR2485" s="223"/>
      <c r="GS2485" s="223"/>
      <c r="GT2485" s="223"/>
      <c r="GU2485" s="223"/>
      <c r="GV2485" s="223"/>
      <c r="GW2485" s="223"/>
      <c r="GX2485" s="223"/>
      <c r="GY2485" s="223"/>
      <c r="GZ2485" s="223"/>
      <c r="HA2485" s="223"/>
      <c r="HB2485" s="223"/>
      <c r="HC2485" s="223"/>
      <c r="HD2485" s="223"/>
      <c r="HE2485" s="223"/>
      <c r="HF2485" s="223"/>
      <c r="HG2485" s="223"/>
      <c r="HH2485" s="223"/>
      <c r="HI2485" s="223"/>
      <c r="HJ2485" s="223"/>
      <c r="HK2485" s="223"/>
      <c r="HL2485" s="223"/>
      <c r="HM2485" s="223"/>
      <c r="HN2485" s="223"/>
      <c r="HO2485" s="223"/>
      <c r="HP2485" s="223"/>
      <c r="HQ2485" s="223"/>
      <c r="HR2485" s="223"/>
      <c r="HS2485" s="223"/>
      <c r="HT2485" s="223"/>
      <c r="HU2485" s="223"/>
      <c r="HV2485" s="223"/>
      <c r="HW2485" s="223"/>
      <c r="HX2485" s="223"/>
      <c r="HY2485" s="223"/>
      <c r="HZ2485" s="223"/>
      <c r="IA2485" s="223"/>
      <c r="IB2485" s="223"/>
      <c r="IC2485" s="223"/>
      <c r="ID2485" s="223"/>
      <c r="IE2485" s="223"/>
      <c r="IF2485" s="223"/>
      <c r="IG2485" s="223"/>
      <c r="IH2485" s="223"/>
      <c r="II2485" s="223"/>
      <c r="IJ2485" s="223"/>
      <c r="IK2485" s="223"/>
      <c r="IL2485" s="223"/>
      <c r="IM2485" s="223"/>
      <c r="IN2485" s="223"/>
      <c r="IO2485" s="223"/>
      <c r="IP2485" s="223"/>
      <c r="IQ2485" s="223"/>
      <c r="IR2485" s="223"/>
      <c r="IS2485" s="223"/>
      <c r="IT2485" s="223"/>
      <c r="IU2485" s="223"/>
      <c r="IV2485" s="223"/>
    </row>
    <row r="2486" spans="22:256" s="221" customFormat="1" x14ac:dyDescent="0.2">
      <c r="V2486" s="223"/>
      <c r="W2486" s="223"/>
      <c r="X2486" s="223"/>
      <c r="Y2486" s="223"/>
      <c r="Z2486" s="223"/>
      <c r="AA2486" s="223"/>
      <c r="AB2486" s="223"/>
      <c r="AC2486" s="223"/>
      <c r="AD2486" s="223"/>
      <c r="AE2486" s="223"/>
      <c r="AF2486" s="223"/>
      <c r="AG2486" s="223"/>
      <c r="AH2486" s="223"/>
      <c r="AI2486" s="223"/>
      <c r="AJ2486" s="223"/>
      <c r="AK2486" s="223"/>
      <c r="AL2486" s="223"/>
      <c r="AM2486" s="223"/>
      <c r="AN2486" s="223"/>
      <c r="AO2486" s="223"/>
      <c r="AP2486" s="223"/>
      <c r="AQ2486" s="223"/>
      <c r="AR2486" s="223"/>
      <c r="AS2486" s="223"/>
      <c r="AT2486" s="324"/>
      <c r="AU2486" s="324"/>
      <c r="AV2486" s="223"/>
      <c r="AW2486" s="223"/>
      <c r="AX2486" s="223"/>
      <c r="AY2486" s="223"/>
      <c r="AZ2486" s="223"/>
      <c r="BA2486" s="223"/>
      <c r="BB2486" s="223"/>
      <c r="BC2486" s="223"/>
      <c r="BD2486" s="223"/>
      <c r="BE2486" s="223"/>
      <c r="BF2486" s="223"/>
      <c r="BG2486" s="223"/>
      <c r="BH2486" s="223"/>
      <c r="BI2486" s="223"/>
      <c r="BJ2486" s="223"/>
      <c r="BK2486" s="223"/>
      <c r="BL2486" s="223"/>
      <c r="BM2486" s="223"/>
      <c r="BN2486" s="223"/>
      <c r="BO2486" s="223"/>
      <c r="BP2486" s="223"/>
      <c r="BQ2486" s="223"/>
      <c r="BR2486" s="223"/>
      <c r="BS2486" s="223"/>
      <c r="BT2486" s="223"/>
      <c r="BU2486" s="223"/>
      <c r="BV2486" s="223"/>
      <c r="BW2486" s="223"/>
      <c r="BX2486" s="223"/>
      <c r="BY2486" s="223"/>
      <c r="BZ2486" s="223"/>
      <c r="CA2486" s="223"/>
      <c r="CB2486" s="223"/>
      <c r="CC2486" s="223"/>
      <c r="CD2486" s="223"/>
      <c r="CE2486" s="223"/>
      <c r="CF2486" s="223"/>
      <c r="CG2486" s="223"/>
      <c r="CH2486" s="223"/>
      <c r="CI2486" s="223"/>
      <c r="CJ2486" s="223"/>
      <c r="CK2486" s="223"/>
      <c r="CL2486" s="223"/>
      <c r="CM2486" s="223"/>
      <c r="CN2486" s="223"/>
      <c r="CO2486" s="223"/>
      <c r="CP2486" s="223"/>
      <c r="CQ2486" s="223"/>
      <c r="CR2486" s="223"/>
      <c r="CS2486" s="223"/>
      <c r="CT2486" s="223"/>
      <c r="CU2486" s="223"/>
      <c r="CV2486" s="223"/>
      <c r="CW2486" s="223"/>
      <c r="CX2486" s="223"/>
      <c r="CY2486" s="223"/>
      <c r="CZ2486" s="223"/>
      <c r="DA2486" s="223"/>
      <c r="DB2486" s="223"/>
      <c r="DC2486" s="223"/>
      <c r="DD2486" s="223"/>
      <c r="DE2486" s="223"/>
      <c r="DF2486" s="223"/>
      <c r="DG2486" s="223"/>
      <c r="DH2486" s="223"/>
      <c r="DI2486" s="223"/>
      <c r="DJ2486" s="223"/>
      <c r="DK2486" s="223"/>
      <c r="DL2486" s="223"/>
      <c r="DM2486" s="223"/>
      <c r="DN2486" s="223"/>
      <c r="DO2486" s="223"/>
      <c r="DP2486" s="223"/>
      <c r="DQ2486" s="223"/>
      <c r="DR2486" s="223"/>
      <c r="DS2486" s="223"/>
      <c r="DT2486" s="223"/>
      <c r="DU2486" s="223"/>
      <c r="DV2486" s="223"/>
      <c r="DW2486" s="223"/>
      <c r="DX2486" s="223"/>
      <c r="DY2486" s="223"/>
      <c r="DZ2486" s="223"/>
      <c r="EA2486" s="223"/>
      <c r="EB2486" s="223"/>
      <c r="EC2486" s="223"/>
      <c r="ED2486" s="223"/>
      <c r="EE2486" s="223"/>
      <c r="EF2486" s="223"/>
      <c r="EG2486" s="223"/>
      <c r="EH2486" s="223"/>
      <c r="EI2486" s="223"/>
      <c r="EJ2486" s="223"/>
      <c r="EK2486" s="223"/>
      <c r="EL2486" s="223"/>
      <c r="EM2486" s="223"/>
      <c r="EN2486" s="223"/>
      <c r="EO2486" s="223"/>
      <c r="EP2486" s="223"/>
      <c r="EQ2486" s="223"/>
      <c r="ER2486" s="223"/>
      <c r="ES2486" s="223"/>
      <c r="ET2486" s="223"/>
      <c r="EU2486" s="223"/>
      <c r="EV2486" s="223"/>
      <c r="EW2486" s="223"/>
      <c r="EX2486" s="223"/>
      <c r="EY2486" s="223"/>
      <c r="EZ2486" s="223"/>
      <c r="FA2486" s="223"/>
      <c r="FB2486" s="223"/>
      <c r="FC2486" s="223"/>
      <c r="FD2486" s="223"/>
      <c r="FE2486" s="223"/>
      <c r="FF2486" s="223"/>
      <c r="FG2486" s="223"/>
      <c r="FH2486" s="223"/>
      <c r="FI2486" s="223"/>
      <c r="FJ2486" s="223"/>
      <c r="FK2486" s="223"/>
      <c r="FL2486" s="223"/>
      <c r="FM2486" s="223"/>
      <c r="FN2486" s="223"/>
      <c r="FO2486" s="223"/>
      <c r="FP2486" s="223"/>
      <c r="FQ2486" s="223"/>
      <c r="FR2486" s="223"/>
      <c r="FS2486" s="223"/>
      <c r="FT2486" s="223"/>
      <c r="FU2486" s="223"/>
      <c r="FV2486" s="223"/>
      <c r="FW2486" s="223"/>
      <c r="FX2486" s="223"/>
      <c r="FY2486" s="223"/>
      <c r="FZ2486" s="223"/>
      <c r="GA2486" s="223"/>
      <c r="GB2486" s="223"/>
      <c r="GC2486" s="223"/>
      <c r="GD2486" s="223"/>
      <c r="GE2486" s="223"/>
      <c r="GF2486" s="223"/>
      <c r="GG2486" s="223"/>
      <c r="GH2486" s="223"/>
      <c r="GI2486" s="223"/>
      <c r="GJ2486" s="223"/>
      <c r="GK2486" s="223"/>
      <c r="GL2486" s="223"/>
      <c r="GM2486" s="223"/>
      <c r="GN2486" s="223"/>
      <c r="GO2486" s="223"/>
      <c r="GP2486" s="223"/>
      <c r="GQ2486" s="223"/>
      <c r="GR2486" s="223"/>
      <c r="GS2486" s="223"/>
      <c r="GT2486" s="223"/>
      <c r="GU2486" s="223"/>
      <c r="GV2486" s="223"/>
      <c r="GW2486" s="223"/>
      <c r="GX2486" s="223"/>
      <c r="GY2486" s="223"/>
      <c r="GZ2486" s="223"/>
      <c r="HA2486" s="223"/>
      <c r="HB2486" s="223"/>
      <c r="HC2486" s="223"/>
      <c r="HD2486" s="223"/>
      <c r="HE2486" s="223"/>
      <c r="HF2486" s="223"/>
      <c r="HG2486" s="223"/>
      <c r="HH2486" s="223"/>
      <c r="HI2486" s="223"/>
      <c r="HJ2486" s="223"/>
      <c r="HK2486" s="223"/>
      <c r="HL2486" s="223"/>
      <c r="HM2486" s="223"/>
      <c r="HN2486" s="223"/>
      <c r="HO2486" s="223"/>
      <c r="HP2486" s="223"/>
      <c r="HQ2486" s="223"/>
      <c r="HR2486" s="223"/>
      <c r="HS2486" s="223"/>
      <c r="HT2486" s="223"/>
      <c r="HU2486" s="223"/>
      <c r="HV2486" s="223"/>
      <c r="HW2486" s="223"/>
      <c r="HX2486" s="223"/>
      <c r="HY2486" s="223"/>
      <c r="HZ2486" s="223"/>
      <c r="IA2486" s="223"/>
      <c r="IB2486" s="223"/>
      <c r="IC2486" s="223"/>
      <c r="ID2486" s="223"/>
      <c r="IE2486" s="223"/>
      <c r="IF2486" s="223"/>
      <c r="IG2486" s="223"/>
      <c r="IH2486" s="223"/>
      <c r="II2486" s="223"/>
      <c r="IJ2486" s="223"/>
      <c r="IK2486" s="223"/>
      <c r="IL2486" s="223"/>
      <c r="IM2486" s="223"/>
      <c r="IN2486" s="223"/>
      <c r="IO2486" s="223"/>
      <c r="IP2486" s="223"/>
      <c r="IQ2486" s="223"/>
      <c r="IR2486" s="223"/>
      <c r="IS2486" s="223"/>
      <c r="IT2486" s="223"/>
      <c r="IU2486" s="223"/>
      <c r="IV2486" s="223"/>
    </row>
    <row r="2487" spans="22:256" s="221" customFormat="1" x14ac:dyDescent="0.2">
      <c r="V2487" s="223"/>
      <c r="W2487" s="223"/>
      <c r="X2487" s="223"/>
      <c r="Y2487" s="223"/>
      <c r="Z2487" s="223"/>
      <c r="AA2487" s="223"/>
      <c r="AB2487" s="223"/>
      <c r="AC2487" s="223"/>
      <c r="AD2487" s="223"/>
      <c r="AE2487" s="223"/>
      <c r="AF2487" s="223"/>
      <c r="AG2487" s="223"/>
      <c r="AH2487" s="223"/>
      <c r="AI2487" s="223"/>
      <c r="AJ2487" s="223"/>
      <c r="AK2487" s="223"/>
      <c r="AL2487" s="223"/>
      <c r="AM2487" s="223"/>
      <c r="AN2487" s="223"/>
      <c r="AO2487" s="223"/>
      <c r="AP2487" s="223"/>
      <c r="AQ2487" s="223"/>
      <c r="AR2487" s="223"/>
      <c r="AS2487" s="223"/>
      <c r="AT2487" s="324"/>
      <c r="AU2487" s="324"/>
      <c r="AV2487" s="223"/>
      <c r="AW2487" s="223"/>
      <c r="AX2487" s="223"/>
      <c r="AY2487" s="223"/>
      <c r="AZ2487" s="223"/>
      <c r="BA2487" s="223"/>
      <c r="BB2487" s="223"/>
      <c r="BC2487" s="223"/>
      <c r="BD2487" s="223"/>
      <c r="BE2487" s="223"/>
      <c r="BF2487" s="223"/>
      <c r="BG2487" s="223"/>
      <c r="BH2487" s="223"/>
      <c r="BI2487" s="223"/>
      <c r="BJ2487" s="223"/>
      <c r="BK2487" s="223"/>
      <c r="BL2487" s="223"/>
      <c r="BM2487" s="223"/>
      <c r="BN2487" s="223"/>
      <c r="BO2487" s="223"/>
      <c r="BP2487" s="223"/>
      <c r="BQ2487" s="223"/>
      <c r="BR2487" s="223"/>
      <c r="BS2487" s="223"/>
      <c r="BT2487" s="223"/>
      <c r="BU2487" s="223"/>
      <c r="BV2487" s="223"/>
      <c r="BW2487" s="223"/>
      <c r="BX2487" s="223"/>
      <c r="BY2487" s="223"/>
      <c r="BZ2487" s="223"/>
      <c r="CA2487" s="223"/>
      <c r="CB2487" s="223"/>
      <c r="CC2487" s="223"/>
      <c r="CD2487" s="223"/>
      <c r="CE2487" s="223"/>
      <c r="CF2487" s="223"/>
      <c r="CG2487" s="223"/>
      <c r="CH2487" s="223"/>
      <c r="CI2487" s="223"/>
      <c r="CJ2487" s="223"/>
      <c r="CK2487" s="223"/>
      <c r="CL2487" s="223"/>
      <c r="CM2487" s="223"/>
      <c r="CN2487" s="223"/>
      <c r="CO2487" s="223"/>
      <c r="CP2487" s="223"/>
      <c r="CQ2487" s="223"/>
      <c r="CR2487" s="223"/>
      <c r="CS2487" s="223"/>
      <c r="CT2487" s="223"/>
      <c r="CU2487" s="223"/>
      <c r="CV2487" s="223"/>
      <c r="CW2487" s="223"/>
      <c r="CX2487" s="223"/>
      <c r="CY2487" s="223"/>
      <c r="CZ2487" s="223"/>
      <c r="DA2487" s="223"/>
      <c r="DB2487" s="223"/>
      <c r="DC2487" s="223"/>
      <c r="DD2487" s="223"/>
      <c r="DE2487" s="223"/>
      <c r="DF2487" s="223"/>
      <c r="DG2487" s="223"/>
      <c r="DH2487" s="223"/>
      <c r="DI2487" s="223"/>
      <c r="DJ2487" s="223"/>
      <c r="DK2487" s="223"/>
      <c r="DL2487" s="223"/>
      <c r="DM2487" s="223"/>
      <c r="DN2487" s="223"/>
      <c r="DO2487" s="223"/>
      <c r="DP2487" s="223"/>
      <c r="DQ2487" s="223"/>
      <c r="DR2487" s="223"/>
      <c r="DS2487" s="223"/>
      <c r="DT2487" s="223"/>
      <c r="DU2487" s="223"/>
      <c r="DV2487" s="223"/>
      <c r="DW2487" s="223"/>
      <c r="DX2487" s="223"/>
      <c r="DY2487" s="223"/>
      <c r="DZ2487" s="223"/>
      <c r="EA2487" s="223"/>
      <c r="EB2487" s="223"/>
      <c r="EC2487" s="223"/>
      <c r="ED2487" s="223"/>
      <c r="EE2487" s="223"/>
      <c r="EF2487" s="223"/>
      <c r="EG2487" s="223"/>
      <c r="EH2487" s="223"/>
      <c r="EI2487" s="223"/>
      <c r="EJ2487" s="223"/>
      <c r="EK2487" s="223"/>
      <c r="EL2487" s="223"/>
      <c r="EM2487" s="223"/>
      <c r="EN2487" s="223"/>
      <c r="EO2487" s="223"/>
      <c r="EP2487" s="223"/>
      <c r="EQ2487" s="223"/>
      <c r="ER2487" s="223"/>
      <c r="ES2487" s="223"/>
      <c r="ET2487" s="223"/>
      <c r="EU2487" s="223"/>
      <c r="EV2487" s="223"/>
      <c r="EW2487" s="223"/>
      <c r="EX2487" s="223"/>
      <c r="EY2487" s="223"/>
      <c r="EZ2487" s="223"/>
      <c r="FA2487" s="223"/>
      <c r="FB2487" s="223"/>
      <c r="FC2487" s="223"/>
      <c r="FD2487" s="223"/>
      <c r="FE2487" s="223"/>
      <c r="FF2487" s="223"/>
      <c r="FG2487" s="223"/>
      <c r="FH2487" s="223"/>
      <c r="FI2487" s="223"/>
      <c r="FJ2487" s="223"/>
      <c r="FK2487" s="223"/>
      <c r="FL2487" s="223"/>
      <c r="FM2487" s="223"/>
      <c r="FN2487" s="223"/>
      <c r="FO2487" s="223"/>
      <c r="FP2487" s="223"/>
      <c r="FQ2487" s="223"/>
      <c r="FR2487" s="223"/>
      <c r="FS2487" s="223"/>
      <c r="FT2487" s="223"/>
      <c r="FU2487" s="223"/>
      <c r="FV2487" s="223"/>
      <c r="FW2487" s="223"/>
      <c r="FX2487" s="223"/>
      <c r="FY2487" s="223"/>
      <c r="FZ2487" s="223"/>
      <c r="GA2487" s="223"/>
      <c r="GB2487" s="223"/>
      <c r="GC2487" s="223"/>
      <c r="GD2487" s="223"/>
      <c r="GE2487" s="223"/>
      <c r="GF2487" s="223"/>
      <c r="GG2487" s="223"/>
      <c r="GH2487" s="223"/>
      <c r="GI2487" s="223"/>
      <c r="GJ2487" s="223"/>
      <c r="GK2487" s="223"/>
      <c r="GL2487" s="223"/>
      <c r="GM2487" s="223"/>
      <c r="GN2487" s="223"/>
      <c r="GO2487" s="223"/>
      <c r="GP2487" s="223"/>
      <c r="GQ2487" s="223"/>
      <c r="GR2487" s="223"/>
      <c r="GS2487" s="223"/>
      <c r="GT2487" s="223"/>
      <c r="GU2487" s="223"/>
      <c r="GV2487" s="223"/>
      <c r="GW2487" s="223"/>
      <c r="GX2487" s="223"/>
      <c r="GY2487" s="223"/>
      <c r="GZ2487" s="223"/>
      <c r="HA2487" s="223"/>
      <c r="HB2487" s="223"/>
      <c r="HC2487" s="223"/>
      <c r="HD2487" s="223"/>
      <c r="HE2487" s="223"/>
      <c r="HF2487" s="223"/>
      <c r="HG2487" s="223"/>
      <c r="HH2487" s="223"/>
      <c r="HI2487" s="223"/>
      <c r="HJ2487" s="223"/>
      <c r="HK2487" s="223"/>
      <c r="HL2487" s="223"/>
      <c r="HM2487" s="223"/>
      <c r="HN2487" s="223"/>
      <c r="HO2487" s="223"/>
      <c r="HP2487" s="223"/>
      <c r="HQ2487" s="223"/>
      <c r="HR2487" s="223"/>
      <c r="HS2487" s="223"/>
      <c r="HT2487" s="223"/>
      <c r="HU2487" s="223"/>
      <c r="HV2487" s="223"/>
      <c r="HW2487" s="223"/>
      <c r="HX2487" s="223"/>
      <c r="HY2487" s="223"/>
      <c r="HZ2487" s="223"/>
      <c r="IA2487" s="223"/>
      <c r="IB2487" s="223"/>
      <c r="IC2487" s="223"/>
      <c r="ID2487" s="223"/>
      <c r="IE2487" s="223"/>
      <c r="IF2487" s="223"/>
      <c r="IG2487" s="223"/>
      <c r="IH2487" s="223"/>
      <c r="II2487" s="223"/>
      <c r="IJ2487" s="223"/>
      <c r="IK2487" s="223"/>
      <c r="IL2487" s="223"/>
      <c r="IM2487" s="223"/>
      <c r="IN2487" s="223"/>
      <c r="IO2487" s="223"/>
      <c r="IP2487" s="223"/>
      <c r="IQ2487" s="223"/>
      <c r="IR2487" s="223"/>
      <c r="IS2487" s="223"/>
      <c r="IT2487" s="223"/>
      <c r="IU2487" s="223"/>
      <c r="IV2487" s="223"/>
    </row>
    <row r="2488" spans="22:256" s="221" customFormat="1" x14ac:dyDescent="0.2">
      <c r="V2488" s="223"/>
      <c r="W2488" s="223"/>
      <c r="X2488" s="223"/>
      <c r="Y2488" s="223"/>
      <c r="Z2488" s="223"/>
      <c r="AA2488" s="223"/>
      <c r="AB2488" s="223"/>
      <c r="AC2488" s="223"/>
      <c r="AD2488" s="223"/>
      <c r="AE2488" s="223"/>
      <c r="AF2488" s="223"/>
      <c r="AG2488" s="223"/>
      <c r="AH2488" s="223"/>
      <c r="AI2488" s="223"/>
      <c r="AJ2488" s="223"/>
      <c r="AK2488" s="223"/>
      <c r="AL2488" s="223"/>
      <c r="AM2488" s="223"/>
      <c r="AN2488" s="223"/>
      <c r="AO2488" s="223"/>
      <c r="AP2488" s="223"/>
      <c r="AQ2488" s="223"/>
      <c r="AR2488" s="223"/>
      <c r="AS2488" s="223"/>
      <c r="AT2488" s="324"/>
      <c r="AU2488" s="324"/>
      <c r="AV2488" s="223"/>
      <c r="AW2488" s="223"/>
      <c r="AX2488" s="223"/>
      <c r="AY2488" s="223"/>
      <c r="AZ2488" s="223"/>
      <c r="BA2488" s="223"/>
      <c r="BB2488" s="223"/>
      <c r="BC2488" s="223"/>
      <c r="BD2488" s="223"/>
      <c r="BE2488" s="223"/>
      <c r="BF2488" s="223"/>
      <c r="BG2488" s="223"/>
      <c r="BH2488" s="223"/>
      <c r="BI2488" s="223"/>
      <c r="BJ2488" s="223"/>
      <c r="BK2488" s="223"/>
      <c r="BL2488" s="223"/>
      <c r="BM2488" s="223"/>
      <c r="BN2488" s="223"/>
      <c r="BO2488" s="223"/>
      <c r="BP2488" s="223"/>
      <c r="BQ2488" s="223"/>
      <c r="BR2488" s="223"/>
      <c r="BS2488" s="223"/>
      <c r="BT2488" s="223"/>
      <c r="BU2488" s="223"/>
      <c r="BV2488" s="223"/>
      <c r="BW2488" s="223"/>
      <c r="BX2488" s="223"/>
      <c r="BY2488" s="223"/>
      <c r="BZ2488" s="223"/>
      <c r="CA2488" s="223"/>
      <c r="CB2488" s="223"/>
      <c r="CC2488" s="223"/>
      <c r="CD2488" s="223"/>
      <c r="CE2488" s="223"/>
      <c r="CF2488" s="223"/>
      <c r="CG2488" s="223"/>
      <c r="CH2488" s="223"/>
      <c r="CI2488" s="223"/>
      <c r="CJ2488" s="223"/>
      <c r="CK2488" s="223"/>
      <c r="CL2488" s="223"/>
      <c r="CM2488" s="223"/>
      <c r="CN2488" s="223"/>
      <c r="CO2488" s="223"/>
      <c r="CP2488" s="223"/>
      <c r="CQ2488" s="223"/>
      <c r="CR2488" s="223"/>
      <c r="CS2488" s="223"/>
      <c r="CT2488" s="223"/>
      <c r="CU2488" s="223"/>
      <c r="CV2488" s="223"/>
      <c r="CW2488" s="223"/>
      <c r="CX2488" s="223"/>
      <c r="CY2488" s="223"/>
      <c r="CZ2488" s="223"/>
      <c r="DA2488" s="223"/>
      <c r="DB2488" s="223"/>
      <c r="DC2488" s="223"/>
      <c r="DD2488" s="223"/>
      <c r="DE2488" s="223"/>
      <c r="DF2488" s="223"/>
      <c r="DG2488" s="223"/>
      <c r="DH2488" s="223"/>
      <c r="DI2488" s="223"/>
      <c r="DJ2488" s="223"/>
      <c r="DK2488" s="223"/>
      <c r="DL2488" s="223"/>
      <c r="DM2488" s="223"/>
      <c r="DN2488" s="223"/>
      <c r="DO2488" s="223"/>
      <c r="DP2488" s="223"/>
      <c r="DQ2488" s="223"/>
      <c r="DR2488" s="223"/>
      <c r="DS2488" s="223"/>
      <c r="DT2488" s="223"/>
      <c r="DU2488" s="223"/>
      <c r="DV2488" s="223"/>
      <c r="DW2488" s="223"/>
      <c r="DX2488" s="223"/>
      <c r="DY2488" s="223"/>
      <c r="DZ2488" s="223"/>
      <c r="EA2488" s="223"/>
      <c r="EB2488" s="223"/>
      <c r="EC2488" s="223"/>
      <c r="ED2488" s="223"/>
      <c r="EE2488" s="223"/>
      <c r="EF2488" s="223"/>
      <c r="EG2488" s="223"/>
      <c r="EH2488" s="223"/>
      <c r="EI2488" s="223"/>
      <c r="EJ2488" s="223"/>
      <c r="EK2488" s="223"/>
      <c r="EL2488" s="223"/>
      <c r="EM2488" s="223"/>
      <c r="EN2488" s="223"/>
      <c r="EO2488" s="223"/>
      <c r="EP2488" s="223"/>
      <c r="EQ2488" s="223"/>
      <c r="ER2488" s="223"/>
      <c r="ES2488" s="223"/>
      <c r="ET2488" s="223"/>
      <c r="EU2488" s="223"/>
      <c r="EV2488" s="223"/>
      <c r="EW2488" s="223"/>
      <c r="EX2488" s="223"/>
      <c r="EY2488" s="223"/>
      <c r="EZ2488" s="223"/>
      <c r="FA2488" s="223"/>
      <c r="FB2488" s="223"/>
      <c r="FC2488" s="223"/>
      <c r="FD2488" s="223"/>
      <c r="FE2488" s="223"/>
      <c r="FF2488" s="223"/>
      <c r="FG2488" s="223"/>
      <c r="FH2488" s="223"/>
      <c r="FI2488" s="223"/>
      <c r="FJ2488" s="223"/>
      <c r="FK2488" s="223"/>
      <c r="FL2488" s="223"/>
      <c r="FM2488" s="223"/>
      <c r="FN2488" s="223"/>
      <c r="FO2488" s="223"/>
      <c r="FP2488" s="223"/>
      <c r="FQ2488" s="223"/>
      <c r="FR2488" s="223"/>
      <c r="FS2488" s="223"/>
      <c r="FT2488" s="223"/>
      <c r="FU2488" s="223"/>
      <c r="FV2488" s="223"/>
      <c r="FW2488" s="223"/>
      <c r="FX2488" s="223"/>
      <c r="FY2488" s="223"/>
      <c r="FZ2488" s="223"/>
      <c r="GA2488" s="223"/>
      <c r="GB2488" s="223"/>
      <c r="GC2488" s="223"/>
      <c r="GD2488" s="223"/>
      <c r="GE2488" s="223"/>
      <c r="GF2488" s="223"/>
      <c r="GG2488" s="223"/>
      <c r="GH2488" s="223"/>
      <c r="GI2488" s="223"/>
      <c r="GJ2488" s="223"/>
      <c r="GK2488" s="223"/>
      <c r="GL2488" s="223"/>
      <c r="GM2488" s="223"/>
      <c r="GN2488" s="223"/>
      <c r="GO2488" s="223"/>
      <c r="GP2488" s="223"/>
      <c r="GQ2488" s="223"/>
      <c r="GR2488" s="223"/>
      <c r="GS2488" s="223"/>
      <c r="GT2488" s="223"/>
      <c r="GU2488" s="223"/>
      <c r="GV2488" s="223"/>
      <c r="GW2488" s="223"/>
      <c r="GX2488" s="223"/>
      <c r="GY2488" s="223"/>
      <c r="GZ2488" s="223"/>
      <c r="HA2488" s="223"/>
      <c r="HB2488" s="223"/>
      <c r="HC2488" s="223"/>
      <c r="HD2488" s="223"/>
      <c r="HE2488" s="223"/>
      <c r="HF2488" s="223"/>
      <c r="HG2488" s="223"/>
      <c r="HH2488" s="223"/>
      <c r="HI2488" s="223"/>
      <c r="HJ2488" s="223"/>
      <c r="HK2488" s="223"/>
      <c r="HL2488" s="223"/>
      <c r="HM2488" s="223"/>
      <c r="HN2488" s="223"/>
      <c r="HO2488" s="223"/>
      <c r="HP2488" s="223"/>
      <c r="HQ2488" s="223"/>
      <c r="HR2488" s="223"/>
      <c r="HS2488" s="223"/>
      <c r="HT2488" s="223"/>
      <c r="HU2488" s="223"/>
      <c r="HV2488" s="223"/>
      <c r="HW2488" s="223"/>
      <c r="HX2488" s="223"/>
      <c r="HY2488" s="223"/>
      <c r="HZ2488" s="223"/>
      <c r="IA2488" s="223"/>
      <c r="IB2488" s="223"/>
      <c r="IC2488" s="223"/>
      <c r="ID2488" s="223"/>
      <c r="IE2488" s="223"/>
      <c r="IF2488" s="223"/>
      <c r="IG2488" s="223"/>
      <c r="IH2488" s="223"/>
      <c r="II2488" s="223"/>
      <c r="IJ2488" s="223"/>
      <c r="IK2488" s="223"/>
      <c r="IL2488" s="223"/>
      <c r="IM2488" s="223"/>
      <c r="IN2488" s="223"/>
      <c r="IO2488" s="223"/>
      <c r="IP2488" s="223"/>
      <c r="IQ2488" s="223"/>
      <c r="IR2488" s="223"/>
      <c r="IS2488" s="223"/>
      <c r="IT2488" s="223"/>
      <c r="IU2488" s="223"/>
      <c r="IV2488" s="223"/>
    </row>
    <row r="2489" spans="22:256" s="221" customFormat="1" x14ac:dyDescent="0.2">
      <c r="V2489" s="223"/>
      <c r="W2489" s="223"/>
      <c r="X2489" s="223"/>
      <c r="Y2489" s="223"/>
      <c r="Z2489" s="223"/>
      <c r="AA2489" s="223"/>
      <c r="AB2489" s="223"/>
      <c r="AC2489" s="223"/>
      <c r="AD2489" s="223"/>
      <c r="AE2489" s="223"/>
      <c r="AF2489" s="223"/>
      <c r="AG2489" s="223"/>
      <c r="AH2489" s="223"/>
      <c r="AI2489" s="223"/>
      <c r="AJ2489" s="223"/>
      <c r="AK2489" s="223"/>
      <c r="AL2489" s="223"/>
      <c r="AM2489" s="223"/>
      <c r="AN2489" s="223"/>
      <c r="AO2489" s="223"/>
      <c r="AP2489" s="223"/>
      <c r="AQ2489" s="223"/>
      <c r="AR2489" s="223"/>
      <c r="AS2489" s="223"/>
      <c r="AT2489" s="324"/>
      <c r="AU2489" s="324"/>
      <c r="AV2489" s="223"/>
      <c r="AW2489" s="223"/>
      <c r="AX2489" s="223"/>
      <c r="AY2489" s="223"/>
      <c r="AZ2489" s="223"/>
      <c r="BA2489" s="223"/>
      <c r="BB2489" s="223"/>
      <c r="BC2489" s="223"/>
      <c r="BD2489" s="223"/>
      <c r="BE2489" s="223"/>
      <c r="BF2489" s="223"/>
      <c r="BG2489" s="223"/>
      <c r="BH2489" s="223"/>
      <c r="BI2489" s="223"/>
      <c r="BJ2489" s="223"/>
      <c r="BK2489" s="223"/>
      <c r="BL2489" s="223"/>
      <c r="BM2489" s="223"/>
      <c r="BN2489" s="223"/>
      <c r="BO2489" s="223"/>
      <c r="BP2489" s="223"/>
      <c r="BQ2489" s="223"/>
      <c r="BR2489" s="223"/>
      <c r="BS2489" s="223"/>
      <c r="BT2489" s="223"/>
      <c r="BU2489" s="223"/>
      <c r="BV2489" s="223"/>
      <c r="BW2489" s="223"/>
      <c r="BX2489" s="223"/>
      <c r="BY2489" s="223"/>
      <c r="BZ2489" s="223"/>
      <c r="CA2489" s="223"/>
      <c r="CB2489" s="223"/>
      <c r="CC2489" s="223"/>
      <c r="CD2489" s="223"/>
      <c r="CE2489" s="223"/>
      <c r="CF2489" s="223"/>
      <c r="CG2489" s="223"/>
      <c r="CH2489" s="223"/>
      <c r="CI2489" s="223"/>
      <c r="CJ2489" s="223"/>
      <c r="CK2489" s="223"/>
      <c r="CL2489" s="223"/>
      <c r="CM2489" s="223"/>
      <c r="CN2489" s="223"/>
      <c r="CO2489" s="223"/>
      <c r="CP2489" s="223"/>
      <c r="CQ2489" s="223"/>
      <c r="CR2489" s="223"/>
      <c r="CS2489" s="223"/>
      <c r="CT2489" s="223"/>
      <c r="CU2489" s="223"/>
      <c r="CV2489" s="223"/>
      <c r="CW2489" s="223"/>
      <c r="CX2489" s="223"/>
      <c r="CY2489" s="223"/>
      <c r="CZ2489" s="223"/>
      <c r="DA2489" s="223"/>
      <c r="DB2489" s="223"/>
      <c r="DC2489" s="223"/>
      <c r="DD2489" s="223"/>
      <c r="DE2489" s="223"/>
      <c r="DF2489" s="223"/>
      <c r="DG2489" s="223"/>
      <c r="DH2489" s="223"/>
      <c r="DI2489" s="223"/>
      <c r="DJ2489" s="223"/>
      <c r="DK2489" s="223"/>
      <c r="DL2489" s="223"/>
      <c r="DM2489" s="223"/>
      <c r="DN2489" s="223"/>
      <c r="DO2489" s="223"/>
      <c r="DP2489" s="223"/>
      <c r="DQ2489" s="223"/>
      <c r="DR2489" s="223"/>
      <c r="DS2489" s="223"/>
      <c r="DT2489" s="223"/>
      <c r="DU2489" s="223"/>
      <c r="DV2489" s="223"/>
      <c r="DW2489" s="223"/>
      <c r="DX2489" s="223"/>
      <c r="DY2489" s="223"/>
      <c r="DZ2489" s="223"/>
      <c r="EA2489" s="223"/>
      <c r="EB2489" s="223"/>
      <c r="EC2489" s="223"/>
      <c r="ED2489" s="223"/>
      <c r="EE2489" s="223"/>
      <c r="EF2489" s="223"/>
      <c r="EG2489" s="223"/>
      <c r="EH2489" s="223"/>
      <c r="EI2489" s="223"/>
      <c r="EJ2489" s="223"/>
      <c r="EK2489" s="223"/>
      <c r="EL2489" s="223"/>
      <c r="EM2489" s="223"/>
      <c r="EN2489" s="223"/>
      <c r="EO2489" s="223"/>
      <c r="EP2489" s="223"/>
      <c r="EQ2489" s="223"/>
      <c r="ER2489" s="223"/>
      <c r="ES2489" s="223"/>
      <c r="ET2489" s="223"/>
      <c r="EU2489" s="223"/>
      <c r="EV2489" s="223"/>
      <c r="EW2489" s="223"/>
      <c r="EX2489" s="223"/>
      <c r="EY2489" s="223"/>
      <c r="EZ2489" s="223"/>
      <c r="FA2489" s="223"/>
      <c r="FB2489" s="223"/>
      <c r="FC2489" s="223"/>
      <c r="FD2489" s="223"/>
      <c r="FE2489" s="223"/>
      <c r="FF2489" s="223"/>
      <c r="FG2489" s="223"/>
      <c r="FH2489" s="223"/>
      <c r="FI2489" s="223"/>
      <c r="FJ2489" s="223"/>
      <c r="FK2489" s="223"/>
      <c r="FL2489" s="223"/>
      <c r="FM2489" s="223"/>
      <c r="FN2489" s="223"/>
      <c r="FO2489" s="223"/>
      <c r="FP2489" s="223"/>
      <c r="FQ2489" s="223"/>
      <c r="FR2489" s="223"/>
      <c r="FS2489" s="223"/>
      <c r="FT2489" s="223"/>
      <c r="FU2489" s="223"/>
      <c r="FV2489" s="223"/>
      <c r="FW2489" s="223"/>
      <c r="FX2489" s="223"/>
      <c r="FY2489" s="223"/>
      <c r="FZ2489" s="223"/>
      <c r="GA2489" s="223"/>
      <c r="GB2489" s="223"/>
      <c r="GC2489" s="223"/>
      <c r="GD2489" s="223"/>
      <c r="GE2489" s="223"/>
      <c r="GF2489" s="223"/>
      <c r="GG2489" s="223"/>
      <c r="GH2489" s="223"/>
      <c r="GI2489" s="223"/>
      <c r="GJ2489" s="223"/>
      <c r="GK2489" s="223"/>
      <c r="GL2489" s="223"/>
      <c r="GM2489" s="223"/>
      <c r="GN2489" s="223"/>
      <c r="GO2489" s="223"/>
      <c r="GP2489" s="223"/>
      <c r="GQ2489" s="223"/>
      <c r="GR2489" s="223"/>
      <c r="GS2489" s="223"/>
      <c r="GT2489" s="223"/>
      <c r="GU2489" s="223"/>
      <c r="GV2489" s="223"/>
      <c r="GW2489" s="223"/>
      <c r="GX2489" s="223"/>
      <c r="GY2489" s="223"/>
      <c r="GZ2489" s="223"/>
      <c r="HA2489" s="223"/>
      <c r="HB2489" s="223"/>
      <c r="HC2489" s="223"/>
      <c r="HD2489" s="223"/>
      <c r="HE2489" s="223"/>
      <c r="HF2489" s="223"/>
      <c r="HG2489" s="223"/>
      <c r="HH2489" s="223"/>
      <c r="HI2489" s="223"/>
      <c r="HJ2489" s="223"/>
      <c r="HK2489" s="223"/>
      <c r="HL2489" s="223"/>
      <c r="HM2489" s="223"/>
      <c r="HN2489" s="223"/>
      <c r="HO2489" s="223"/>
      <c r="HP2489" s="223"/>
      <c r="HQ2489" s="223"/>
      <c r="HR2489" s="223"/>
      <c r="HS2489" s="223"/>
      <c r="HT2489" s="223"/>
      <c r="HU2489" s="223"/>
      <c r="HV2489" s="223"/>
      <c r="HW2489" s="223"/>
      <c r="HX2489" s="223"/>
      <c r="HY2489" s="223"/>
      <c r="HZ2489" s="223"/>
      <c r="IA2489" s="223"/>
      <c r="IB2489" s="223"/>
      <c r="IC2489" s="223"/>
      <c r="ID2489" s="223"/>
      <c r="IE2489" s="223"/>
      <c r="IF2489" s="223"/>
      <c r="IG2489" s="223"/>
      <c r="IH2489" s="223"/>
      <c r="II2489" s="223"/>
      <c r="IJ2489" s="223"/>
      <c r="IK2489" s="223"/>
      <c r="IL2489" s="223"/>
      <c r="IM2489" s="223"/>
      <c r="IN2489" s="223"/>
      <c r="IO2489" s="223"/>
      <c r="IP2489" s="223"/>
      <c r="IQ2489" s="223"/>
      <c r="IR2489" s="223"/>
      <c r="IS2489" s="223"/>
      <c r="IT2489" s="223"/>
      <c r="IU2489" s="223"/>
      <c r="IV2489" s="223"/>
    </row>
    <row r="2490" spans="22:256" s="221" customFormat="1" x14ac:dyDescent="0.2">
      <c r="V2490" s="223"/>
      <c r="W2490" s="223"/>
      <c r="X2490" s="223"/>
      <c r="Y2490" s="223"/>
      <c r="Z2490" s="223"/>
      <c r="AA2490" s="223"/>
      <c r="AB2490" s="223"/>
      <c r="AC2490" s="223"/>
      <c r="AD2490" s="223"/>
      <c r="AE2490" s="223"/>
      <c r="AF2490" s="223"/>
      <c r="AG2490" s="223"/>
      <c r="AH2490" s="223"/>
      <c r="AI2490" s="223"/>
      <c r="AJ2490" s="223"/>
      <c r="AK2490" s="223"/>
      <c r="AL2490" s="223"/>
      <c r="AM2490" s="223"/>
      <c r="AN2490" s="223"/>
      <c r="AO2490" s="223"/>
      <c r="AP2490" s="223"/>
      <c r="AQ2490" s="223"/>
      <c r="AR2490" s="223"/>
      <c r="AS2490" s="223"/>
      <c r="AT2490" s="324"/>
      <c r="AU2490" s="324"/>
      <c r="AV2490" s="223"/>
      <c r="AW2490" s="223"/>
      <c r="AX2490" s="223"/>
      <c r="AY2490" s="223"/>
      <c r="AZ2490" s="223"/>
      <c r="BA2490" s="223"/>
      <c r="BB2490" s="223"/>
      <c r="BC2490" s="223"/>
      <c r="BD2490" s="223"/>
      <c r="BE2490" s="223"/>
      <c r="BF2490" s="223"/>
      <c r="BG2490" s="223"/>
      <c r="BH2490" s="223"/>
      <c r="BI2490" s="223"/>
      <c r="BJ2490" s="223"/>
      <c r="BK2490" s="223"/>
      <c r="BL2490" s="223"/>
      <c r="BM2490" s="223"/>
      <c r="BN2490" s="223"/>
      <c r="BO2490" s="223"/>
      <c r="BP2490" s="223"/>
      <c r="BQ2490" s="223"/>
      <c r="BR2490" s="223"/>
      <c r="BS2490" s="223"/>
      <c r="BT2490" s="223"/>
      <c r="BU2490" s="223"/>
      <c r="BV2490" s="223"/>
      <c r="BW2490" s="223"/>
      <c r="BX2490" s="223"/>
      <c r="BY2490" s="223"/>
      <c r="BZ2490" s="223"/>
      <c r="CA2490" s="223"/>
      <c r="CB2490" s="223"/>
      <c r="CC2490" s="223"/>
      <c r="CD2490" s="223"/>
      <c r="CE2490" s="223"/>
      <c r="CF2490" s="223"/>
      <c r="CG2490" s="223"/>
      <c r="CH2490" s="223"/>
      <c r="CI2490" s="223"/>
      <c r="CJ2490" s="223"/>
      <c r="CK2490" s="223"/>
      <c r="CL2490" s="223"/>
      <c r="CM2490" s="223"/>
      <c r="CN2490" s="223"/>
      <c r="CO2490" s="223"/>
      <c r="CP2490" s="223"/>
      <c r="CQ2490" s="223"/>
      <c r="CR2490" s="223"/>
      <c r="CS2490" s="223"/>
      <c r="CT2490" s="223"/>
      <c r="CU2490" s="223"/>
      <c r="CV2490" s="223"/>
      <c r="CW2490" s="223"/>
      <c r="CX2490" s="223"/>
      <c r="CY2490" s="223"/>
      <c r="CZ2490" s="223"/>
      <c r="DA2490" s="223"/>
      <c r="DB2490" s="223"/>
      <c r="DC2490" s="223"/>
      <c r="DD2490" s="223"/>
      <c r="DE2490" s="223"/>
      <c r="DF2490" s="223"/>
      <c r="DG2490" s="223"/>
      <c r="DH2490" s="223"/>
      <c r="DI2490" s="223"/>
      <c r="DJ2490" s="223"/>
      <c r="DK2490" s="223"/>
      <c r="DL2490" s="223"/>
      <c r="DM2490" s="223"/>
      <c r="DN2490" s="223"/>
      <c r="DO2490" s="223"/>
      <c r="DP2490" s="223"/>
      <c r="DQ2490" s="223"/>
      <c r="DR2490" s="223"/>
      <c r="DS2490" s="223"/>
      <c r="DT2490" s="223"/>
      <c r="DU2490" s="223"/>
      <c r="DV2490" s="223"/>
      <c r="DW2490" s="223"/>
      <c r="DX2490" s="223"/>
      <c r="DY2490" s="223"/>
      <c r="DZ2490" s="223"/>
      <c r="EA2490" s="223"/>
      <c r="EB2490" s="223"/>
      <c r="EC2490" s="223"/>
      <c r="ED2490" s="223"/>
      <c r="EE2490" s="223"/>
      <c r="EF2490" s="223"/>
      <c r="EG2490" s="223"/>
      <c r="EH2490" s="223"/>
      <c r="EI2490" s="223"/>
      <c r="EJ2490" s="223"/>
      <c r="EK2490" s="223"/>
      <c r="EL2490" s="223"/>
      <c r="EM2490" s="223"/>
      <c r="EN2490" s="223"/>
      <c r="EO2490" s="223"/>
      <c r="EP2490" s="223"/>
      <c r="EQ2490" s="223"/>
      <c r="ER2490" s="223"/>
      <c r="ES2490" s="223"/>
      <c r="ET2490" s="223"/>
      <c r="EU2490" s="223"/>
      <c r="EV2490" s="223"/>
      <c r="EW2490" s="223"/>
      <c r="EX2490" s="223"/>
      <c r="EY2490" s="223"/>
      <c r="EZ2490" s="223"/>
      <c r="FA2490" s="223"/>
      <c r="FB2490" s="223"/>
      <c r="FC2490" s="223"/>
      <c r="FD2490" s="223"/>
      <c r="FE2490" s="223"/>
      <c r="FF2490" s="223"/>
      <c r="FG2490" s="223"/>
      <c r="FH2490" s="223"/>
      <c r="FI2490" s="223"/>
      <c r="FJ2490" s="223"/>
      <c r="FK2490" s="223"/>
      <c r="FL2490" s="223"/>
      <c r="FM2490" s="223"/>
      <c r="FN2490" s="223"/>
      <c r="FO2490" s="223"/>
      <c r="FP2490" s="223"/>
      <c r="FQ2490" s="223"/>
      <c r="FR2490" s="223"/>
      <c r="FS2490" s="223"/>
      <c r="FT2490" s="223"/>
      <c r="FU2490" s="223"/>
      <c r="FV2490" s="223"/>
      <c r="FW2490" s="223"/>
      <c r="FX2490" s="223"/>
      <c r="FY2490" s="223"/>
      <c r="FZ2490" s="223"/>
      <c r="GA2490" s="223"/>
      <c r="GB2490" s="223"/>
      <c r="GC2490" s="223"/>
      <c r="GD2490" s="223"/>
      <c r="GE2490" s="223"/>
      <c r="GF2490" s="223"/>
      <c r="GG2490" s="223"/>
      <c r="GH2490" s="223"/>
      <c r="GI2490" s="223"/>
      <c r="GJ2490" s="223"/>
      <c r="GK2490" s="223"/>
      <c r="GL2490" s="223"/>
      <c r="GM2490" s="223"/>
      <c r="GN2490" s="223"/>
      <c r="GO2490" s="223"/>
      <c r="GP2490" s="223"/>
      <c r="GQ2490" s="223"/>
      <c r="GR2490" s="223"/>
      <c r="GS2490" s="223"/>
      <c r="GT2490" s="223"/>
      <c r="GU2490" s="223"/>
      <c r="GV2490" s="223"/>
      <c r="GW2490" s="223"/>
      <c r="GX2490" s="223"/>
      <c r="GY2490" s="223"/>
      <c r="GZ2490" s="223"/>
      <c r="HA2490" s="223"/>
      <c r="HB2490" s="223"/>
      <c r="HC2490" s="223"/>
      <c r="HD2490" s="223"/>
      <c r="HE2490" s="223"/>
      <c r="HF2490" s="223"/>
      <c r="HG2490" s="223"/>
      <c r="HH2490" s="223"/>
      <c r="HI2490" s="223"/>
      <c r="HJ2490" s="223"/>
      <c r="HK2490" s="223"/>
      <c r="HL2490" s="223"/>
      <c r="HM2490" s="223"/>
      <c r="HN2490" s="223"/>
      <c r="HO2490" s="223"/>
      <c r="HP2490" s="223"/>
      <c r="HQ2490" s="223"/>
      <c r="HR2490" s="223"/>
      <c r="HS2490" s="223"/>
      <c r="HT2490" s="223"/>
      <c r="HU2490" s="223"/>
      <c r="HV2490" s="223"/>
      <c r="HW2490" s="223"/>
      <c r="HX2490" s="223"/>
      <c r="HY2490" s="223"/>
      <c r="HZ2490" s="223"/>
      <c r="IA2490" s="223"/>
      <c r="IB2490" s="223"/>
      <c r="IC2490" s="223"/>
      <c r="ID2490" s="223"/>
      <c r="IE2490" s="223"/>
      <c r="IF2490" s="223"/>
      <c r="IG2490" s="223"/>
      <c r="IH2490" s="223"/>
      <c r="II2490" s="223"/>
      <c r="IJ2490" s="223"/>
      <c r="IK2490" s="223"/>
      <c r="IL2490" s="223"/>
      <c r="IM2490" s="223"/>
      <c r="IN2490" s="223"/>
      <c r="IO2490" s="223"/>
      <c r="IP2490" s="223"/>
      <c r="IQ2490" s="223"/>
      <c r="IR2490" s="223"/>
      <c r="IS2490" s="223"/>
      <c r="IT2490" s="223"/>
      <c r="IU2490" s="223"/>
      <c r="IV2490" s="223"/>
    </row>
    <row r="2491" spans="22:256" s="221" customFormat="1" x14ac:dyDescent="0.2">
      <c r="V2491" s="223"/>
      <c r="W2491" s="223"/>
      <c r="X2491" s="223"/>
      <c r="Y2491" s="223"/>
      <c r="Z2491" s="223"/>
      <c r="AA2491" s="223"/>
      <c r="AB2491" s="223"/>
      <c r="AC2491" s="223"/>
      <c r="AD2491" s="223"/>
      <c r="AE2491" s="223"/>
      <c r="AF2491" s="223"/>
      <c r="AG2491" s="223"/>
      <c r="AH2491" s="223"/>
      <c r="AI2491" s="223"/>
      <c r="AJ2491" s="223"/>
      <c r="AK2491" s="223"/>
      <c r="AL2491" s="223"/>
      <c r="AM2491" s="223"/>
      <c r="AN2491" s="223"/>
      <c r="AO2491" s="223"/>
      <c r="AP2491" s="223"/>
      <c r="AQ2491" s="223"/>
      <c r="AR2491" s="223"/>
      <c r="AS2491" s="223"/>
      <c r="AT2491" s="324"/>
      <c r="AU2491" s="324"/>
      <c r="AV2491" s="223"/>
      <c r="AW2491" s="223"/>
      <c r="AX2491" s="223"/>
      <c r="AY2491" s="223"/>
      <c r="AZ2491" s="223"/>
      <c r="BA2491" s="223"/>
      <c r="BB2491" s="223"/>
      <c r="BC2491" s="223"/>
      <c r="BD2491" s="223"/>
      <c r="BE2491" s="223"/>
      <c r="BF2491" s="223"/>
      <c r="BG2491" s="223"/>
      <c r="BH2491" s="223"/>
      <c r="BI2491" s="223"/>
      <c r="BJ2491" s="223"/>
      <c r="BK2491" s="223"/>
      <c r="BL2491" s="223"/>
      <c r="BM2491" s="223"/>
      <c r="BN2491" s="223"/>
      <c r="BO2491" s="223"/>
      <c r="BP2491" s="223"/>
      <c r="BQ2491" s="223"/>
      <c r="BR2491" s="223"/>
      <c r="BS2491" s="223"/>
      <c r="BT2491" s="223"/>
      <c r="BU2491" s="223"/>
      <c r="BV2491" s="223"/>
      <c r="BW2491" s="223"/>
      <c r="BX2491" s="223"/>
      <c r="BY2491" s="223"/>
      <c r="BZ2491" s="223"/>
      <c r="CA2491" s="223"/>
      <c r="CB2491" s="223"/>
      <c r="CC2491" s="223"/>
      <c r="CD2491" s="223"/>
      <c r="CE2491" s="223"/>
      <c r="CF2491" s="223"/>
      <c r="CG2491" s="223"/>
      <c r="CH2491" s="223"/>
      <c r="CI2491" s="223"/>
      <c r="CJ2491" s="223"/>
      <c r="CK2491" s="223"/>
      <c r="CL2491" s="223"/>
      <c r="CM2491" s="223"/>
      <c r="CN2491" s="223"/>
      <c r="CO2491" s="223"/>
      <c r="CP2491" s="223"/>
      <c r="CQ2491" s="223"/>
      <c r="CR2491" s="223"/>
      <c r="CS2491" s="223"/>
      <c r="CT2491" s="223"/>
      <c r="CU2491" s="223"/>
      <c r="CV2491" s="223"/>
      <c r="CW2491" s="223"/>
      <c r="CX2491" s="223"/>
      <c r="CY2491" s="223"/>
      <c r="CZ2491" s="223"/>
      <c r="DA2491" s="223"/>
      <c r="DB2491" s="223"/>
      <c r="DC2491" s="223"/>
      <c r="DD2491" s="223"/>
      <c r="DE2491" s="223"/>
      <c r="DF2491" s="223"/>
      <c r="DG2491" s="223"/>
      <c r="DH2491" s="223"/>
      <c r="DI2491" s="223"/>
      <c r="DJ2491" s="223"/>
      <c r="DK2491" s="223"/>
      <c r="DL2491" s="223"/>
      <c r="DM2491" s="223"/>
      <c r="DN2491" s="223"/>
      <c r="DO2491" s="223"/>
      <c r="DP2491" s="223"/>
      <c r="DQ2491" s="223"/>
      <c r="DR2491" s="223"/>
      <c r="DS2491" s="223"/>
      <c r="DT2491" s="223"/>
      <c r="DU2491" s="223"/>
      <c r="DV2491" s="223"/>
      <c r="DW2491" s="223"/>
      <c r="DX2491" s="223"/>
      <c r="DY2491" s="223"/>
      <c r="DZ2491" s="223"/>
      <c r="EA2491" s="223"/>
      <c r="EB2491" s="223"/>
      <c r="EC2491" s="223"/>
      <c r="ED2491" s="223"/>
      <c r="EE2491" s="223"/>
      <c r="EF2491" s="223"/>
      <c r="EG2491" s="223"/>
      <c r="EH2491" s="223"/>
      <c r="EI2491" s="223"/>
      <c r="EJ2491" s="223"/>
      <c r="EK2491" s="223"/>
      <c r="EL2491" s="223"/>
      <c r="EM2491" s="223"/>
      <c r="EN2491" s="223"/>
      <c r="EO2491" s="223"/>
      <c r="EP2491" s="223"/>
      <c r="EQ2491" s="223"/>
      <c r="ER2491" s="223"/>
      <c r="ES2491" s="223"/>
      <c r="ET2491" s="223"/>
      <c r="EU2491" s="223"/>
      <c r="EV2491" s="223"/>
      <c r="EW2491" s="223"/>
      <c r="EX2491" s="223"/>
      <c r="EY2491" s="223"/>
      <c r="EZ2491" s="223"/>
      <c r="FA2491" s="223"/>
      <c r="FB2491" s="223"/>
      <c r="FC2491" s="223"/>
      <c r="FD2491" s="223"/>
      <c r="FE2491" s="223"/>
      <c r="FF2491" s="223"/>
      <c r="FG2491" s="223"/>
      <c r="FH2491" s="223"/>
      <c r="FI2491" s="223"/>
      <c r="FJ2491" s="223"/>
      <c r="FK2491" s="223"/>
      <c r="FL2491" s="223"/>
      <c r="FM2491" s="223"/>
      <c r="FN2491" s="223"/>
      <c r="FO2491" s="223"/>
      <c r="FP2491" s="223"/>
      <c r="FQ2491" s="223"/>
      <c r="FR2491" s="223"/>
      <c r="FS2491" s="223"/>
      <c r="FT2491" s="223"/>
      <c r="FU2491" s="223"/>
      <c r="FV2491" s="223"/>
      <c r="FW2491" s="223"/>
      <c r="FX2491" s="223"/>
      <c r="FY2491" s="223"/>
      <c r="FZ2491" s="223"/>
      <c r="GA2491" s="223"/>
      <c r="GB2491" s="223"/>
      <c r="GC2491" s="223"/>
      <c r="GD2491" s="223"/>
      <c r="GE2491" s="223"/>
      <c r="GF2491" s="223"/>
      <c r="GG2491" s="223"/>
      <c r="GH2491" s="223"/>
      <c r="GI2491" s="223"/>
      <c r="GJ2491" s="223"/>
      <c r="GK2491" s="223"/>
      <c r="GL2491" s="223"/>
      <c r="GM2491" s="223"/>
      <c r="GN2491" s="223"/>
      <c r="GO2491" s="223"/>
      <c r="GP2491" s="223"/>
      <c r="GQ2491" s="223"/>
      <c r="GR2491" s="223"/>
      <c r="GS2491" s="223"/>
      <c r="GT2491" s="223"/>
      <c r="GU2491" s="223"/>
      <c r="GV2491" s="223"/>
      <c r="GW2491" s="223"/>
      <c r="GX2491" s="223"/>
      <c r="GY2491" s="223"/>
      <c r="GZ2491" s="223"/>
      <c r="HA2491" s="223"/>
      <c r="HB2491" s="223"/>
      <c r="HC2491" s="223"/>
      <c r="HD2491" s="223"/>
      <c r="HE2491" s="223"/>
      <c r="HF2491" s="223"/>
      <c r="HG2491" s="223"/>
      <c r="HH2491" s="223"/>
      <c r="HI2491" s="223"/>
      <c r="HJ2491" s="223"/>
      <c r="HK2491" s="223"/>
      <c r="HL2491" s="223"/>
      <c r="HM2491" s="223"/>
      <c r="HN2491" s="223"/>
      <c r="HO2491" s="223"/>
      <c r="HP2491" s="223"/>
      <c r="HQ2491" s="223"/>
      <c r="HR2491" s="223"/>
      <c r="HS2491" s="223"/>
      <c r="HT2491" s="223"/>
      <c r="HU2491" s="223"/>
      <c r="HV2491" s="223"/>
      <c r="HW2491" s="223"/>
      <c r="HX2491" s="223"/>
      <c r="HY2491" s="223"/>
      <c r="HZ2491" s="223"/>
      <c r="IA2491" s="223"/>
      <c r="IB2491" s="223"/>
      <c r="IC2491" s="223"/>
      <c r="ID2491" s="223"/>
      <c r="IE2491" s="223"/>
      <c r="IF2491" s="223"/>
      <c r="IG2491" s="223"/>
      <c r="IH2491" s="223"/>
      <c r="II2491" s="223"/>
      <c r="IJ2491" s="223"/>
      <c r="IK2491" s="223"/>
      <c r="IL2491" s="223"/>
      <c r="IM2491" s="223"/>
      <c r="IN2491" s="223"/>
      <c r="IO2491" s="223"/>
      <c r="IP2491" s="223"/>
      <c r="IQ2491" s="223"/>
      <c r="IR2491" s="223"/>
      <c r="IS2491" s="223"/>
      <c r="IT2491" s="223"/>
      <c r="IU2491" s="223"/>
      <c r="IV2491" s="223"/>
    </row>
    <row r="2492" spans="22:256" s="221" customFormat="1" x14ac:dyDescent="0.2">
      <c r="V2492" s="223"/>
      <c r="W2492" s="223"/>
      <c r="X2492" s="223"/>
      <c r="Y2492" s="223"/>
      <c r="Z2492" s="223"/>
      <c r="AA2492" s="223"/>
      <c r="AB2492" s="223"/>
      <c r="AC2492" s="223"/>
      <c r="AD2492" s="223"/>
      <c r="AE2492" s="223"/>
      <c r="AF2492" s="223"/>
      <c r="AG2492" s="223"/>
      <c r="AH2492" s="223"/>
      <c r="AI2492" s="223"/>
      <c r="AJ2492" s="223"/>
      <c r="AK2492" s="223"/>
      <c r="AL2492" s="223"/>
      <c r="AM2492" s="223"/>
      <c r="AN2492" s="223"/>
      <c r="AO2492" s="223"/>
      <c r="AP2492" s="223"/>
      <c r="AQ2492" s="223"/>
      <c r="AR2492" s="223"/>
      <c r="AS2492" s="223"/>
      <c r="AT2492" s="324"/>
      <c r="AU2492" s="324"/>
      <c r="AV2492" s="223"/>
      <c r="AW2492" s="223"/>
      <c r="AX2492" s="223"/>
      <c r="AY2492" s="223"/>
      <c r="AZ2492" s="223"/>
      <c r="BA2492" s="223"/>
      <c r="BB2492" s="223"/>
      <c r="BC2492" s="223"/>
      <c r="BD2492" s="223"/>
      <c r="BE2492" s="223"/>
      <c r="BF2492" s="223"/>
      <c r="BG2492" s="223"/>
      <c r="BH2492" s="223"/>
      <c r="BI2492" s="223"/>
      <c r="BJ2492" s="223"/>
      <c r="BK2492" s="223"/>
      <c r="BL2492" s="223"/>
      <c r="BM2492" s="223"/>
      <c r="BN2492" s="223"/>
      <c r="BO2492" s="223"/>
      <c r="BP2492" s="223"/>
      <c r="BQ2492" s="223"/>
      <c r="BR2492" s="223"/>
      <c r="BS2492" s="223"/>
      <c r="BT2492" s="223"/>
      <c r="BU2492" s="223"/>
      <c r="BV2492" s="223"/>
      <c r="BW2492" s="223"/>
      <c r="BX2492" s="223"/>
      <c r="BY2492" s="223"/>
      <c r="BZ2492" s="223"/>
      <c r="CA2492" s="223"/>
      <c r="CB2492" s="223"/>
      <c r="CC2492" s="223"/>
      <c r="CD2492" s="223"/>
      <c r="CE2492" s="223"/>
      <c r="CF2492" s="223"/>
      <c r="CG2492" s="223"/>
      <c r="CH2492" s="223"/>
      <c r="CI2492" s="223"/>
      <c r="CJ2492" s="223"/>
      <c r="CK2492" s="223"/>
      <c r="CL2492" s="223"/>
      <c r="CM2492" s="223"/>
      <c r="CN2492" s="223"/>
      <c r="CO2492" s="223"/>
      <c r="CP2492" s="223"/>
      <c r="CQ2492" s="223"/>
      <c r="CR2492" s="223"/>
      <c r="CS2492" s="223"/>
      <c r="CT2492" s="223"/>
      <c r="CU2492" s="223"/>
      <c r="CV2492" s="223"/>
      <c r="CW2492" s="223"/>
      <c r="CX2492" s="223"/>
      <c r="CY2492" s="223"/>
      <c r="CZ2492" s="223"/>
      <c r="DA2492" s="223"/>
      <c r="DB2492" s="223"/>
      <c r="DC2492" s="223"/>
      <c r="DD2492" s="223"/>
      <c r="DE2492" s="223"/>
      <c r="DF2492" s="223"/>
      <c r="DG2492" s="223"/>
      <c r="DH2492" s="223"/>
      <c r="DI2492" s="223"/>
      <c r="DJ2492" s="223"/>
      <c r="DK2492" s="223"/>
      <c r="DL2492" s="223"/>
      <c r="DM2492" s="223"/>
      <c r="DN2492" s="223"/>
      <c r="DO2492" s="223"/>
      <c r="DP2492" s="223"/>
      <c r="DQ2492" s="223"/>
      <c r="DR2492" s="223"/>
      <c r="DS2492" s="223"/>
      <c r="DT2492" s="223"/>
      <c r="DU2492" s="223"/>
      <c r="DV2492" s="223"/>
      <c r="DW2492" s="223"/>
      <c r="DX2492" s="223"/>
      <c r="DY2492" s="223"/>
      <c r="DZ2492" s="223"/>
      <c r="EA2492" s="223"/>
      <c r="EB2492" s="223"/>
      <c r="EC2492" s="223"/>
      <c r="ED2492" s="223"/>
      <c r="EE2492" s="223"/>
      <c r="EF2492" s="223"/>
      <c r="EG2492" s="223"/>
      <c r="EH2492" s="223"/>
      <c r="EI2492" s="223"/>
      <c r="EJ2492" s="223"/>
      <c r="EK2492" s="223"/>
      <c r="EL2492" s="223"/>
      <c r="EM2492" s="223"/>
      <c r="EN2492" s="223"/>
      <c r="EO2492" s="223"/>
      <c r="EP2492" s="223"/>
      <c r="EQ2492" s="223"/>
      <c r="ER2492" s="223"/>
      <c r="ES2492" s="223"/>
      <c r="ET2492" s="223"/>
      <c r="EU2492" s="223"/>
      <c r="EV2492" s="223"/>
      <c r="EW2492" s="223"/>
      <c r="EX2492" s="223"/>
      <c r="EY2492" s="223"/>
      <c r="EZ2492" s="223"/>
      <c r="FA2492" s="223"/>
      <c r="FB2492" s="223"/>
      <c r="FC2492" s="223"/>
      <c r="FD2492" s="223"/>
      <c r="FE2492" s="223"/>
      <c r="FF2492" s="223"/>
      <c r="FG2492" s="223"/>
      <c r="FH2492" s="223"/>
      <c r="FI2492" s="223"/>
      <c r="FJ2492" s="223"/>
      <c r="FK2492" s="223"/>
      <c r="FL2492" s="223"/>
      <c r="FM2492" s="223"/>
      <c r="FN2492" s="223"/>
      <c r="FO2492" s="223"/>
      <c r="FP2492" s="223"/>
      <c r="FQ2492" s="223"/>
      <c r="FR2492" s="223"/>
      <c r="FS2492" s="223"/>
      <c r="FT2492" s="223"/>
      <c r="FU2492" s="223"/>
      <c r="FV2492" s="223"/>
      <c r="FW2492" s="223"/>
      <c r="FX2492" s="223"/>
      <c r="FY2492" s="223"/>
      <c r="FZ2492" s="223"/>
      <c r="GA2492" s="223"/>
      <c r="GB2492" s="223"/>
      <c r="GC2492" s="223"/>
      <c r="GD2492" s="223"/>
      <c r="GE2492" s="223"/>
      <c r="GF2492" s="223"/>
      <c r="GG2492" s="223"/>
      <c r="GH2492" s="223"/>
      <c r="GI2492" s="223"/>
      <c r="GJ2492" s="223"/>
      <c r="GK2492" s="223"/>
      <c r="GL2492" s="223"/>
      <c r="GM2492" s="223"/>
      <c r="GN2492" s="223"/>
      <c r="GO2492" s="223"/>
      <c r="GP2492" s="223"/>
      <c r="GQ2492" s="223"/>
      <c r="GR2492" s="223"/>
      <c r="GS2492" s="223"/>
      <c r="GT2492" s="223"/>
      <c r="GU2492" s="223"/>
      <c r="GV2492" s="223"/>
      <c r="GW2492" s="223"/>
      <c r="GX2492" s="223"/>
      <c r="GY2492" s="223"/>
      <c r="GZ2492" s="223"/>
      <c r="HA2492" s="223"/>
      <c r="HB2492" s="223"/>
      <c r="HC2492" s="223"/>
      <c r="HD2492" s="223"/>
      <c r="HE2492" s="223"/>
      <c r="HF2492" s="223"/>
      <c r="HG2492" s="223"/>
      <c r="HH2492" s="223"/>
      <c r="HI2492" s="223"/>
      <c r="HJ2492" s="223"/>
      <c r="HK2492" s="223"/>
      <c r="HL2492" s="223"/>
      <c r="HM2492" s="223"/>
      <c r="HN2492" s="223"/>
      <c r="HO2492" s="223"/>
      <c r="HP2492" s="223"/>
      <c r="HQ2492" s="223"/>
      <c r="HR2492" s="223"/>
      <c r="HS2492" s="223"/>
      <c r="HT2492" s="223"/>
      <c r="HU2492" s="223"/>
      <c r="HV2492" s="223"/>
      <c r="HW2492" s="223"/>
      <c r="HX2492" s="223"/>
      <c r="HY2492" s="223"/>
      <c r="HZ2492" s="223"/>
      <c r="IA2492" s="223"/>
      <c r="IB2492" s="223"/>
      <c r="IC2492" s="223"/>
      <c r="ID2492" s="223"/>
      <c r="IE2492" s="223"/>
      <c r="IF2492" s="223"/>
      <c r="IG2492" s="223"/>
      <c r="IH2492" s="223"/>
      <c r="II2492" s="223"/>
      <c r="IJ2492" s="223"/>
      <c r="IK2492" s="223"/>
      <c r="IL2492" s="223"/>
      <c r="IM2492" s="223"/>
      <c r="IN2492" s="223"/>
      <c r="IO2492" s="223"/>
      <c r="IP2492" s="223"/>
      <c r="IQ2492" s="223"/>
      <c r="IR2492" s="223"/>
      <c r="IS2492" s="223"/>
      <c r="IT2492" s="223"/>
      <c r="IU2492" s="223"/>
      <c r="IV2492" s="223"/>
    </row>
    <row r="2493" spans="22:256" s="221" customFormat="1" x14ac:dyDescent="0.2">
      <c r="V2493" s="223"/>
      <c r="W2493" s="223"/>
      <c r="X2493" s="223"/>
      <c r="Y2493" s="223"/>
      <c r="Z2493" s="223"/>
      <c r="AA2493" s="223"/>
      <c r="AB2493" s="223"/>
      <c r="AC2493" s="223"/>
      <c r="AD2493" s="223"/>
      <c r="AE2493" s="223"/>
      <c r="AF2493" s="223"/>
      <c r="AG2493" s="223"/>
      <c r="AH2493" s="223"/>
      <c r="AI2493" s="223"/>
      <c r="AJ2493" s="223"/>
      <c r="AK2493" s="223"/>
      <c r="AL2493" s="223"/>
      <c r="AM2493" s="223"/>
      <c r="AN2493" s="223"/>
      <c r="AO2493" s="223"/>
      <c r="AP2493" s="223"/>
      <c r="AQ2493" s="223"/>
      <c r="AR2493" s="223"/>
      <c r="AS2493" s="223"/>
      <c r="AT2493" s="324"/>
      <c r="AU2493" s="324"/>
      <c r="AV2493" s="223"/>
      <c r="AW2493" s="223"/>
      <c r="AX2493" s="223"/>
      <c r="AY2493" s="223"/>
      <c r="AZ2493" s="223"/>
      <c r="BA2493" s="223"/>
      <c r="BB2493" s="223"/>
      <c r="BC2493" s="223"/>
      <c r="BD2493" s="223"/>
      <c r="BE2493" s="223"/>
      <c r="BF2493" s="223"/>
      <c r="BG2493" s="223"/>
      <c r="BH2493" s="223"/>
      <c r="BI2493" s="223"/>
      <c r="BJ2493" s="223"/>
      <c r="BK2493" s="223"/>
      <c r="BL2493" s="223"/>
      <c r="BM2493" s="223"/>
      <c r="BN2493" s="223"/>
      <c r="BO2493" s="223"/>
      <c r="BP2493" s="223"/>
      <c r="BQ2493" s="223"/>
      <c r="BR2493" s="223"/>
      <c r="BS2493" s="223"/>
      <c r="BT2493" s="223"/>
      <c r="BU2493" s="223"/>
      <c r="BV2493" s="223"/>
      <c r="BW2493" s="223"/>
      <c r="BX2493" s="223"/>
      <c r="BY2493" s="223"/>
      <c r="BZ2493" s="223"/>
      <c r="CA2493" s="223"/>
      <c r="CB2493" s="223"/>
      <c r="CC2493" s="223"/>
      <c r="CD2493" s="223"/>
      <c r="CE2493" s="223"/>
      <c r="CF2493" s="223"/>
      <c r="CG2493" s="223"/>
      <c r="CH2493" s="223"/>
      <c r="CI2493" s="223"/>
      <c r="CJ2493" s="223"/>
      <c r="CK2493" s="223"/>
      <c r="CL2493" s="223"/>
      <c r="CM2493" s="223"/>
      <c r="CN2493" s="223"/>
      <c r="CO2493" s="223"/>
      <c r="CP2493" s="223"/>
      <c r="CQ2493" s="223"/>
      <c r="CR2493" s="223"/>
      <c r="CS2493" s="223"/>
      <c r="CT2493" s="223"/>
      <c r="CU2493" s="223"/>
      <c r="CV2493" s="223"/>
      <c r="CW2493" s="223"/>
      <c r="CX2493" s="223"/>
      <c r="CY2493" s="223"/>
      <c r="CZ2493" s="223"/>
      <c r="DA2493" s="223"/>
      <c r="DB2493" s="223"/>
      <c r="DC2493" s="223"/>
      <c r="DD2493" s="223"/>
      <c r="DE2493" s="223"/>
      <c r="DF2493" s="223"/>
      <c r="DG2493" s="223"/>
      <c r="DH2493" s="223"/>
      <c r="DI2493" s="223"/>
      <c r="DJ2493" s="223"/>
      <c r="DK2493" s="223"/>
      <c r="DL2493" s="223"/>
      <c r="DM2493" s="223"/>
      <c r="DN2493" s="223"/>
      <c r="DO2493" s="223"/>
      <c r="DP2493" s="223"/>
      <c r="DQ2493" s="223"/>
      <c r="DR2493" s="223"/>
      <c r="DS2493" s="223"/>
      <c r="DT2493" s="223"/>
      <c r="DU2493" s="223"/>
      <c r="DV2493" s="223"/>
      <c r="DW2493" s="223"/>
      <c r="DX2493" s="223"/>
      <c r="DY2493" s="223"/>
      <c r="DZ2493" s="223"/>
      <c r="EA2493" s="223"/>
      <c r="EB2493" s="223"/>
      <c r="EC2493" s="223"/>
      <c r="ED2493" s="223"/>
      <c r="EE2493" s="223"/>
      <c r="EF2493" s="223"/>
      <c r="EG2493" s="223"/>
      <c r="EH2493" s="223"/>
      <c r="EI2493" s="223"/>
      <c r="EJ2493" s="223"/>
      <c r="EK2493" s="223"/>
      <c r="EL2493" s="223"/>
      <c r="EM2493" s="223"/>
      <c r="EN2493" s="223"/>
      <c r="EO2493" s="223"/>
      <c r="EP2493" s="223"/>
      <c r="EQ2493" s="223"/>
      <c r="ER2493" s="223"/>
      <c r="ES2493" s="223"/>
      <c r="ET2493" s="223"/>
      <c r="EU2493" s="223"/>
      <c r="EV2493" s="223"/>
      <c r="EW2493" s="223"/>
      <c r="EX2493" s="223"/>
      <c r="EY2493" s="223"/>
      <c r="EZ2493" s="223"/>
      <c r="FA2493" s="223"/>
      <c r="FB2493" s="223"/>
      <c r="FC2493" s="223"/>
      <c r="FD2493" s="223"/>
      <c r="FE2493" s="223"/>
      <c r="FF2493" s="223"/>
      <c r="FG2493" s="223"/>
      <c r="FH2493" s="223"/>
      <c r="FI2493" s="223"/>
      <c r="FJ2493" s="223"/>
      <c r="FK2493" s="223"/>
      <c r="FL2493" s="223"/>
      <c r="FM2493" s="223"/>
      <c r="FN2493" s="223"/>
      <c r="FO2493" s="223"/>
      <c r="FP2493" s="223"/>
      <c r="FQ2493" s="223"/>
      <c r="FR2493" s="223"/>
      <c r="FS2493" s="223"/>
      <c r="FT2493" s="223"/>
      <c r="FU2493" s="223"/>
      <c r="FV2493" s="223"/>
      <c r="FW2493" s="223"/>
      <c r="FX2493" s="223"/>
      <c r="FY2493" s="223"/>
      <c r="FZ2493" s="223"/>
      <c r="GA2493" s="223"/>
      <c r="GB2493" s="223"/>
      <c r="GC2493" s="223"/>
      <c r="GD2493" s="223"/>
      <c r="GE2493" s="223"/>
      <c r="GF2493" s="223"/>
      <c r="GG2493" s="223"/>
      <c r="GH2493" s="223"/>
      <c r="GI2493" s="223"/>
      <c r="GJ2493" s="223"/>
      <c r="GK2493" s="223"/>
      <c r="GL2493" s="223"/>
      <c r="GM2493" s="223"/>
      <c r="GN2493" s="223"/>
      <c r="GO2493" s="223"/>
      <c r="GP2493" s="223"/>
      <c r="GQ2493" s="223"/>
      <c r="GR2493" s="223"/>
      <c r="GS2493" s="223"/>
      <c r="GT2493" s="223"/>
      <c r="GU2493" s="223"/>
      <c r="GV2493" s="223"/>
      <c r="GW2493" s="223"/>
      <c r="GX2493" s="223"/>
      <c r="GY2493" s="223"/>
      <c r="GZ2493" s="223"/>
      <c r="HA2493" s="223"/>
      <c r="HB2493" s="223"/>
      <c r="HC2493" s="223"/>
      <c r="HD2493" s="223"/>
      <c r="HE2493" s="223"/>
      <c r="HF2493" s="223"/>
      <c r="HG2493" s="223"/>
      <c r="HH2493" s="223"/>
      <c r="HI2493" s="223"/>
      <c r="HJ2493" s="223"/>
      <c r="HK2493" s="223"/>
      <c r="HL2493" s="223"/>
      <c r="HM2493" s="223"/>
      <c r="HN2493" s="223"/>
      <c r="HO2493" s="223"/>
      <c r="HP2493" s="223"/>
      <c r="HQ2493" s="223"/>
      <c r="HR2493" s="223"/>
      <c r="HS2493" s="223"/>
      <c r="HT2493" s="223"/>
      <c r="HU2493" s="223"/>
      <c r="HV2493" s="223"/>
      <c r="HW2493" s="223"/>
      <c r="HX2493" s="223"/>
      <c r="HY2493" s="223"/>
      <c r="HZ2493" s="223"/>
      <c r="IA2493" s="223"/>
      <c r="IB2493" s="223"/>
      <c r="IC2493" s="223"/>
      <c r="ID2493" s="223"/>
      <c r="IE2493" s="223"/>
      <c r="IF2493" s="223"/>
      <c r="IG2493" s="223"/>
      <c r="IH2493" s="223"/>
      <c r="II2493" s="223"/>
      <c r="IJ2493" s="223"/>
      <c r="IK2493" s="223"/>
      <c r="IL2493" s="223"/>
      <c r="IM2493" s="223"/>
      <c r="IN2493" s="223"/>
      <c r="IO2493" s="223"/>
      <c r="IP2493" s="223"/>
      <c r="IQ2493" s="223"/>
      <c r="IR2493" s="223"/>
      <c r="IS2493" s="223"/>
      <c r="IT2493" s="223"/>
      <c r="IU2493" s="223"/>
      <c r="IV2493" s="223"/>
    </row>
    <row r="2494" spans="22:256" s="221" customFormat="1" x14ac:dyDescent="0.2">
      <c r="V2494" s="223"/>
      <c r="W2494" s="223"/>
      <c r="X2494" s="223"/>
      <c r="Y2494" s="223"/>
      <c r="Z2494" s="223"/>
      <c r="AA2494" s="223"/>
      <c r="AB2494" s="223"/>
      <c r="AC2494" s="223"/>
      <c r="AD2494" s="223"/>
      <c r="AE2494" s="223"/>
      <c r="AF2494" s="223"/>
      <c r="AG2494" s="223"/>
      <c r="AH2494" s="223"/>
      <c r="AI2494" s="223"/>
      <c r="AJ2494" s="223"/>
      <c r="AK2494" s="223"/>
      <c r="AL2494" s="223"/>
      <c r="AM2494" s="223"/>
      <c r="AN2494" s="223"/>
      <c r="AO2494" s="223"/>
      <c r="AP2494" s="223"/>
      <c r="AQ2494" s="223"/>
      <c r="AR2494" s="223"/>
      <c r="AS2494" s="223"/>
      <c r="AT2494" s="324"/>
      <c r="AU2494" s="324"/>
      <c r="AV2494" s="223"/>
      <c r="AW2494" s="223"/>
      <c r="AX2494" s="223"/>
      <c r="AY2494" s="223"/>
      <c r="AZ2494" s="223"/>
      <c r="BA2494" s="223"/>
      <c r="BB2494" s="223"/>
      <c r="BC2494" s="223"/>
      <c r="BD2494" s="223"/>
      <c r="BE2494" s="223"/>
      <c r="BF2494" s="223"/>
      <c r="BG2494" s="223"/>
      <c r="BH2494" s="223"/>
      <c r="BI2494" s="223"/>
      <c r="BJ2494" s="223"/>
      <c r="BK2494" s="223"/>
      <c r="BL2494" s="223"/>
      <c r="BM2494" s="223"/>
      <c r="BN2494" s="223"/>
      <c r="BO2494" s="223"/>
      <c r="BP2494" s="223"/>
      <c r="BQ2494" s="223"/>
      <c r="BR2494" s="223"/>
      <c r="BS2494" s="223"/>
      <c r="BT2494" s="223"/>
      <c r="BU2494" s="223"/>
      <c r="BV2494" s="223"/>
      <c r="BW2494" s="223"/>
      <c r="BX2494" s="223"/>
      <c r="BY2494" s="223"/>
      <c r="BZ2494" s="223"/>
      <c r="CA2494" s="223"/>
      <c r="CB2494" s="223"/>
      <c r="CC2494" s="223"/>
      <c r="CD2494" s="223"/>
      <c r="CE2494" s="223"/>
      <c r="CF2494" s="223"/>
      <c r="CG2494" s="223"/>
      <c r="CH2494" s="223"/>
      <c r="CI2494" s="223"/>
      <c r="CJ2494" s="223"/>
      <c r="CK2494" s="223"/>
      <c r="CL2494" s="223"/>
      <c r="CM2494" s="223"/>
      <c r="CN2494" s="223"/>
      <c r="CO2494" s="223"/>
      <c r="CP2494" s="223"/>
      <c r="CQ2494" s="223"/>
      <c r="CR2494" s="223"/>
      <c r="CS2494" s="223"/>
      <c r="CT2494" s="223"/>
      <c r="CU2494" s="223"/>
      <c r="CV2494" s="223"/>
      <c r="CW2494" s="223"/>
      <c r="CX2494" s="223"/>
      <c r="CY2494" s="223"/>
      <c r="CZ2494" s="223"/>
      <c r="DA2494" s="223"/>
      <c r="DB2494" s="223"/>
      <c r="DC2494" s="223"/>
      <c r="DD2494" s="223"/>
      <c r="DE2494" s="223"/>
      <c r="DF2494" s="223"/>
      <c r="DG2494" s="223"/>
      <c r="DH2494" s="223"/>
      <c r="DI2494" s="223"/>
      <c r="DJ2494" s="223"/>
      <c r="DK2494" s="223"/>
      <c r="DL2494" s="223"/>
      <c r="DM2494" s="223"/>
      <c r="DN2494" s="223"/>
      <c r="DO2494" s="223"/>
      <c r="DP2494" s="223"/>
      <c r="DQ2494" s="223"/>
      <c r="DR2494" s="223"/>
      <c r="DS2494" s="223"/>
      <c r="DT2494" s="223"/>
      <c r="DU2494" s="223"/>
      <c r="DV2494" s="223"/>
      <c r="DW2494" s="223"/>
      <c r="DX2494" s="223"/>
      <c r="DY2494" s="223"/>
      <c r="DZ2494" s="223"/>
      <c r="EA2494" s="223"/>
      <c r="EB2494" s="223"/>
      <c r="EC2494" s="223"/>
      <c r="ED2494" s="223"/>
      <c r="EE2494" s="223"/>
      <c r="EF2494" s="223"/>
      <c r="EG2494" s="223"/>
      <c r="EH2494" s="223"/>
      <c r="EI2494" s="223"/>
      <c r="EJ2494" s="223"/>
      <c r="EK2494" s="223"/>
      <c r="EL2494" s="223"/>
      <c r="EM2494" s="223"/>
      <c r="EN2494" s="223"/>
      <c r="EO2494" s="223"/>
      <c r="EP2494" s="223"/>
      <c r="EQ2494" s="223"/>
      <c r="ER2494" s="223"/>
      <c r="ES2494" s="223"/>
      <c r="ET2494" s="223"/>
      <c r="EU2494" s="223"/>
      <c r="EV2494" s="223"/>
      <c r="EW2494" s="223"/>
      <c r="EX2494" s="223"/>
      <c r="EY2494" s="223"/>
      <c r="EZ2494" s="223"/>
      <c r="FA2494" s="223"/>
      <c r="FB2494" s="223"/>
      <c r="FC2494" s="223"/>
      <c r="FD2494" s="223"/>
      <c r="FE2494" s="223"/>
      <c r="FF2494" s="223"/>
      <c r="FG2494" s="223"/>
      <c r="FH2494" s="223"/>
      <c r="FI2494" s="223"/>
      <c r="FJ2494" s="223"/>
      <c r="FK2494" s="223"/>
      <c r="FL2494" s="223"/>
      <c r="FM2494" s="223"/>
      <c r="FN2494" s="223"/>
      <c r="FO2494" s="223"/>
      <c r="FP2494" s="223"/>
      <c r="FQ2494" s="223"/>
      <c r="FR2494" s="223"/>
      <c r="FS2494" s="223"/>
      <c r="FT2494" s="223"/>
      <c r="FU2494" s="223"/>
      <c r="FV2494" s="223"/>
      <c r="FW2494" s="223"/>
      <c r="FX2494" s="223"/>
      <c r="FY2494" s="223"/>
      <c r="FZ2494" s="223"/>
      <c r="GA2494" s="223"/>
      <c r="GB2494" s="223"/>
      <c r="GC2494" s="223"/>
      <c r="GD2494" s="223"/>
      <c r="GE2494" s="223"/>
      <c r="GF2494" s="223"/>
      <c r="GG2494" s="223"/>
      <c r="GH2494" s="223"/>
      <c r="GI2494" s="223"/>
      <c r="GJ2494" s="223"/>
      <c r="GK2494" s="223"/>
      <c r="GL2494" s="223"/>
      <c r="GM2494" s="223"/>
      <c r="GN2494" s="223"/>
      <c r="GO2494" s="223"/>
      <c r="GP2494" s="223"/>
      <c r="GQ2494" s="223"/>
      <c r="GR2494" s="223"/>
      <c r="GS2494" s="223"/>
      <c r="GT2494" s="223"/>
      <c r="GU2494" s="223"/>
      <c r="GV2494" s="223"/>
      <c r="GW2494" s="223"/>
      <c r="GX2494" s="223"/>
      <c r="GY2494" s="223"/>
      <c r="GZ2494" s="223"/>
      <c r="HA2494" s="223"/>
      <c r="HB2494" s="223"/>
      <c r="HC2494" s="223"/>
      <c r="HD2494" s="223"/>
      <c r="HE2494" s="223"/>
      <c r="HF2494" s="223"/>
      <c r="HG2494" s="223"/>
      <c r="HH2494" s="223"/>
      <c r="HI2494" s="223"/>
      <c r="HJ2494" s="223"/>
      <c r="HK2494" s="223"/>
      <c r="HL2494" s="223"/>
      <c r="HM2494" s="223"/>
      <c r="HN2494" s="223"/>
      <c r="HO2494" s="223"/>
      <c r="HP2494" s="223"/>
      <c r="HQ2494" s="223"/>
      <c r="HR2494" s="223"/>
      <c r="HS2494" s="223"/>
      <c r="HT2494" s="223"/>
      <c r="HU2494" s="223"/>
      <c r="HV2494" s="223"/>
      <c r="HW2494" s="223"/>
      <c r="HX2494" s="223"/>
      <c r="HY2494" s="223"/>
      <c r="HZ2494" s="223"/>
      <c r="IA2494" s="223"/>
      <c r="IB2494" s="223"/>
      <c r="IC2494" s="223"/>
      <c r="ID2494" s="223"/>
      <c r="IE2494" s="223"/>
      <c r="IF2494" s="223"/>
      <c r="IG2494" s="223"/>
      <c r="IH2494" s="223"/>
      <c r="II2494" s="223"/>
      <c r="IJ2494" s="223"/>
      <c r="IK2494" s="223"/>
      <c r="IL2494" s="223"/>
      <c r="IM2494" s="223"/>
      <c r="IN2494" s="223"/>
      <c r="IO2494" s="223"/>
      <c r="IP2494" s="223"/>
      <c r="IQ2494" s="223"/>
      <c r="IR2494" s="223"/>
      <c r="IS2494" s="223"/>
      <c r="IT2494" s="223"/>
      <c r="IU2494" s="223"/>
      <c r="IV2494" s="223"/>
    </row>
    <row r="2495" spans="22:256" s="221" customFormat="1" x14ac:dyDescent="0.2">
      <c r="V2495" s="223"/>
      <c r="W2495" s="223"/>
      <c r="X2495" s="223"/>
      <c r="Y2495" s="223"/>
      <c r="Z2495" s="223"/>
      <c r="AA2495" s="223"/>
      <c r="AB2495" s="223"/>
      <c r="AC2495" s="223"/>
      <c r="AD2495" s="223"/>
      <c r="AE2495" s="223"/>
      <c r="AF2495" s="223"/>
      <c r="AG2495" s="223"/>
      <c r="AH2495" s="223"/>
      <c r="AI2495" s="223"/>
      <c r="AJ2495" s="223"/>
      <c r="AK2495" s="223"/>
      <c r="AL2495" s="223"/>
      <c r="AM2495" s="223"/>
      <c r="AN2495" s="223"/>
      <c r="AO2495" s="223"/>
      <c r="AP2495" s="223"/>
      <c r="AQ2495" s="223"/>
      <c r="AR2495" s="223"/>
      <c r="AS2495" s="223"/>
      <c r="AT2495" s="324"/>
      <c r="AU2495" s="324"/>
      <c r="AV2495" s="223"/>
      <c r="AW2495" s="223"/>
      <c r="AX2495" s="223"/>
      <c r="AY2495" s="223"/>
      <c r="AZ2495" s="223"/>
      <c r="BA2495" s="223"/>
      <c r="BB2495" s="223"/>
      <c r="BC2495" s="223"/>
      <c r="BD2495" s="223"/>
      <c r="BE2495" s="223"/>
      <c r="BF2495" s="223"/>
      <c r="BG2495" s="223"/>
      <c r="BH2495" s="223"/>
      <c r="BI2495" s="223"/>
      <c r="BJ2495" s="223"/>
      <c r="BK2495" s="223"/>
      <c r="BL2495" s="223"/>
      <c r="BM2495" s="223"/>
      <c r="BN2495" s="223"/>
      <c r="BO2495" s="223"/>
      <c r="BP2495" s="223"/>
      <c r="BQ2495" s="223"/>
      <c r="BR2495" s="223"/>
      <c r="BS2495" s="223"/>
      <c r="BT2495" s="223"/>
      <c r="BU2495" s="223"/>
      <c r="BV2495" s="223"/>
      <c r="BW2495" s="223"/>
      <c r="BX2495" s="223"/>
      <c r="BY2495" s="223"/>
      <c r="BZ2495" s="223"/>
      <c r="CA2495" s="223"/>
      <c r="CB2495" s="223"/>
      <c r="CC2495" s="223"/>
      <c r="CD2495" s="223"/>
      <c r="CE2495" s="223"/>
      <c r="CF2495" s="223"/>
      <c r="CG2495" s="223"/>
      <c r="CH2495" s="223"/>
      <c r="CI2495" s="223"/>
      <c r="CJ2495" s="223"/>
      <c r="CK2495" s="223"/>
      <c r="CL2495" s="223"/>
      <c r="CM2495" s="223"/>
      <c r="CN2495" s="223"/>
      <c r="CO2495" s="223"/>
      <c r="CP2495" s="223"/>
      <c r="CQ2495" s="223"/>
      <c r="CR2495" s="223"/>
      <c r="CS2495" s="223"/>
      <c r="CT2495" s="223"/>
      <c r="CU2495" s="223"/>
      <c r="CV2495" s="223"/>
      <c r="CW2495" s="223"/>
      <c r="CX2495" s="223"/>
      <c r="CY2495" s="223"/>
      <c r="CZ2495" s="223"/>
      <c r="DA2495" s="223"/>
      <c r="DB2495" s="223"/>
      <c r="DC2495" s="223"/>
      <c r="DD2495" s="223"/>
      <c r="DE2495" s="223"/>
      <c r="DF2495" s="223"/>
      <c r="DG2495" s="223"/>
      <c r="DH2495" s="223"/>
      <c r="DI2495" s="223"/>
      <c r="DJ2495" s="223"/>
      <c r="DK2495" s="223"/>
      <c r="DL2495" s="223"/>
      <c r="DM2495" s="223"/>
      <c r="DN2495" s="223"/>
      <c r="DO2495" s="223"/>
      <c r="DP2495" s="223"/>
      <c r="DQ2495" s="223"/>
      <c r="DR2495" s="223"/>
      <c r="DS2495" s="223"/>
      <c r="DT2495" s="223"/>
      <c r="DU2495" s="223"/>
      <c r="DV2495" s="223"/>
      <c r="DW2495" s="223"/>
      <c r="DX2495" s="223"/>
      <c r="DY2495" s="223"/>
      <c r="DZ2495" s="223"/>
      <c r="EA2495" s="223"/>
      <c r="EB2495" s="223"/>
      <c r="EC2495" s="223"/>
      <c r="ED2495" s="223"/>
      <c r="EE2495" s="223"/>
      <c r="EF2495" s="223"/>
      <c r="EG2495" s="223"/>
      <c r="EH2495" s="223"/>
      <c r="EI2495" s="223"/>
      <c r="EJ2495" s="223"/>
      <c r="EK2495" s="223"/>
      <c r="EL2495" s="223"/>
      <c r="EM2495" s="223"/>
      <c r="EN2495" s="223"/>
      <c r="EO2495" s="223"/>
      <c r="EP2495" s="223"/>
      <c r="EQ2495" s="223"/>
      <c r="ER2495" s="223"/>
      <c r="ES2495" s="223"/>
      <c r="ET2495" s="223"/>
      <c r="EU2495" s="223"/>
      <c r="EV2495" s="223"/>
      <c r="EW2495" s="223"/>
      <c r="EX2495" s="223"/>
      <c r="EY2495" s="223"/>
      <c r="EZ2495" s="223"/>
      <c r="FA2495" s="223"/>
      <c r="FB2495" s="223"/>
      <c r="FC2495" s="223"/>
      <c r="FD2495" s="223"/>
      <c r="FE2495" s="223"/>
      <c r="FF2495" s="223"/>
      <c r="FG2495" s="223"/>
      <c r="FH2495" s="223"/>
      <c r="FI2495" s="223"/>
      <c r="FJ2495" s="223"/>
      <c r="FK2495" s="223"/>
      <c r="FL2495" s="223"/>
      <c r="FM2495" s="223"/>
      <c r="FN2495" s="223"/>
      <c r="FO2495" s="223"/>
      <c r="FP2495" s="223"/>
      <c r="FQ2495" s="223"/>
      <c r="FR2495" s="223"/>
      <c r="FS2495" s="223"/>
      <c r="FT2495" s="223"/>
      <c r="FU2495" s="223"/>
      <c r="FV2495" s="223"/>
      <c r="FW2495" s="223"/>
      <c r="FX2495" s="223"/>
      <c r="FY2495" s="223"/>
      <c r="FZ2495" s="223"/>
      <c r="GA2495" s="223"/>
      <c r="GB2495" s="223"/>
      <c r="GC2495" s="223"/>
      <c r="GD2495" s="223"/>
      <c r="GE2495" s="223"/>
      <c r="GF2495" s="223"/>
      <c r="GG2495" s="223"/>
      <c r="GH2495" s="223"/>
      <c r="GI2495" s="223"/>
      <c r="GJ2495" s="223"/>
      <c r="GK2495" s="223"/>
      <c r="GL2495" s="223"/>
      <c r="GM2495" s="223"/>
      <c r="GN2495" s="223"/>
      <c r="GO2495" s="223"/>
      <c r="GP2495" s="223"/>
      <c r="GQ2495" s="223"/>
      <c r="GR2495" s="223"/>
      <c r="GS2495" s="223"/>
      <c r="GT2495" s="223"/>
      <c r="GU2495" s="223"/>
      <c r="GV2495" s="223"/>
      <c r="GW2495" s="223"/>
      <c r="GX2495" s="223"/>
      <c r="GY2495" s="223"/>
      <c r="GZ2495" s="223"/>
      <c r="HA2495" s="223"/>
      <c r="HB2495" s="223"/>
      <c r="HC2495" s="223"/>
      <c r="HD2495" s="223"/>
      <c r="HE2495" s="223"/>
      <c r="HF2495" s="223"/>
      <c r="HG2495" s="223"/>
      <c r="HH2495" s="223"/>
      <c r="HI2495" s="223"/>
      <c r="HJ2495" s="223"/>
      <c r="HK2495" s="223"/>
      <c r="HL2495" s="223"/>
      <c r="HM2495" s="223"/>
      <c r="HN2495" s="223"/>
      <c r="HO2495" s="223"/>
      <c r="HP2495" s="223"/>
      <c r="HQ2495" s="223"/>
      <c r="HR2495" s="223"/>
      <c r="HS2495" s="223"/>
      <c r="HT2495" s="223"/>
      <c r="HU2495" s="223"/>
      <c r="HV2495" s="223"/>
      <c r="HW2495" s="223"/>
      <c r="HX2495" s="223"/>
      <c r="HY2495" s="223"/>
      <c r="HZ2495" s="223"/>
      <c r="IA2495" s="223"/>
      <c r="IB2495" s="223"/>
      <c r="IC2495" s="223"/>
      <c r="ID2495" s="223"/>
      <c r="IE2495" s="223"/>
      <c r="IF2495" s="223"/>
      <c r="IG2495" s="223"/>
      <c r="IH2495" s="223"/>
      <c r="II2495" s="223"/>
      <c r="IJ2495" s="223"/>
      <c r="IK2495" s="223"/>
      <c r="IL2495" s="223"/>
      <c r="IM2495" s="223"/>
      <c r="IN2495" s="223"/>
      <c r="IO2495" s="223"/>
      <c r="IP2495" s="223"/>
      <c r="IQ2495" s="223"/>
      <c r="IR2495" s="223"/>
      <c r="IS2495" s="223"/>
      <c r="IT2495" s="223"/>
      <c r="IU2495" s="223"/>
      <c r="IV2495" s="223"/>
    </row>
    <row r="2496" spans="22:256" s="221" customFormat="1" x14ac:dyDescent="0.2">
      <c r="V2496" s="223"/>
      <c r="W2496" s="223"/>
      <c r="X2496" s="223"/>
      <c r="Y2496" s="223"/>
      <c r="Z2496" s="223"/>
      <c r="AA2496" s="223"/>
      <c r="AB2496" s="223"/>
      <c r="AC2496" s="223"/>
      <c r="AD2496" s="223"/>
      <c r="AE2496" s="223"/>
      <c r="AF2496" s="223"/>
      <c r="AG2496" s="223"/>
      <c r="AH2496" s="223"/>
      <c r="AI2496" s="223"/>
      <c r="AJ2496" s="223"/>
      <c r="AK2496" s="223"/>
      <c r="AL2496" s="223"/>
      <c r="AM2496" s="223"/>
      <c r="AN2496" s="223"/>
      <c r="AO2496" s="223"/>
      <c r="AP2496" s="223"/>
      <c r="AQ2496" s="223"/>
      <c r="AR2496" s="223"/>
      <c r="AS2496" s="223"/>
      <c r="AT2496" s="324"/>
      <c r="AU2496" s="324"/>
      <c r="AV2496" s="223"/>
      <c r="AW2496" s="223"/>
      <c r="AX2496" s="223"/>
      <c r="AY2496" s="223"/>
      <c r="AZ2496" s="223"/>
      <c r="BA2496" s="223"/>
      <c r="BB2496" s="223"/>
      <c r="BC2496" s="223"/>
      <c r="BD2496" s="223"/>
      <c r="BE2496" s="223"/>
      <c r="BF2496" s="223"/>
      <c r="BG2496" s="223"/>
      <c r="BH2496" s="223"/>
      <c r="BI2496" s="223"/>
      <c r="BJ2496" s="223"/>
      <c r="BK2496" s="223"/>
      <c r="BL2496" s="223"/>
      <c r="BM2496" s="223"/>
      <c r="BN2496" s="223"/>
      <c r="BO2496" s="223"/>
      <c r="BP2496" s="223"/>
      <c r="BQ2496" s="223"/>
      <c r="BR2496" s="223"/>
      <c r="BS2496" s="223"/>
      <c r="BT2496" s="223"/>
      <c r="BU2496" s="223"/>
      <c r="BV2496" s="223"/>
      <c r="BW2496" s="223"/>
      <c r="BX2496" s="223"/>
      <c r="BY2496" s="223"/>
      <c r="BZ2496" s="223"/>
      <c r="CA2496" s="223"/>
      <c r="CB2496" s="223"/>
      <c r="CC2496" s="223"/>
      <c r="CD2496" s="223"/>
      <c r="CE2496" s="223"/>
      <c r="CF2496" s="223"/>
      <c r="CG2496" s="223"/>
      <c r="CH2496" s="223"/>
      <c r="CI2496" s="223"/>
      <c r="CJ2496" s="223"/>
      <c r="CK2496" s="223"/>
      <c r="CL2496" s="223"/>
      <c r="CM2496" s="223"/>
      <c r="CN2496" s="223"/>
      <c r="CO2496" s="223"/>
      <c r="CP2496" s="223"/>
      <c r="CQ2496" s="223"/>
      <c r="CR2496" s="223"/>
      <c r="CS2496" s="223"/>
      <c r="CT2496" s="223"/>
      <c r="CU2496" s="223"/>
      <c r="CV2496" s="223"/>
      <c r="CW2496" s="223"/>
      <c r="CX2496" s="223"/>
      <c r="CY2496" s="223"/>
      <c r="CZ2496" s="223"/>
      <c r="DA2496" s="223"/>
      <c r="DB2496" s="223"/>
      <c r="DC2496" s="223"/>
      <c r="DD2496" s="223"/>
      <c r="DE2496" s="223"/>
      <c r="DF2496" s="223"/>
      <c r="DG2496" s="223"/>
      <c r="DH2496" s="223"/>
      <c r="DI2496" s="223"/>
      <c r="DJ2496" s="223"/>
      <c r="DK2496" s="223"/>
      <c r="DL2496" s="223"/>
      <c r="DM2496" s="223"/>
      <c r="DN2496" s="223"/>
      <c r="DO2496" s="223"/>
      <c r="DP2496" s="223"/>
      <c r="DQ2496" s="223"/>
      <c r="DR2496" s="223"/>
      <c r="DS2496" s="223"/>
      <c r="DT2496" s="223"/>
      <c r="DU2496" s="223"/>
      <c r="DV2496" s="223"/>
      <c r="DW2496" s="223"/>
      <c r="DX2496" s="223"/>
      <c r="DY2496" s="223"/>
      <c r="DZ2496" s="223"/>
      <c r="EA2496" s="223"/>
      <c r="EB2496" s="223"/>
      <c r="EC2496" s="223"/>
      <c r="ED2496" s="223"/>
      <c r="EE2496" s="223"/>
      <c r="EF2496" s="223"/>
      <c r="EG2496" s="223"/>
      <c r="EH2496" s="223"/>
      <c r="EI2496" s="223"/>
      <c r="EJ2496" s="223"/>
      <c r="EK2496" s="223"/>
      <c r="EL2496" s="223"/>
      <c r="EM2496" s="223"/>
      <c r="EN2496" s="223"/>
      <c r="EO2496" s="223"/>
      <c r="EP2496" s="223"/>
      <c r="EQ2496" s="223"/>
      <c r="ER2496" s="223"/>
      <c r="ES2496" s="223"/>
      <c r="ET2496" s="223"/>
      <c r="EU2496" s="223"/>
      <c r="EV2496" s="223"/>
      <c r="EW2496" s="223"/>
      <c r="EX2496" s="223"/>
      <c r="EY2496" s="223"/>
      <c r="EZ2496" s="223"/>
      <c r="FA2496" s="223"/>
      <c r="FB2496" s="223"/>
      <c r="FC2496" s="223"/>
      <c r="FD2496" s="223"/>
      <c r="FE2496" s="223"/>
      <c r="FF2496" s="223"/>
      <c r="FG2496" s="223"/>
      <c r="FH2496" s="223"/>
      <c r="FI2496" s="223"/>
      <c r="FJ2496" s="223"/>
      <c r="FK2496" s="223"/>
      <c r="FL2496" s="223"/>
      <c r="FM2496" s="223"/>
      <c r="FN2496" s="223"/>
      <c r="FO2496" s="223"/>
      <c r="FP2496" s="223"/>
      <c r="FQ2496" s="223"/>
      <c r="FR2496" s="223"/>
      <c r="FS2496" s="223"/>
      <c r="FT2496" s="223"/>
      <c r="FU2496" s="223"/>
      <c r="FV2496" s="223"/>
      <c r="FW2496" s="223"/>
      <c r="FX2496" s="223"/>
      <c r="FY2496" s="223"/>
      <c r="FZ2496" s="223"/>
      <c r="GA2496" s="223"/>
      <c r="GB2496" s="223"/>
      <c r="GC2496" s="223"/>
      <c r="GD2496" s="223"/>
      <c r="GE2496" s="223"/>
      <c r="GF2496" s="223"/>
      <c r="GG2496" s="223"/>
      <c r="GH2496" s="223"/>
      <c r="GI2496" s="223"/>
      <c r="GJ2496" s="223"/>
      <c r="GK2496" s="223"/>
      <c r="GL2496" s="223"/>
      <c r="GM2496" s="223"/>
      <c r="GN2496" s="223"/>
      <c r="GO2496" s="223"/>
      <c r="GP2496" s="223"/>
      <c r="GQ2496" s="223"/>
      <c r="GR2496" s="223"/>
      <c r="GS2496" s="223"/>
      <c r="GT2496" s="223"/>
      <c r="GU2496" s="223"/>
      <c r="GV2496" s="223"/>
      <c r="GW2496" s="223"/>
      <c r="GX2496" s="223"/>
      <c r="GY2496" s="223"/>
      <c r="GZ2496" s="223"/>
      <c r="HA2496" s="223"/>
      <c r="HB2496" s="223"/>
      <c r="HC2496" s="223"/>
      <c r="HD2496" s="223"/>
      <c r="HE2496" s="223"/>
      <c r="HF2496" s="223"/>
      <c r="HG2496" s="223"/>
      <c r="HH2496" s="223"/>
      <c r="HI2496" s="223"/>
      <c r="HJ2496" s="223"/>
      <c r="HK2496" s="223"/>
      <c r="HL2496" s="223"/>
      <c r="HM2496" s="223"/>
      <c r="HN2496" s="223"/>
      <c r="HO2496" s="223"/>
      <c r="HP2496" s="223"/>
      <c r="HQ2496" s="223"/>
      <c r="HR2496" s="223"/>
      <c r="HS2496" s="223"/>
      <c r="HT2496" s="223"/>
      <c r="HU2496" s="223"/>
      <c r="HV2496" s="223"/>
      <c r="HW2496" s="223"/>
      <c r="HX2496" s="223"/>
      <c r="HY2496" s="223"/>
      <c r="HZ2496" s="223"/>
      <c r="IA2496" s="223"/>
      <c r="IB2496" s="223"/>
      <c r="IC2496" s="223"/>
      <c r="ID2496" s="223"/>
      <c r="IE2496" s="223"/>
      <c r="IF2496" s="223"/>
      <c r="IG2496" s="223"/>
      <c r="IH2496" s="223"/>
      <c r="II2496" s="223"/>
      <c r="IJ2496" s="223"/>
      <c r="IK2496" s="223"/>
      <c r="IL2496" s="223"/>
      <c r="IM2496" s="223"/>
      <c r="IN2496" s="223"/>
      <c r="IO2496" s="223"/>
      <c r="IP2496" s="223"/>
      <c r="IQ2496" s="223"/>
      <c r="IR2496" s="223"/>
      <c r="IS2496" s="223"/>
      <c r="IT2496" s="223"/>
      <c r="IU2496" s="223"/>
      <c r="IV2496" s="223"/>
    </row>
    <row r="2497" spans="22:256" s="221" customFormat="1" x14ac:dyDescent="0.2">
      <c r="V2497" s="223"/>
      <c r="W2497" s="223"/>
      <c r="X2497" s="223"/>
      <c r="Y2497" s="223"/>
      <c r="Z2497" s="223"/>
      <c r="AA2497" s="223"/>
      <c r="AB2497" s="223"/>
      <c r="AC2497" s="223"/>
      <c r="AD2497" s="223"/>
      <c r="AE2497" s="223"/>
      <c r="AF2497" s="223"/>
      <c r="AG2497" s="223"/>
      <c r="AH2497" s="223"/>
      <c r="AI2497" s="223"/>
      <c r="AJ2497" s="223"/>
      <c r="AK2497" s="223"/>
      <c r="AL2497" s="223"/>
      <c r="AM2497" s="223"/>
      <c r="AN2497" s="223"/>
      <c r="AO2497" s="223"/>
      <c r="AP2497" s="223"/>
      <c r="AQ2497" s="223"/>
      <c r="AR2497" s="223"/>
      <c r="AS2497" s="223"/>
      <c r="AT2497" s="324"/>
      <c r="AU2497" s="324"/>
      <c r="AV2497" s="223"/>
      <c r="AW2497" s="223"/>
      <c r="AX2497" s="223"/>
      <c r="AY2497" s="223"/>
      <c r="AZ2497" s="223"/>
      <c r="BA2497" s="223"/>
      <c r="BB2497" s="223"/>
      <c r="BC2497" s="223"/>
      <c r="BD2497" s="223"/>
      <c r="BE2497" s="223"/>
      <c r="BF2497" s="223"/>
      <c r="BG2497" s="223"/>
      <c r="BH2497" s="223"/>
      <c r="BI2497" s="223"/>
      <c r="BJ2497" s="223"/>
      <c r="BK2497" s="223"/>
      <c r="BL2497" s="223"/>
      <c r="BM2497" s="223"/>
      <c r="BN2497" s="223"/>
      <c r="BO2497" s="223"/>
      <c r="BP2497" s="223"/>
      <c r="BQ2497" s="223"/>
      <c r="BR2497" s="223"/>
      <c r="BS2497" s="223"/>
      <c r="BT2497" s="223"/>
      <c r="BU2497" s="223"/>
      <c r="BV2497" s="223"/>
      <c r="BW2497" s="223"/>
      <c r="BX2497" s="223"/>
      <c r="BY2497" s="223"/>
      <c r="BZ2497" s="223"/>
      <c r="CA2497" s="223"/>
      <c r="CB2497" s="223"/>
      <c r="CC2497" s="223"/>
      <c r="CD2497" s="223"/>
      <c r="CE2497" s="223"/>
      <c r="CF2497" s="223"/>
      <c r="CG2497" s="223"/>
      <c r="CH2497" s="223"/>
      <c r="CI2497" s="223"/>
      <c r="CJ2497" s="223"/>
      <c r="CK2497" s="223"/>
      <c r="CL2497" s="223"/>
      <c r="CM2497" s="223"/>
      <c r="CN2497" s="223"/>
      <c r="CO2497" s="223"/>
      <c r="CP2497" s="223"/>
      <c r="CQ2497" s="223"/>
      <c r="CR2497" s="223"/>
      <c r="CS2497" s="223"/>
      <c r="CT2497" s="223"/>
      <c r="CU2497" s="223"/>
      <c r="CV2497" s="223"/>
      <c r="CW2497" s="223"/>
      <c r="CX2497" s="223"/>
      <c r="CY2497" s="223"/>
      <c r="CZ2497" s="223"/>
      <c r="DA2497" s="223"/>
      <c r="DB2497" s="223"/>
      <c r="DC2497" s="223"/>
      <c r="DD2497" s="223"/>
      <c r="DE2497" s="223"/>
      <c r="DF2497" s="223"/>
      <c r="DG2497" s="223"/>
      <c r="DH2497" s="223"/>
      <c r="DI2497" s="223"/>
      <c r="DJ2497" s="223"/>
      <c r="DK2497" s="223"/>
      <c r="DL2497" s="223"/>
      <c r="DM2497" s="223"/>
      <c r="DN2497" s="223"/>
      <c r="DO2497" s="223"/>
      <c r="DP2497" s="223"/>
      <c r="DQ2497" s="223"/>
      <c r="DR2497" s="223"/>
      <c r="DS2497" s="223"/>
      <c r="DT2497" s="223"/>
      <c r="DU2497" s="223"/>
      <c r="DV2497" s="223"/>
      <c r="DW2497" s="223"/>
      <c r="DX2497" s="223"/>
      <c r="DY2497" s="223"/>
      <c r="DZ2497" s="223"/>
      <c r="EA2497" s="223"/>
      <c r="EB2497" s="223"/>
      <c r="EC2497" s="223"/>
      <c r="ED2497" s="223"/>
      <c r="EE2497" s="223"/>
      <c r="EF2497" s="223"/>
      <c r="EG2497" s="223"/>
      <c r="EH2497" s="223"/>
      <c r="EI2497" s="223"/>
      <c r="EJ2497" s="223"/>
      <c r="EK2497" s="223"/>
      <c r="EL2497" s="223"/>
      <c r="EM2497" s="223"/>
      <c r="EN2497" s="223"/>
      <c r="EO2497" s="223"/>
      <c r="EP2497" s="223"/>
      <c r="EQ2497" s="223"/>
      <c r="ER2497" s="223"/>
      <c r="ES2497" s="223"/>
      <c r="ET2497" s="223"/>
      <c r="EU2497" s="223"/>
      <c r="EV2497" s="223"/>
      <c r="EW2497" s="223"/>
      <c r="EX2497" s="223"/>
      <c r="EY2497" s="223"/>
      <c r="EZ2497" s="223"/>
      <c r="FA2497" s="223"/>
      <c r="FB2497" s="223"/>
      <c r="FC2497" s="223"/>
      <c r="FD2497" s="223"/>
      <c r="FE2497" s="223"/>
      <c r="FF2497" s="223"/>
      <c r="FG2497" s="223"/>
      <c r="FH2497" s="223"/>
      <c r="FI2497" s="223"/>
      <c r="FJ2497" s="223"/>
      <c r="FK2497" s="223"/>
      <c r="FL2497" s="223"/>
      <c r="FM2497" s="223"/>
      <c r="FN2497" s="223"/>
      <c r="FO2497" s="223"/>
      <c r="FP2497" s="223"/>
      <c r="FQ2497" s="223"/>
      <c r="FR2497" s="223"/>
      <c r="FS2497" s="223"/>
      <c r="FT2497" s="223"/>
      <c r="FU2497" s="223"/>
      <c r="FV2497" s="223"/>
      <c r="FW2497" s="223"/>
      <c r="FX2497" s="223"/>
      <c r="FY2497" s="223"/>
      <c r="FZ2497" s="223"/>
      <c r="GA2497" s="223"/>
      <c r="GB2497" s="223"/>
      <c r="GC2497" s="223"/>
      <c r="GD2497" s="223"/>
      <c r="GE2497" s="223"/>
      <c r="GF2497" s="223"/>
      <c r="GG2497" s="223"/>
      <c r="GH2497" s="223"/>
      <c r="GI2497" s="223"/>
      <c r="GJ2497" s="223"/>
      <c r="GK2497" s="223"/>
      <c r="GL2497" s="223"/>
      <c r="GM2497" s="223"/>
      <c r="GN2497" s="223"/>
      <c r="GO2497" s="223"/>
      <c r="GP2497" s="223"/>
      <c r="GQ2497" s="223"/>
      <c r="GR2497" s="223"/>
      <c r="GS2497" s="223"/>
      <c r="GT2497" s="223"/>
      <c r="GU2497" s="223"/>
      <c r="GV2497" s="223"/>
      <c r="GW2497" s="223"/>
      <c r="GX2497" s="223"/>
      <c r="GY2497" s="223"/>
      <c r="GZ2497" s="223"/>
      <c r="HA2497" s="223"/>
      <c r="HB2497" s="223"/>
      <c r="HC2497" s="223"/>
      <c r="HD2497" s="223"/>
      <c r="HE2497" s="223"/>
      <c r="HF2497" s="223"/>
      <c r="HG2497" s="223"/>
      <c r="HH2497" s="223"/>
      <c r="HI2497" s="223"/>
      <c r="HJ2497" s="223"/>
      <c r="HK2497" s="223"/>
      <c r="HL2497" s="223"/>
      <c r="HM2497" s="223"/>
      <c r="HN2497" s="223"/>
      <c r="HO2497" s="223"/>
      <c r="HP2497" s="223"/>
      <c r="HQ2497" s="223"/>
      <c r="HR2497" s="223"/>
      <c r="HS2497" s="223"/>
      <c r="HT2497" s="223"/>
      <c r="HU2497" s="223"/>
      <c r="HV2497" s="223"/>
      <c r="HW2497" s="223"/>
      <c r="HX2497" s="223"/>
      <c r="HY2497" s="223"/>
      <c r="HZ2497" s="223"/>
      <c r="IA2497" s="223"/>
      <c r="IB2497" s="223"/>
      <c r="IC2497" s="223"/>
      <c r="ID2497" s="223"/>
      <c r="IE2497" s="223"/>
      <c r="IF2497" s="223"/>
      <c r="IG2497" s="223"/>
      <c r="IH2497" s="223"/>
      <c r="II2497" s="223"/>
      <c r="IJ2497" s="223"/>
      <c r="IK2497" s="223"/>
      <c r="IL2497" s="223"/>
      <c r="IM2497" s="223"/>
      <c r="IN2497" s="223"/>
      <c r="IO2497" s="223"/>
      <c r="IP2497" s="223"/>
      <c r="IQ2497" s="223"/>
      <c r="IR2497" s="223"/>
      <c r="IS2497" s="223"/>
      <c r="IT2497" s="223"/>
      <c r="IU2497" s="223"/>
      <c r="IV2497" s="223"/>
    </row>
    <row r="2498" spans="22:256" s="221" customFormat="1" x14ac:dyDescent="0.2">
      <c r="V2498" s="223"/>
      <c r="W2498" s="223"/>
      <c r="X2498" s="223"/>
      <c r="Y2498" s="223"/>
      <c r="Z2498" s="223"/>
      <c r="AA2498" s="223"/>
      <c r="AB2498" s="223"/>
      <c r="AC2498" s="223"/>
      <c r="AD2498" s="223"/>
      <c r="AE2498" s="223"/>
      <c r="AF2498" s="223"/>
      <c r="AG2498" s="223"/>
      <c r="AH2498" s="223"/>
      <c r="AI2498" s="223"/>
      <c r="AJ2498" s="223"/>
      <c r="AK2498" s="223"/>
      <c r="AL2498" s="223"/>
      <c r="AM2498" s="223"/>
      <c r="AN2498" s="223"/>
      <c r="AO2498" s="223"/>
      <c r="AP2498" s="223"/>
      <c r="AQ2498" s="223"/>
      <c r="AR2498" s="223"/>
      <c r="AS2498" s="223"/>
      <c r="AT2498" s="324"/>
      <c r="AU2498" s="324"/>
      <c r="AV2498" s="223"/>
      <c r="AW2498" s="223"/>
      <c r="AX2498" s="223"/>
      <c r="AY2498" s="223"/>
      <c r="AZ2498" s="223"/>
      <c r="BA2498" s="223"/>
      <c r="BB2498" s="223"/>
      <c r="BC2498" s="223"/>
      <c r="BD2498" s="223"/>
      <c r="BE2498" s="223"/>
      <c r="BF2498" s="223"/>
      <c r="BG2498" s="223"/>
      <c r="BH2498" s="223"/>
      <c r="BI2498" s="223"/>
      <c r="BJ2498" s="223"/>
      <c r="BK2498" s="223"/>
      <c r="BL2498" s="223"/>
      <c r="BM2498" s="223"/>
      <c r="BN2498" s="223"/>
      <c r="BO2498" s="223"/>
      <c r="BP2498" s="223"/>
      <c r="BQ2498" s="223"/>
      <c r="BR2498" s="223"/>
      <c r="BS2498" s="223"/>
      <c r="BT2498" s="223"/>
      <c r="BU2498" s="223"/>
      <c r="BV2498" s="223"/>
      <c r="BW2498" s="223"/>
      <c r="BX2498" s="223"/>
      <c r="BY2498" s="223"/>
      <c r="BZ2498" s="223"/>
      <c r="CA2498" s="223"/>
      <c r="CB2498" s="223"/>
      <c r="CC2498" s="223"/>
      <c r="CD2498" s="223"/>
      <c r="CE2498" s="223"/>
      <c r="CF2498" s="223"/>
      <c r="CG2498" s="223"/>
      <c r="CH2498" s="223"/>
      <c r="CI2498" s="223"/>
      <c r="CJ2498" s="223"/>
      <c r="CK2498" s="223"/>
      <c r="CL2498" s="223"/>
      <c r="CM2498" s="223"/>
      <c r="CN2498" s="223"/>
      <c r="CO2498" s="223"/>
      <c r="CP2498" s="223"/>
      <c r="CQ2498" s="223"/>
      <c r="CR2498" s="223"/>
      <c r="CS2498" s="223"/>
      <c r="CT2498" s="223"/>
      <c r="CU2498" s="223"/>
      <c r="CV2498" s="223"/>
      <c r="CW2498" s="223"/>
      <c r="CX2498" s="223"/>
      <c r="CY2498" s="223"/>
      <c r="CZ2498" s="223"/>
      <c r="DA2498" s="223"/>
      <c r="DB2498" s="223"/>
      <c r="DC2498" s="223"/>
      <c r="DD2498" s="223"/>
      <c r="DE2498" s="223"/>
      <c r="DF2498" s="223"/>
      <c r="DG2498" s="223"/>
      <c r="DH2498" s="223"/>
      <c r="DI2498" s="223"/>
      <c r="DJ2498" s="223"/>
      <c r="DK2498" s="223"/>
      <c r="DL2498" s="223"/>
      <c r="DM2498" s="223"/>
      <c r="DN2498" s="223"/>
      <c r="DO2498" s="223"/>
      <c r="DP2498" s="223"/>
      <c r="DQ2498" s="223"/>
      <c r="DR2498" s="223"/>
      <c r="DS2498" s="223"/>
      <c r="DT2498" s="223"/>
      <c r="DU2498" s="223"/>
      <c r="DV2498" s="223"/>
      <c r="DW2498" s="223"/>
      <c r="DX2498" s="223"/>
      <c r="DY2498" s="223"/>
      <c r="DZ2498" s="223"/>
      <c r="EA2498" s="223"/>
      <c r="EB2498" s="223"/>
      <c r="EC2498" s="223"/>
      <c r="ED2498" s="223"/>
      <c r="EE2498" s="223"/>
      <c r="EF2498" s="223"/>
      <c r="EG2498" s="223"/>
      <c r="EH2498" s="223"/>
      <c r="EI2498" s="223"/>
      <c r="EJ2498" s="223"/>
      <c r="EK2498" s="223"/>
      <c r="EL2498" s="223"/>
      <c r="EM2498" s="223"/>
      <c r="EN2498" s="223"/>
      <c r="EO2498" s="223"/>
      <c r="EP2498" s="223"/>
      <c r="EQ2498" s="223"/>
      <c r="ER2498" s="223"/>
      <c r="ES2498" s="223"/>
      <c r="ET2498" s="223"/>
      <c r="EU2498" s="223"/>
      <c r="EV2498" s="223"/>
      <c r="EW2498" s="223"/>
      <c r="EX2498" s="223"/>
      <c r="EY2498" s="223"/>
      <c r="EZ2498" s="223"/>
      <c r="FA2498" s="223"/>
      <c r="FB2498" s="223"/>
      <c r="FC2498" s="223"/>
      <c r="FD2498" s="223"/>
      <c r="FE2498" s="223"/>
      <c r="FF2498" s="223"/>
      <c r="FG2498" s="223"/>
      <c r="FH2498" s="223"/>
      <c r="FI2498" s="223"/>
      <c r="FJ2498" s="223"/>
      <c r="FK2498" s="223"/>
      <c r="FL2498" s="223"/>
      <c r="FM2498" s="223"/>
      <c r="FN2498" s="223"/>
      <c r="FO2498" s="223"/>
      <c r="FP2498" s="223"/>
      <c r="FQ2498" s="223"/>
      <c r="FR2498" s="223"/>
      <c r="FS2498" s="223"/>
      <c r="FT2498" s="223"/>
      <c r="FU2498" s="223"/>
      <c r="FV2498" s="223"/>
      <c r="FW2498" s="223"/>
      <c r="FX2498" s="223"/>
      <c r="FY2498" s="223"/>
      <c r="FZ2498" s="223"/>
      <c r="GA2498" s="223"/>
      <c r="GB2498" s="223"/>
      <c r="GC2498" s="223"/>
      <c r="GD2498" s="223"/>
      <c r="GE2498" s="223"/>
      <c r="GF2498" s="223"/>
      <c r="GG2498" s="223"/>
      <c r="GH2498" s="223"/>
      <c r="GI2498" s="223"/>
      <c r="GJ2498" s="223"/>
      <c r="GK2498" s="223"/>
      <c r="GL2498" s="223"/>
      <c r="GM2498" s="223"/>
      <c r="GN2498" s="223"/>
      <c r="GO2498" s="223"/>
      <c r="GP2498" s="223"/>
      <c r="GQ2498" s="223"/>
      <c r="GR2498" s="223"/>
      <c r="GS2498" s="223"/>
      <c r="GT2498" s="223"/>
      <c r="GU2498" s="223"/>
      <c r="GV2498" s="223"/>
      <c r="GW2498" s="223"/>
      <c r="GX2498" s="223"/>
      <c r="GY2498" s="223"/>
      <c r="GZ2498" s="223"/>
      <c r="HA2498" s="223"/>
      <c r="HB2498" s="223"/>
      <c r="HC2498" s="223"/>
      <c r="HD2498" s="223"/>
      <c r="HE2498" s="223"/>
      <c r="HF2498" s="223"/>
      <c r="HG2498" s="223"/>
      <c r="HH2498" s="223"/>
      <c r="HI2498" s="223"/>
      <c r="HJ2498" s="223"/>
      <c r="HK2498" s="223"/>
      <c r="HL2498" s="223"/>
      <c r="HM2498" s="223"/>
      <c r="HN2498" s="223"/>
      <c r="HO2498" s="223"/>
      <c r="HP2498" s="223"/>
      <c r="HQ2498" s="223"/>
      <c r="HR2498" s="223"/>
      <c r="HS2498" s="223"/>
      <c r="HT2498" s="223"/>
      <c r="HU2498" s="223"/>
      <c r="HV2498" s="223"/>
      <c r="HW2498" s="223"/>
      <c r="HX2498" s="223"/>
      <c r="HY2498" s="223"/>
      <c r="HZ2498" s="223"/>
      <c r="IA2498" s="223"/>
      <c r="IB2498" s="223"/>
      <c r="IC2498" s="223"/>
      <c r="ID2498" s="223"/>
      <c r="IE2498" s="223"/>
      <c r="IF2498" s="223"/>
      <c r="IG2498" s="223"/>
      <c r="IH2498" s="223"/>
      <c r="II2498" s="223"/>
      <c r="IJ2498" s="223"/>
      <c r="IK2498" s="223"/>
      <c r="IL2498" s="223"/>
      <c r="IM2498" s="223"/>
      <c r="IN2498" s="223"/>
      <c r="IO2498" s="223"/>
      <c r="IP2498" s="223"/>
      <c r="IQ2498" s="223"/>
      <c r="IR2498" s="223"/>
      <c r="IS2498" s="223"/>
      <c r="IT2498" s="223"/>
      <c r="IU2498" s="223"/>
      <c r="IV2498" s="223"/>
    </row>
    <row r="2499" spans="22:256" s="221" customFormat="1" x14ac:dyDescent="0.2">
      <c r="V2499" s="223"/>
      <c r="W2499" s="223"/>
      <c r="X2499" s="223"/>
      <c r="Y2499" s="223"/>
      <c r="Z2499" s="223"/>
      <c r="AA2499" s="223"/>
      <c r="AB2499" s="223"/>
      <c r="AC2499" s="223"/>
      <c r="AD2499" s="223"/>
      <c r="AE2499" s="223"/>
      <c r="AF2499" s="223"/>
      <c r="AG2499" s="223"/>
      <c r="AH2499" s="223"/>
      <c r="AI2499" s="223"/>
      <c r="AJ2499" s="223"/>
      <c r="AK2499" s="223"/>
      <c r="AL2499" s="223"/>
      <c r="AM2499" s="223"/>
      <c r="AN2499" s="223"/>
      <c r="AO2499" s="223"/>
      <c r="AP2499" s="223"/>
      <c r="AQ2499" s="223"/>
      <c r="AR2499" s="223"/>
      <c r="AS2499" s="223"/>
      <c r="AT2499" s="324"/>
      <c r="AU2499" s="324"/>
      <c r="AV2499" s="223"/>
      <c r="AW2499" s="223"/>
      <c r="AX2499" s="223"/>
      <c r="AY2499" s="223"/>
      <c r="AZ2499" s="223"/>
      <c r="BA2499" s="223"/>
      <c r="BB2499" s="223"/>
      <c r="BC2499" s="223"/>
      <c r="BD2499" s="223"/>
      <c r="BE2499" s="223"/>
      <c r="BF2499" s="223"/>
      <c r="BG2499" s="223"/>
      <c r="BH2499" s="223"/>
      <c r="BI2499" s="223"/>
      <c r="BJ2499" s="223"/>
      <c r="BK2499" s="223"/>
      <c r="BL2499" s="223"/>
      <c r="BM2499" s="223"/>
      <c r="BN2499" s="223"/>
      <c r="BO2499" s="223"/>
      <c r="BP2499" s="223"/>
      <c r="BQ2499" s="223"/>
      <c r="BR2499" s="223"/>
      <c r="BS2499" s="223"/>
      <c r="BT2499" s="223"/>
      <c r="BU2499" s="223"/>
      <c r="BV2499" s="223"/>
      <c r="BW2499" s="223"/>
      <c r="BX2499" s="223"/>
      <c r="BY2499" s="223"/>
      <c r="BZ2499" s="223"/>
      <c r="CA2499" s="223"/>
      <c r="CB2499" s="223"/>
      <c r="CC2499" s="223"/>
      <c r="CD2499" s="223"/>
      <c r="CE2499" s="223"/>
      <c r="CF2499" s="223"/>
      <c r="CG2499" s="223"/>
      <c r="CH2499" s="223"/>
      <c r="CI2499" s="223"/>
      <c r="CJ2499" s="223"/>
      <c r="CK2499" s="223"/>
      <c r="CL2499" s="223"/>
      <c r="CM2499" s="223"/>
      <c r="CN2499" s="223"/>
      <c r="CO2499" s="223"/>
      <c r="CP2499" s="223"/>
      <c r="CQ2499" s="223"/>
      <c r="CR2499" s="223"/>
      <c r="CS2499" s="223"/>
      <c r="CT2499" s="223"/>
      <c r="CU2499" s="223"/>
      <c r="CV2499" s="223"/>
      <c r="CW2499" s="223"/>
      <c r="CX2499" s="223"/>
      <c r="CY2499" s="223"/>
      <c r="CZ2499" s="223"/>
      <c r="DA2499" s="223"/>
      <c r="DB2499" s="223"/>
      <c r="DC2499" s="223"/>
      <c r="DD2499" s="223"/>
      <c r="DE2499" s="223"/>
      <c r="DF2499" s="223"/>
      <c r="DG2499" s="223"/>
      <c r="DH2499" s="223"/>
      <c r="DI2499" s="223"/>
      <c r="DJ2499" s="223"/>
      <c r="DK2499" s="223"/>
      <c r="DL2499" s="223"/>
      <c r="DM2499" s="223"/>
      <c r="DN2499" s="223"/>
      <c r="DO2499" s="223"/>
      <c r="DP2499" s="223"/>
      <c r="DQ2499" s="223"/>
      <c r="DR2499" s="223"/>
      <c r="DS2499" s="223"/>
      <c r="DT2499" s="223"/>
      <c r="DU2499" s="223"/>
      <c r="DV2499" s="223"/>
      <c r="DW2499" s="223"/>
      <c r="DX2499" s="223"/>
      <c r="DY2499" s="223"/>
      <c r="DZ2499" s="223"/>
      <c r="EA2499" s="223"/>
      <c r="EB2499" s="223"/>
      <c r="EC2499" s="223"/>
      <c r="ED2499" s="223"/>
      <c r="EE2499" s="223"/>
      <c r="EF2499" s="223"/>
      <c r="EG2499" s="223"/>
      <c r="EH2499" s="223"/>
      <c r="EI2499" s="223"/>
      <c r="EJ2499" s="223"/>
      <c r="EK2499" s="223"/>
      <c r="EL2499" s="223"/>
      <c r="EM2499" s="223"/>
      <c r="EN2499" s="223"/>
      <c r="EO2499" s="223"/>
      <c r="EP2499" s="223"/>
      <c r="EQ2499" s="223"/>
      <c r="ER2499" s="223"/>
      <c r="ES2499" s="223"/>
      <c r="ET2499" s="223"/>
      <c r="EU2499" s="223"/>
      <c r="EV2499" s="223"/>
      <c r="EW2499" s="223"/>
      <c r="EX2499" s="223"/>
      <c r="EY2499" s="223"/>
      <c r="EZ2499" s="223"/>
      <c r="FA2499" s="223"/>
      <c r="FB2499" s="223"/>
      <c r="FC2499" s="223"/>
      <c r="FD2499" s="223"/>
      <c r="FE2499" s="223"/>
      <c r="FF2499" s="223"/>
      <c r="FG2499" s="223"/>
      <c r="FH2499" s="223"/>
      <c r="FI2499" s="223"/>
      <c r="FJ2499" s="223"/>
      <c r="FK2499" s="223"/>
      <c r="FL2499" s="223"/>
      <c r="FM2499" s="223"/>
      <c r="FN2499" s="223"/>
      <c r="FO2499" s="223"/>
      <c r="FP2499" s="223"/>
      <c r="FQ2499" s="223"/>
      <c r="FR2499" s="223"/>
      <c r="FS2499" s="223"/>
      <c r="FT2499" s="223"/>
      <c r="FU2499" s="223"/>
      <c r="FV2499" s="223"/>
      <c r="FW2499" s="223"/>
      <c r="FX2499" s="223"/>
      <c r="FY2499" s="223"/>
      <c r="FZ2499" s="223"/>
      <c r="GA2499" s="223"/>
      <c r="GB2499" s="223"/>
      <c r="GC2499" s="223"/>
      <c r="GD2499" s="223"/>
      <c r="GE2499" s="223"/>
      <c r="GF2499" s="223"/>
      <c r="GG2499" s="223"/>
      <c r="GH2499" s="223"/>
      <c r="GI2499" s="223"/>
      <c r="GJ2499" s="223"/>
      <c r="GK2499" s="223"/>
      <c r="GL2499" s="223"/>
      <c r="GM2499" s="223"/>
      <c r="GN2499" s="223"/>
      <c r="GO2499" s="223"/>
      <c r="GP2499" s="223"/>
      <c r="GQ2499" s="223"/>
      <c r="GR2499" s="223"/>
      <c r="GS2499" s="223"/>
      <c r="GT2499" s="223"/>
      <c r="GU2499" s="223"/>
      <c r="GV2499" s="223"/>
      <c r="GW2499" s="223"/>
      <c r="GX2499" s="223"/>
      <c r="GY2499" s="223"/>
      <c r="GZ2499" s="223"/>
      <c r="HA2499" s="223"/>
      <c r="HB2499" s="223"/>
      <c r="HC2499" s="223"/>
      <c r="HD2499" s="223"/>
      <c r="HE2499" s="223"/>
      <c r="HF2499" s="223"/>
      <c r="HG2499" s="223"/>
      <c r="HH2499" s="223"/>
      <c r="HI2499" s="223"/>
      <c r="HJ2499" s="223"/>
      <c r="HK2499" s="223"/>
      <c r="HL2499" s="223"/>
      <c r="HM2499" s="223"/>
      <c r="HN2499" s="223"/>
      <c r="HO2499" s="223"/>
      <c r="HP2499" s="223"/>
      <c r="HQ2499" s="223"/>
      <c r="HR2499" s="223"/>
      <c r="HS2499" s="223"/>
      <c r="HT2499" s="223"/>
      <c r="HU2499" s="223"/>
      <c r="HV2499" s="223"/>
      <c r="HW2499" s="223"/>
      <c r="HX2499" s="223"/>
      <c r="HY2499" s="223"/>
      <c r="HZ2499" s="223"/>
      <c r="IA2499" s="223"/>
      <c r="IB2499" s="223"/>
      <c r="IC2499" s="223"/>
      <c r="ID2499" s="223"/>
      <c r="IE2499" s="223"/>
      <c r="IF2499" s="223"/>
      <c r="IG2499" s="223"/>
      <c r="IH2499" s="223"/>
      <c r="II2499" s="223"/>
      <c r="IJ2499" s="223"/>
      <c r="IK2499" s="223"/>
      <c r="IL2499" s="223"/>
      <c r="IM2499" s="223"/>
      <c r="IN2499" s="223"/>
      <c r="IO2499" s="223"/>
      <c r="IP2499" s="223"/>
      <c r="IQ2499" s="223"/>
      <c r="IR2499" s="223"/>
      <c r="IS2499" s="223"/>
      <c r="IT2499" s="223"/>
      <c r="IU2499" s="223"/>
      <c r="IV2499" s="223"/>
    </row>
    <row r="2500" spans="22:256" s="221" customFormat="1" x14ac:dyDescent="0.2">
      <c r="V2500" s="223"/>
      <c r="W2500" s="223"/>
      <c r="X2500" s="223"/>
      <c r="Y2500" s="223"/>
      <c r="Z2500" s="223"/>
      <c r="AA2500" s="223"/>
      <c r="AB2500" s="223"/>
      <c r="AC2500" s="223"/>
      <c r="AD2500" s="223"/>
      <c r="AE2500" s="223"/>
      <c r="AF2500" s="223"/>
      <c r="AG2500" s="223"/>
      <c r="AH2500" s="223"/>
      <c r="AI2500" s="223"/>
      <c r="AJ2500" s="223"/>
      <c r="AK2500" s="223"/>
      <c r="AL2500" s="223"/>
      <c r="AM2500" s="223"/>
      <c r="AN2500" s="223"/>
      <c r="AO2500" s="223"/>
      <c r="AP2500" s="223"/>
      <c r="AQ2500" s="223"/>
      <c r="AR2500" s="223"/>
      <c r="AS2500" s="223"/>
      <c r="AT2500" s="324"/>
      <c r="AU2500" s="324"/>
      <c r="AV2500" s="223"/>
      <c r="AW2500" s="223"/>
      <c r="AX2500" s="223"/>
      <c r="AY2500" s="223"/>
      <c r="AZ2500" s="223"/>
      <c r="BA2500" s="223"/>
      <c r="BB2500" s="223"/>
      <c r="BC2500" s="223"/>
      <c r="BD2500" s="223"/>
      <c r="BE2500" s="223"/>
      <c r="BF2500" s="223"/>
      <c r="BG2500" s="223"/>
      <c r="BH2500" s="223"/>
      <c r="BI2500" s="223"/>
      <c r="BJ2500" s="223"/>
      <c r="BK2500" s="223"/>
      <c r="BL2500" s="223"/>
      <c r="BM2500" s="223"/>
      <c r="BN2500" s="223"/>
      <c r="BO2500" s="223"/>
      <c r="BP2500" s="223"/>
      <c r="BQ2500" s="223"/>
      <c r="BR2500" s="223"/>
      <c r="BS2500" s="223"/>
      <c r="BT2500" s="223"/>
      <c r="BU2500" s="223"/>
      <c r="BV2500" s="223"/>
      <c r="BW2500" s="223"/>
      <c r="BX2500" s="223"/>
      <c r="BY2500" s="223"/>
      <c r="BZ2500" s="223"/>
      <c r="CA2500" s="223"/>
      <c r="CB2500" s="223"/>
      <c r="CC2500" s="223"/>
      <c r="CD2500" s="223"/>
      <c r="CE2500" s="223"/>
      <c r="CF2500" s="223"/>
      <c r="CG2500" s="223"/>
      <c r="CH2500" s="223"/>
      <c r="CI2500" s="223"/>
      <c r="CJ2500" s="223"/>
      <c r="CK2500" s="223"/>
      <c r="CL2500" s="223"/>
      <c r="CM2500" s="223"/>
      <c r="CN2500" s="223"/>
      <c r="CO2500" s="223"/>
      <c r="CP2500" s="223"/>
      <c r="CQ2500" s="223"/>
      <c r="CR2500" s="223"/>
      <c r="CS2500" s="223"/>
      <c r="CT2500" s="223"/>
      <c r="CU2500" s="223"/>
      <c r="CV2500" s="223"/>
      <c r="CW2500" s="223"/>
      <c r="CX2500" s="223"/>
      <c r="CY2500" s="223"/>
      <c r="CZ2500" s="223"/>
      <c r="DA2500" s="223"/>
      <c r="DB2500" s="223"/>
      <c r="DC2500" s="223"/>
      <c r="DD2500" s="223"/>
      <c r="DE2500" s="223"/>
      <c r="DF2500" s="223"/>
      <c r="DG2500" s="223"/>
      <c r="DH2500" s="223"/>
      <c r="DI2500" s="223"/>
      <c r="DJ2500" s="223"/>
      <c r="DK2500" s="223"/>
      <c r="DL2500" s="223"/>
      <c r="DM2500" s="223"/>
      <c r="DN2500" s="223"/>
      <c r="DO2500" s="223"/>
      <c r="DP2500" s="223"/>
      <c r="DQ2500" s="223"/>
      <c r="DR2500" s="223"/>
      <c r="DS2500" s="223"/>
      <c r="DT2500" s="223"/>
      <c r="DU2500" s="223"/>
      <c r="DV2500" s="223"/>
      <c r="DW2500" s="223"/>
      <c r="DX2500" s="223"/>
      <c r="DY2500" s="223"/>
      <c r="DZ2500" s="223"/>
      <c r="EA2500" s="223"/>
      <c r="EB2500" s="223"/>
      <c r="EC2500" s="223"/>
      <c r="ED2500" s="223"/>
      <c r="EE2500" s="223"/>
      <c r="EF2500" s="223"/>
      <c r="EG2500" s="223"/>
      <c r="EH2500" s="223"/>
      <c r="EI2500" s="223"/>
      <c r="EJ2500" s="223"/>
      <c r="EK2500" s="223"/>
      <c r="EL2500" s="223"/>
      <c r="EM2500" s="223"/>
      <c r="EN2500" s="223"/>
      <c r="EO2500" s="223"/>
      <c r="EP2500" s="223"/>
      <c r="EQ2500" s="223"/>
      <c r="ER2500" s="223"/>
      <c r="ES2500" s="223"/>
      <c r="ET2500" s="223"/>
      <c r="EU2500" s="223"/>
      <c r="EV2500" s="223"/>
      <c r="EW2500" s="223"/>
      <c r="EX2500" s="223"/>
      <c r="EY2500" s="223"/>
      <c r="EZ2500" s="223"/>
      <c r="FA2500" s="223"/>
      <c r="FB2500" s="223"/>
      <c r="FC2500" s="223"/>
      <c r="FD2500" s="223"/>
      <c r="FE2500" s="223"/>
      <c r="FF2500" s="223"/>
      <c r="FG2500" s="223"/>
      <c r="FH2500" s="223"/>
      <c r="FI2500" s="223"/>
      <c r="FJ2500" s="223"/>
      <c r="FK2500" s="223"/>
      <c r="FL2500" s="223"/>
      <c r="FM2500" s="223"/>
      <c r="FN2500" s="223"/>
      <c r="FO2500" s="223"/>
      <c r="FP2500" s="223"/>
      <c r="FQ2500" s="223"/>
      <c r="FR2500" s="223"/>
      <c r="FS2500" s="223"/>
      <c r="FT2500" s="223"/>
      <c r="FU2500" s="223"/>
      <c r="FV2500" s="223"/>
      <c r="FW2500" s="223"/>
      <c r="FX2500" s="223"/>
      <c r="FY2500" s="223"/>
      <c r="FZ2500" s="223"/>
      <c r="GA2500" s="223"/>
      <c r="GB2500" s="223"/>
      <c r="GC2500" s="223"/>
      <c r="GD2500" s="223"/>
      <c r="GE2500" s="223"/>
      <c r="GF2500" s="223"/>
      <c r="GG2500" s="223"/>
      <c r="GH2500" s="223"/>
      <c r="GI2500" s="223"/>
      <c r="GJ2500" s="223"/>
      <c r="GK2500" s="223"/>
      <c r="GL2500" s="223"/>
      <c r="GM2500" s="223"/>
      <c r="GN2500" s="223"/>
      <c r="GO2500" s="223"/>
      <c r="GP2500" s="223"/>
      <c r="GQ2500" s="223"/>
      <c r="GR2500" s="223"/>
      <c r="GS2500" s="223"/>
      <c r="GT2500" s="223"/>
      <c r="GU2500" s="223"/>
      <c r="GV2500" s="223"/>
      <c r="GW2500" s="223"/>
      <c r="GX2500" s="223"/>
      <c r="GY2500" s="223"/>
      <c r="GZ2500" s="223"/>
      <c r="HA2500" s="223"/>
      <c r="HB2500" s="223"/>
      <c r="HC2500" s="223"/>
      <c r="HD2500" s="223"/>
      <c r="HE2500" s="223"/>
      <c r="HF2500" s="223"/>
      <c r="HG2500" s="223"/>
      <c r="HH2500" s="223"/>
      <c r="HI2500" s="223"/>
      <c r="HJ2500" s="223"/>
      <c r="HK2500" s="223"/>
      <c r="HL2500" s="223"/>
      <c r="HM2500" s="223"/>
      <c r="HN2500" s="223"/>
      <c r="HO2500" s="223"/>
      <c r="HP2500" s="223"/>
      <c r="HQ2500" s="223"/>
      <c r="HR2500" s="223"/>
      <c r="HS2500" s="223"/>
      <c r="HT2500" s="223"/>
      <c r="HU2500" s="223"/>
      <c r="HV2500" s="223"/>
      <c r="HW2500" s="223"/>
      <c r="HX2500" s="223"/>
      <c r="HY2500" s="223"/>
      <c r="HZ2500" s="223"/>
      <c r="IA2500" s="223"/>
      <c r="IB2500" s="223"/>
      <c r="IC2500" s="223"/>
      <c r="ID2500" s="223"/>
      <c r="IE2500" s="223"/>
      <c r="IF2500" s="223"/>
      <c r="IG2500" s="223"/>
      <c r="IH2500" s="223"/>
      <c r="II2500" s="223"/>
      <c r="IJ2500" s="223"/>
      <c r="IK2500" s="223"/>
      <c r="IL2500" s="223"/>
      <c r="IM2500" s="223"/>
      <c r="IN2500" s="223"/>
      <c r="IO2500" s="223"/>
      <c r="IP2500" s="223"/>
      <c r="IQ2500" s="223"/>
      <c r="IR2500" s="223"/>
      <c r="IS2500" s="223"/>
      <c r="IT2500" s="223"/>
      <c r="IU2500" s="223"/>
      <c r="IV2500" s="223"/>
    </row>
    <row r="2501" spans="22:256" s="221" customFormat="1" x14ac:dyDescent="0.2">
      <c r="V2501" s="223"/>
      <c r="W2501" s="223"/>
      <c r="X2501" s="223"/>
      <c r="Y2501" s="223"/>
      <c r="Z2501" s="223"/>
      <c r="AA2501" s="223"/>
      <c r="AB2501" s="223"/>
      <c r="AC2501" s="223"/>
      <c r="AD2501" s="223"/>
      <c r="AE2501" s="223"/>
      <c r="AF2501" s="223"/>
      <c r="AG2501" s="223"/>
      <c r="AH2501" s="223"/>
      <c r="AI2501" s="223"/>
      <c r="AJ2501" s="223"/>
      <c r="AK2501" s="223"/>
      <c r="AL2501" s="223"/>
      <c r="AM2501" s="223"/>
      <c r="AN2501" s="223"/>
      <c r="AO2501" s="223"/>
      <c r="AP2501" s="223"/>
      <c r="AQ2501" s="223"/>
      <c r="AR2501" s="223"/>
      <c r="AS2501" s="223"/>
      <c r="AT2501" s="324"/>
      <c r="AU2501" s="324"/>
      <c r="AV2501" s="223"/>
      <c r="AW2501" s="223"/>
      <c r="AX2501" s="223"/>
      <c r="AY2501" s="223"/>
      <c r="AZ2501" s="223"/>
      <c r="BA2501" s="223"/>
      <c r="BB2501" s="223"/>
      <c r="BC2501" s="223"/>
      <c r="BD2501" s="223"/>
      <c r="BE2501" s="223"/>
      <c r="BF2501" s="223"/>
      <c r="BG2501" s="223"/>
      <c r="BH2501" s="223"/>
      <c r="BI2501" s="223"/>
      <c r="BJ2501" s="223"/>
      <c r="BK2501" s="223"/>
      <c r="BL2501" s="223"/>
      <c r="BM2501" s="223"/>
      <c r="BN2501" s="223"/>
      <c r="BO2501" s="223"/>
      <c r="BP2501" s="223"/>
      <c r="BQ2501" s="223"/>
      <c r="BR2501" s="223"/>
      <c r="BS2501" s="223"/>
      <c r="BT2501" s="223"/>
      <c r="BU2501" s="223"/>
      <c r="BV2501" s="223"/>
      <c r="BW2501" s="223"/>
      <c r="BX2501" s="223"/>
      <c r="BY2501" s="223"/>
      <c r="BZ2501" s="223"/>
      <c r="CA2501" s="223"/>
      <c r="CB2501" s="223"/>
      <c r="CC2501" s="223"/>
      <c r="CD2501" s="223"/>
      <c r="CE2501" s="223"/>
      <c r="CF2501" s="223"/>
      <c r="CG2501" s="223"/>
      <c r="CH2501" s="223"/>
      <c r="CI2501" s="223"/>
      <c r="CJ2501" s="223"/>
      <c r="CK2501" s="223"/>
      <c r="CL2501" s="223"/>
      <c r="CM2501" s="223"/>
      <c r="CN2501" s="223"/>
      <c r="CO2501" s="223"/>
      <c r="CP2501" s="223"/>
      <c r="CQ2501" s="223"/>
      <c r="CR2501" s="223"/>
      <c r="CS2501" s="223"/>
      <c r="CT2501" s="223"/>
      <c r="CU2501" s="223"/>
      <c r="CV2501" s="223"/>
      <c r="CW2501" s="223"/>
      <c r="CX2501" s="223"/>
      <c r="CY2501" s="223"/>
      <c r="CZ2501" s="223"/>
      <c r="DA2501" s="223"/>
      <c r="DB2501" s="223"/>
      <c r="DC2501" s="223"/>
      <c r="DD2501" s="223"/>
      <c r="DE2501" s="223"/>
      <c r="DF2501" s="223"/>
      <c r="DG2501" s="223"/>
      <c r="DH2501" s="223"/>
      <c r="DI2501" s="223"/>
      <c r="DJ2501" s="223"/>
      <c r="DK2501" s="223"/>
      <c r="DL2501" s="223"/>
      <c r="DM2501" s="223"/>
      <c r="DN2501" s="223"/>
      <c r="DO2501" s="223"/>
      <c r="DP2501" s="223"/>
      <c r="DQ2501" s="223"/>
      <c r="DR2501" s="223"/>
      <c r="DS2501" s="223"/>
      <c r="DT2501" s="223"/>
      <c r="DU2501" s="223"/>
      <c r="DV2501" s="223"/>
      <c r="DW2501" s="223"/>
      <c r="DX2501" s="223"/>
      <c r="DY2501" s="223"/>
      <c r="DZ2501" s="223"/>
      <c r="EA2501" s="223"/>
      <c r="EB2501" s="223"/>
      <c r="EC2501" s="223"/>
      <c r="ED2501" s="223"/>
      <c r="EE2501" s="223"/>
      <c r="EF2501" s="223"/>
      <c r="EG2501" s="223"/>
      <c r="EH2501" s="223"/>
      <c r="EI2501" s="223"/>
      <c r="EJ2501" s="223"/>
      <c r="EK2501" s="223"/>
      <c r="EL2501" s="223"/>
      <c r="EM2501" s="223"/>
      <c r="EN2501" s="223"/>
      <c r="EO2501" s="223"/>
      <c r="EP2501" s="223"/>
      <c r="EQ2501" s="223"/>
      <c r="ER2501" s="223"/>
      <c r="ES2501" s="223"/>
      <c r="ET2501" s="223"/>
      <c r="EU2501" s="223"/>
      <c r="EV2501" s="223"/>
      <c r="EW2501" s="223"/>
      <c r="EX2501" s="223"/>
      <c r="EY2501" s="223"/>
      <c r="EZ2501" s="223"/>
      <c r="FA2501" s="223"/>
      <c r="FB2501" s="223"/>
      <c r="FC2501" s="223"/>
      <c r="FD2501" s="223"/>
      <c r="FE2501" s="223"/>
      <c r="FF2501" s="223"/>
      <c r="FG2501" s="223"/>
      <c r="FH2501" s="223"/>
      <c r="FI2501" s="223"/>
      <c r="FJ2501" s="223"/>
      <c r="FK2501" s="223"/>
      <c r="FL2501" s="223"/>
      <c r="FM2501" s="223"/>
      <c r="FN2501" s="223"/>
      <c r="FO2501" s="223"/>
      <c r="FP2501" s="223"/>
      <c r="FQ2501" s="223"/>
      <c r="FR2501" s="223"/>
      <c r="FS2501" s="223"/>
      <c r="FT2501" s="223"/>
      <c r="FU2501" s="223"/>
      <c r="FV2501" s="223"/>
      <c r="FW2501" s="223"/>
      <c r="FX2501" s="223"/>
      <c r="FY2501" s="223"/>
      <c r="FZ2501" s="223"/>
      <c r="GA2501" s="223"/>
      <c r="GB2501" s="223"/>
      <c r="GC2501" s="223"/>
      <c r="GD2501" s="223"/>
      <c r="GE2501" s="223"/>
      <c r="GF2501" s="223"/>
      <c r="GG2501" s="223"/>
      <c r="GH2501" s="223"/>
      <c r="GI2501" s="223"/>
      <c r="GJ2501" s="223"/>
      <c r="GK2501" s="223"/>
      <c r="GL2501" s="223"/>
      <c r="GM2501" s="223"/>
      <c r="GN2501" s="223"/>
      <c r="GO2501" s="223"/>
      <c r="GP2501" s="223"/>
      <c r="GQ2501" s="223"/>
      <c r="GR2501" s="223"/>
      <c r="GS2501" s="223"/>
      <c r="GT2501" s="223"/>
      <c r="GU2501" s="223"/>
      <c r="GV2501" s="223"/>
      <c r="GW2501" s="223"/>
      <c r="GX2501" s="223"/>
      <c r="GY2501" s="223"/>
      <c r="GZ2501" s="223"/>
      <c r="HA2501" s="223"/>
      <c r="HB2501" s="223"/>
      <c r="HC2501" s="223"/>
      <c r="HD2501" s="223"/>
      <c r="HE2501" s="223"/>
      <c r="HF2501" s="223"/>
      <c r="HG2501" s="223"/>
      <c r="HH2501" s="223"/>
      <c r="HI2501" s="223"/>
      <c r="HJ2501" s="223"/>
      <c r="HK2501" s="223"/>
      <c r="HL2501" s="223"/>
      <c r="HM2501" s="223"/>
      <c r="HN2501" s="223"/>
      <c r="HO2501" s="223"/>
      <c r="HP2501" s="223"/>
      <c r="HQ2501" s="223"/>
      <c r="HR2501" s="223"/>
      <c r="HS2501" s="223"/>
      <c r="HT2501" s="223"/>
      <c r="HU2501" s="223"/>
      <c r="HV2501" s="223"/>
      <c r="HW2501" s="223"/>
      <c r="HX2501" s="223"/>
      <c r="HY2501" s="223"/>
      <c r="HZ2501" s="223"/>
      <c r="IA2501" s="223"/>
      <c r="IB2501" s="223"/>
      <c r="IC2501" s="223"/>
      <c r="ID2501" s="223"/>
      <c r="IE2501" s="223"/>
      <c r="IF2501" s="223"/>
      <c r="IG2501" s="223"/>
      <c r="IH2501" s="223"/>
      <c r="II2501" s="223"/>
      <c r="IJ2501" s="223"/>
      <c r="IK2501" s="223"/>
      <c r="IL2501" s="223"/>
      <c r="IM2501" s="223"/>
      <c r="IN2501" s="223"/>
      <c r="IO2501" s="223"/>
      <c r="IP2501" s="223"/>
      <c r="IQ2501" s="223"/>
      <c r="IR2501" s="223"/>
      <c r="IS2501" s="223"/>
      <c r="IT2501" s="223"/>
      <c r="IU2501" s="223"/>
      <c r="IV2501" s="223"/>
    </row>
    <row r="2502" spans="22:256" s="221" customFormat="1" x14ac:dyDescent="0.2">
      <c r="V2502" s="223"/>
      <c r="W2502" s="223"/>
      <c r="X2502" s="223"/>
      <c r="Y2502" s="223"/>
      <c r="Z2502" s="223"/>
      <c r="AA2502" s="223"/>
      <c r="AB2502" s="223"/>
      <c r="AC2502" s="223"/>
      <c r="AD2502" s="223"/>
      <c r="AE2502" s="223"/>
      <c r="AF2502" s="223"/>
      <c r="AG2502" s="223"/>
      <c r="AH2502" s="223"/>
      <c r="AI2502" s="223"/>
      <c r="AJ2502" s="223"/>
      <c r="AK2502" s="223"/>
      <c r="AL2502" s="223"/>
      <c r="AM2502" s="223"/>
      <c r="AN2502" s="223"/>
      <c r="AO2502" s="223"/>
      <c r="AP2502" s="223"/>
      <c r="AQ2502" s="223"/>
      <c r="AR2502" s="223"/>
      <c r="AS2502" s="223"/>
      <c r="AT2502" s="324"/>
      <c r="AU2502" s="324"/>
      <c r="AV2502" s="223"/>
      <c r="AW2502" s="223"/>
      <c r="AX2502" s="223"/>
      <c r="AY2502" s="223"/>
      <c r="AZ2502" s="223"/>
      <c r="BA2502" s="223"/>
      <c r="BB2502" s="223"/>
      <c r="BC2502" s="223"/>
      <c r="BD2502" s="223"/>
      <c r="BE2502" s="223"/>
      <c r="BF2502" s="223"/>
      <c r="BG2502" s="223"/>
      <c r="BH2502" s="223"/>
      <c r="BI2502" s="223"/>
      <c r="BJ2502" s="223"/>
      <c r="BK2502" s="223"/>
      <c r="BL2502" s="223"/>
      <c r="BM2502" s="223"/>
      <c r="BN2502" s="223"/>
      <c r="BO2502" s="223"/>
      <c r="BP2502" s="223"/>
      <c r="BQ2502" s="223"/>
      <c r="BR2502" s="223"/>
      <c r="BS2502" s="223"/>
      <c r="BT2502" s="223"/>
      <c r="BU2502" s="223"/>
      <c r="BV2502" s="223"/>
      <c r="BW2502" s="223"/>
      <c r="BX2502" s="223"/>
      <c r="BY2502" s="223"/>
      <c r="BZ2502" s="223"/>
      <c r="CA2502" s="223"/>
      <c r="CB2502" s="223"/>
      <c r="CC2502" s="223"/>
      <c r="CD2502" s="223"/>
      <c r="CE2502" s="223"/>
      <c r="CF2502" s="223"/>
      <c r="CG2502" s="223"/>
      <c r="CH2502" s="223"/>
      <c r="CI2502" s="223"/>
      <c r="CJ2502" s="223"/>
      <c r="CK2502" s="223"/>
      <c r="CL2502" s="223"/>
      <c r="CM2502" s="223"/>
      <c r="CN2502" s="223"/>
      <c r="CO2502" s="223"/>
      <c r="CP2502" s="223"/>
      <c r="CQ2502" s="223"/>
      <c r="CR2502" s="223"/>
      <c r="CS2502" s="223"/>
      <c r="CT2502" s="223"/>
      <c r="CU2502" s="223"/>
      <c r="CV2502" s="223"/>
      <c r="CW2502" s="223"/>
      <c r="CX2502" s="223"/>
      <c r="CY2502" s="223"/>
      <c r="CZ2502" s="223"/>
      <c r="DA2502" s="223"/>
      <c r="DB2502" s="223"/>
      <c r="DC2502" s="223"/>
      <c r="DD2502" s="223"/>
      <c r="DE2502" s="223"/>
      <c r="DF2502" s="223"/>
      <c r="DG2502" s="223"/>
      <c r="DH2502" s="223"/>
      <c r="DI2502" s="223"/>
      <c r="DJ2502" s="223"/>
      <c r="DK2502" s="223"/>
      <c r="DL2502" s="223"/>
      <c r="DM2502" s="223"/>
      <c r="DN2502" s="223"/>
      <c r="DO2502" s="223"/>
      <c r="DP2502" s="223"/>
      <c r="DQ2502" s="223"/>
      <c r="DR2502" s="223"/>
      <c r="DS2502" s="223"/>
      <c r="DT2502" s="223"/>
      <c r="DU2502" s="223"/>
      <c r="DV2502" s="223"/>
      <c r="DW2502" s="223"/>
      <c r="DX2502" s="223"/>
      <c r="DY2502" s="223"/>
      <c r="DZ2502" s="223"/>
      <c r="EA2502" s="223"/>
      <c r="EB2502" s="223"/>
      <c r="EC2502" s="223"/>
      <c r="ED2502" s="223"/>
      <c r="EE2502" s="223"/>
      <c r="EF2502" s="223"/>
      <c r="EG2502" s="223"/>
      <c r="EH2502" s="223"/>
      <c r="EI2502" s="223"/>
      <c r="EJ2502" s="223"/>
      <c r="EK2502" s="223"/>
      <c r="EL2502" s="223"/>
      <c r="EM2502" s="223"/>
      <c r="EN2502" s="223"/>
      <c r="EO2502" s="223"/>
      <c r="EP2502" s="223"/>
      <c r="EQ2502" s="223"/>
      <c r="ER2502" s="223"/>
      <c r="ES2502" s="223"/>
      <c r="ET2502" s="223"/>
      <c r="EU2502" s="223"/>
      <c r="EV2502" s="223"/>
      <c r="EW2502" s="223"/>
      <c r="EX2502" s="223"/>
      <c r="EY2502" s="223"/>
      <c r="EZ2502" s="223"/>
      <c r="FA2502" s="223"/>
      <c r="FB2502" s="223"/>
      <c r="FC2502" s="223"/>
      <c r="FD2502" s="223"/>
      <c r="FE2502" s="223"/>
      <c r="FF2502" s="223"/>
      <c r="FG2502" s="223"/>
      <c r="FH2502" s="223"/>
      <c r="FI2502" s="223"/>
      <c r="FJ2502" s="223"/>
      <c r="FK2502" s="223"/>
      <c r="FL2502" s="223"/>
      <c r="FM2502" s="223"/>
      <c r="FN2502" s="223"/>
      <c r="FO2502" s="223"/>
      <c r="FP2502" s="223"/>
      <c r="FQ2502" s="223"/>
      <c r="FR2502" s="223"/>
      <c r="FS2502" s="223"/>
      <c r="FT2502" s="223"/>
      <c r="FU2502" s="223"/>
      <c r="FV2502" s="223"/>
      <c r="FW2502" s="223"/>
      <c r="FX2502" s="223"/>
      <c r="FY2502" s="223"/>
      <c r="FZ2502" s="223"/>
      <c r="GA2502" s="223"/>
      <c r="GB2502" s="223"/>
      <c r="GC2502" s="223"/>
      <c r="GD2502" s="223"/>
      <c r="GE2502" s="223"/>
      <c r="GF2502" s="223"/>
      <c r="GG2502" s="223"/>
      <c r="GH2502" s="223"/>
      <c r="GI2502" s="223"/>
      <c r="GJ2502" s="223"/>
      <c r="GK2502" s="223"/>
      <c r="GL2502" s="223"/>
      <c r="GM2502" s="223"/>
      <c r="GN2502" s="223"/>
      <c r="GO2502" s="223"/>
      <c r="GP2502" s="223"/>
      <c r="GQ2502" s="223"/>
      <c r="GR2502" s="223"/>
      <c r="GS2502" s="223"/>
      <c r="GT2502" s="223"/>
      <c r="GU2502" s="223"/>
      <c r="GV2502" s="223"/>
      <c r="GW2502" s="223"/>
      <c r="GX2502" s="223"/>
      <c r="GY2502" s="223"/>
      <c r="GZ2502" s="223"/>
      <c r="HA2502" s="223"/>
      <c r="HB2502" s="223"/>
      <c r="HC2502" s="223"/>
      <c r="HD2502" s="223"/>
      <c r="HE2502" s="223"/>
      <c r="HF2502" s="223"/>
      <c r="HG2502" s="223"/>
      <c r="HH2502" s="223"/>
      <c r="HI2502" s="223"/>
      <c r="HJ2502" s="223"/>
      <c r="HK2502" s="223"/>
      <c r="HL2502" s="223"/>
      <c r="HM2502" s="223"/>
      <c r="HN2502" s="223"/>
      <c r="HO2502" s="223"/>
      <c r="HP2502" s="223"/>
      <c r="HQ2502" s="223"/>
      <c r="HR2502" s="223"/>
      <c r="HS2502" s="223"/>
      <c r="HT2502" s="223"/>
      <c r="HU2502" s="223"/>
      <c r="HV2502" s="223"/>
      <c r="HW2502" s="223"/>
      <c r="HX2502" s="223"/>
      <c r="HY2502" s="223"/>
      <c r="HZ2502" s="223"/>
      <c r="IA2502" s="223"/>
      <c r="IB2502" s="223"/>
      <c r="IC2502" s="223"/>
      <c r="ID2502" s="223"/>
      <c r="IE2502" s="223"/>
      <c r="IF2502" s="223"/>
      <c r="IG2502" s="223"/>
      <c r="IH2502" s="223"/>
      <c r="II2502" s="223"/>
      <c r="IJ2502" s="223"/>
      <c r="IK2502" s="223"/>
      <c r="IL2502" s="223"/>
      <c r="IM2502" s="223"/>
      <c r="IN2502" s="223"/>
      <c r="IO2502" s="223"/>
      <c r="IP2502" s="223"/>
      <c r="IQ2502" s="223"/>
      <c r="IR2502" s="223"/>
      <c r="IS2502" s="223"/>
      <c r="IT2502" s="223"/>
      <c r="IU2502" s="223"/>
      <c r="IV2502" s="223"/>
    </row>
    <row r="2503" spans="22:256" s="221" customFormat="1" x14ac:dyDescent="0.2">
      <c r="V2503" s="223"/>
      <c r="W2503" s="223"/>
      <c r="X2503" s="223"/>
      <c r="Y2503" s="223"/>
      <c r="Z2503" s="223"/>
      <c r="AA2503" s="223"/>
      <c r="AB2503" s="223"/>
      <c r="AC2503" s="223"/>
      <c r="AD2503" s="223"/>
      <c r="AE2503" s="223"/>
      <c r="AF2503" s="223"/>
      <c r="AG2503" s="223"/>
      <c r="AH2503" s="223"/>
      <c r="AI2503" s="223"/>
      <c r="AJ2503" s="223"/>
      <c r="AK2503" s="223"/>
      <c r="AL2503" s="223"/>
      <c r="AM2503" s="223"/>
      <c r="AN2503" s="223"/>
      <c r="AO2503" s="223"/>
      <c r="AP2503" s="223"/>
      <c r="AQ2503" s="223"/>
      <c r="AR2503" s="223"/>
      <c r="AS2503" s="223"/>
      <c r="AT2503" s="324"/>
      <c r="AU2503" s="324"/>
      <c r="AV2503" s="223"/>
      <c r="AW2503" s="223"/>
      <c r="AX2503" s="223"/>
      <c r="AY2503" s="223"/>
      <c r="AZ2503" s="223"/>
      <c r="BA2503" s="223"/>
      <c r="BB2503" s="223"/>
      <c r="BC2503" s="223"/>
      <c r="BD2503" s="223"/>
      <c r="BE2503" s="223"/>
      <c r="BF2503" s="223"/>
      <c r="BG2503" s="223"/>
      <c r="BH2503" s="223"/>
      <c r="BI2503" s="223"/>
      <c r="BJ2503" s="223"/>
      <c r="BK2503" s="223"/>
      <c r="BL2503" s="223"/>
      <c r="BM2503" s="223"/>
      <c r="BN2503" s="223"/>
      <c r="BO2503" s="223"/>
      <c r="BP2503" s="223"/>
      <c r="BQ2503" s="223"/>
      <c r="BR2503" s="223"/>
      <c r="BS2503" s="223"/>
      <c r="BT2503" s="223"/>
      <c r="BU2503" s="223"/>
      <c r="BV2503" s="223"/>
      <c r="BW2503" s="223"/>
      <c r="BX2503" s="223"/>
      <c r="BY2503" s="223"/>
      <c r="BZ2503" s="223"/>
      <c r="CA2503" s="223"/>
      <c r="CB2503" s="223"/>
      <c r="CC2503" s="223"/>
      <c r="CD2503" s="223"/>
      <c r="CE2503" s="223"/>
      <c r="CF2503" s="223"/>
      <c r="CG2503" s="223"/>
      <c r="CH2503" s="223"/>
      <c r="CI2503" s="223"/>
      <c r="CJ2503" s="223"/>
      <c r="CK2503" s="223"/>
      <c r="CL2503" s="223"/>
      <c r="CM2503" s="223"/>
      <c r="CN2503" s="223"/>
      <c r="CO2503" s="223"/>
      <c r="CP2503" s="223"/>
      <c r="CQ2503" s="223"/>
      <c r="CR2503" s="223"/>
      <c r="CS2503" s="223"/>
      <c r="CT2503" s="223"/>
      <c r="CU2503" s="223"/>
      <c r="CV2503" s="223"/>
      <c r="CW2503" s="223"/>
      <c r="CX2503" s="223"/>
      <c r="CY2503" s="223"/>
      <c r="CZ2503" s="223"/>
      <c r="DA2503" s="223"/>
      <c r="DB2503" s="223"/>
      <c r="DC2503" s="223"/>
      <c r="DD2503" s="223"/>
      <c r="DE2503" s="223"/>
      <c r="DF2503" s="223"/>
      <c r="DG2503" s="223"/>
      <c r="DH2503" s="223"/>
      <c r="DI2503" s="223"/>
      <c r="DJ2503" s="223"/>
      <c r="DK2503" s="223"/>
      <c r="DL2503" s="223"/>
      <c r="DM2503" s="223"/>
      <c r="DN2503" s="223"/>
      <c r="DO2503" s="223"/>
      <c r="DP2503" s="223"/>
      <c r="DQ2503" s="223"/>
      <c r="DR2503" s="223"/>
      <c r="DS2503" s="223"/>
      <c r="DT2503" s="223"/>
      <c r="DU2503" s="223"/>
      <c r="DV2503" s="223"/>
      <c r="DW2503" s="223"/>
      <c r="DX2503" s="223"/>
      <c r="DY2503" s="223"/>
      <c r="DZ2503" s="223"/>
      <c r="EA2503" s="223"/>
      <c r="EB2503" s="223"/>
      <c r="EC2503" s="223"/>
      <c r="ED2503" s="223"/>
      <c r="EE2503" s="223"/>
      <c r="EF2503" s="223"/>
      <c r="EG2503" s="223"/>
      <c r="EH2503" s="223"/>
      <c r="EI2503" s="223"/>
      <c r="EJ2503" s="223"/>
      <c r="EK2503" s="223"/>
      <c r="EL2503" s="223"/>
      <c r="EM2503" s="223"/>
      <c r="EN2503" s="223"/>
      <c r="EO2503" s="223"/>
      <c r="EP2503" s="223"/>
      <c r="EQ2503" s="223"/>
      <c r="ER2503" s="223"/>
      <c r="ES2503" s="223"/>
      <c r="ET2503" s="223"/>
      <c r="EU2503" s="223"/>
      <c r="EV2503" s="223"/>
      <c r="EW2503" s="223"/>
      <c r="EX2503" s="223"/>
      <c r="EY2503" s="223"/>
      <c r="EZ2503" s="223"/>
      <c r="FA2503" s="223"/>
      <c r="FB2503" s="223"/>
      <c r="FC2503" s="223"/>
      <c r="FD2503" s="223"/>
      <c r="FE2503" s="223"/>
      <c r="FF2503" s="223"/>
      <c r="FG2503" s="223"/>
      <c r="FH2503" s="223"/>
      <c r="FI2503" s="223"/>
      <c r="FJ2503" s="223"/>
      <c r="FK2503" s="223"/>
      <c r="FL2503" s="223"/>
      <c r="FM2503" s="223"/>
      <c r="FN2503" s="223"/>
      <c r="FO2503" s="223"/>
      <c r="FP2503" s="223"/>
      <c r="FQ2503" s="223"/>
      <c r="FR2503" s="223"/>
      <c r="FS2503" s="223"/>
      <c r="FT2503" s="223"/>
      <c r="FU2503" s="223"/>
      <c r="FV2503" s="223"/>
      <c r="FW2503" s="223"/>
      <c r="FX2503" s="223"/>
      <c r="FY2503" s="223"/>
      <c r="FZ2503" s="223"/>
      <c r="GA2503" s="223"/>
      <c r="GB2503" s="223"/>
      <c r="GC2503" s="223"/>
      <c r="GD2503" s="223"/>
      <c r="GE2503" s="223"/>
      <c r="GF2503" s="223"/>
      <c r="GG2503" s="223"/>
      <c r="GH2503" s="223"/>
      <c r="GI2503" s="223"/>
      <c r="GJ2503" s="223"/>
      <c r="GK2503" s="223"/>
      <c r="GL2503" s="223"/>
      <c r="GM2503" s="223"/>
      <c r="GN2503" s="223"/>
      <c r="GO2503" s="223"/>
      <c r="GP2503" s="223"/>
      <c r="GQ2503" s="223"/>
      <c r="GR2503" s="223"/>
      <c r="GS2503" s="223"/>
      <c r="GT2503" s="223"/>
      <c r="GU2503" s="223"/>
      <c r="GV2503" s="223"/>
      <c r="GW2503" s="223"/>
      <c r="GX2503" s="223"/>
      <c r="GY2503" s="223"/>
      <c r="GZ2503" s="223"/>
      <c r="HA2503" s="223"/>
      <c r="HB2503" s="223"/>
      <c r="HC2503" s="223"/>
      <c r="HD2503" s="223"/>
      <c r="HE2503" s="223"/>
      <c r="HF2503" s="223"/>
      <c r="HG2503" s="223"/>
      <c r="HH2503" s="223"/>
      <c r="HI2503" s="223"/>
      <c r="HJ2503" s="223"/>
      <c r="HK2503" s="223"/>
      <c r="HL2503" s="223"/>
      <c r="HM2503" s="223"/>
      <c r="HN2503" s="223"/>
      <c r="HO2503" s="223"/>
      <c r="HP2503" s="223"/>
      <c r="HQ2503" s="223"/>
      <c r="HR2503" s="223"/>
      <c r="HS2503" s="223"/>
      <c r="HT2503" s="223"/>
      <c r="HU2503" s="223"/>
      <c r="HV2503" s="223"/>
      <c r="HW2503" s="223"/>
      <c r="HX2503" s="223"/>
      <c r="HY2503" s="223"/>
      <c r="HZ2503" s="223"/>
      <c r="IA2503" s="223"/>
      <c r="IB2503" s="223"/>
      <c r="IC2503" s="223"/>
      <c r="ID2503" s="223"/>
      <c r="IE2503" s="223"/>
      <c r="IF2503" s="223"/>
      <c r="IG2503" s="223"/>
      <c r="IH2503" s="223"/>
      <c r="II2503" s="223"/>
      <c r="IJ2503" s="223"/>
      <c r="IK2503" s="223"/>
      <c r="IL2503" s="223"/>
      <c r="IM2503" s="223"/>
      <c r="IN2503" s="223"/>
      <c r="IO2503" s="223"/>
      <c r="IP2503" s="223"/>
      <c r="IQ2503" s="223"/>
      <c r="IR2503" s="223"/>
      <c r="IS2503" s="223"/>
      <c r="IT2503" s="223"/>
      <c r="IU2503" s="223"/>
      <c r="IV2503" s="223"/>
    </row>
    <row r="2504" spans="22:256" s="221" customFormat="1" x14ac:dyDescent="0.2">
      <c r="V2504" s="223"/>
      <c r="W2504" s="223"/>
      <c r="X2504" s="223"/>
      <c r="Y2504" s="223"/>
      <c r="Z2504" s="223"/>
      <c r="AA2504" s="223"/>
      <c r="AB2504" s="223"/>
      <c r="AC2504" s="223"/>
      <c r="AD2504" s="223"/>
      <c r="AE2504" s="223"/>
      <c r="AF2504" s="223"/>
      <c r="AG2504" s="223"/>
      <c r="AH2504" s="223"/>
      <c r="AI2504" s="223"/>
      <c r="AJ2504" s="223"/>
      <c r="AK2504" s="223"/>
      <c r="AL2504" s="223"/>
      <c r="AM2504" s="223"/>
      <c r="AN2504" s="223"/>
      <c r="AO2504" s="223"/>
      <c r="AP2504" s="223"/>
      <c r="AQ2504" s="223"/>
      <c r="AR2504" s="223"/>
      <c r="AS2504" s="223"/>
      <c r="AT2504" s="324"/>
      <c r="AU2504" s="324"/>
      <c r="AV2504" s="223"/>
      <c r="AW2504" s="223"/>
      <c r="AX2504" s="223"/>
      <c r="AY2504" s="223"/>
      <c r="AZ2504" s="223"/>
      <c r="BA2504" s="223"/>
      <c r="BB2504" s="223"/>
      <c r="BC2504" s="223"/>
      <c r="BD2504" s="223"/>
      <c r="BE2504" s="223"/>
      <c r="BF2504" s="223"/>
      <c r="BG2504" s="223"/>
      <c r="BH2504" s="223"/>
      <c r="BI2504" s="223"/>
      <c r="BJ2504" s="223"/>
      <c r="BK2504" s="223"/>
      <c r="BL2504" s="223"/>
      <c r="BM2504" s="223"/>
      <c r="BN2504" s="223"/>
      <c r="BO2504" s="223"/>
      <c r="BP2504" s="223"/>
      <c r="BQ2504" s="223"/>
      <c r="BR2504" s="223"/>
      <c r="BS2504" s="223"/>
      <c r="BT2504" s="223"/>
      <c r="BU2504" s="223"/>
      <c r="BV2504" s="223"/>
      <c r="BW2504" s="223"/>
      <c r="BX2504" s="223"/>
      <c r="BY2504" s="223"/>
      <c r="BZ2504" s="223"/>
      <c r="CA2504" s="223"/>
      <c r="CB2504" s="223"/>
      <c r="CC2504" s="223"/>
      <c r="CD2504" s="223"/>
      <c r="CE2504" s="223"/>
      <c r="CF2504" s="223"/>
      <c r="CG2504" s="223"/>
      <c r="CH2504" s="223"/>
      <c r="CI2504" s="223"/>
      <c r="CJ2504" s="223"/>
      <c r="CK2504" s="223"/>
      <c r="CL2504" s="223"/>
      <c r="CM2504" s="223"/>
      <c r="CN2504" s="223"/>
      <c r="CO2504" s="223"/>
      <c r="CP2504" s="223"/>
      <c r="CQ2504" s="223"/>
      <c r="CR2504" s="223"/>
      <c r="CS2504" s="223"/>
      <c r="CT2504" s="223"/>
      <c r="CU2504" s="223"/>
      <c r="CV2504" s="223"/>
      <c r="CW2504" s="223"/>
      <c r="CX2504" s="223"/>
      <c r="CY2504" s="223"/>
      <c r="CZ2504" s="223"/>
      <c r="DA2504" s="223"/>
      <c r="DB2504" s="223"/>
      <c r="DC2504" s="223"/>
      <c r="DD2504" s="223"/>
      <c r="DE2504" s="223"/>
      <c r="DF2504" s="223"/>
      <c r="DG2504" s="223"/>
      <c r="DH2504" s="223"/>
      <c r="DI2504" s="223"/>
      <c r="DJ2504" s="223"/>
      <c r="DK2504" s="223"/>
      <c r="DL2504" s="223"/>
      <c r="DM2504" s="223"/>
      <c r="DN2504" s="223"/>
      <c r="DO2504" s="223"/>
      <c r="DP2504" s="223"/>
      <c r="DQ2504" s="223"/>
      <c r="DR2504" s="223"/>
      <c r="DS2504" s="223"/>
      <c r="DT2504" s="223"/>
      <c r="DU2504" s="223"/>
      <c r="DV2504" s="223"/>
      <c r="DW2504" s="223"/>
      <c r="DX2504" s="223"/>
      <c r="DY2504" s="223"/>
      <c r="DZ2504" s="223"/>
      <c r="EA2504" s="223"/>
      <c r="EB2504" s="223"/>
      <c r="EC2504" s="223"/>
      <c r="ED2504" s="223"/>
      <c r="EE2504" s="223"/>
      <c r="EF2504" s="223"/>
      <c r="EG2504" s="223"/>
      <c r="EH2504" s="223"/>
      <c r="EI2504" s="223"/>
      <c r="EJ2504" s="223"/>
      <c r="EK2504" s="223"/>
      <c r="EL2504" s="223"/>
      <c r="EM2504" s="223"/>
      <c r="EN2504" s="223"/>
      <c r="EO2504" s="223"/>
      <c r="EP2504" s="223"/>
      <c r="EQ2504" s="223"/>
      <c r="ER2504" s="223"/>
      <c r="ES2504" s="223"/>
      <c r="ET2504" s="223"/>
      <c r="EU2504" s="223"/>
      <c r="EV2504" s="223"/>
      <c r="EW2504" s="223"/>
      <c r="EX2504" s="223"/>
      <c r="EY2504" s="223"/>
      <c r="EZ2504" s="223"/>
      <c r="FA2504" s="223"/>
      <c r="FB2504" s="223"/>
      <c r="FC2504" s="223"/>
      <c r="FD2504" s="223"/>
      <c r="FE2504" s="223"/>
      <c r="FF2504" s="223"/>
      <c r="FG2504" s="223"/>
      <c r="FH2504" s="223"/>
      <c r="FI2504" s="223"/>
      <c r="FJ2504" s="223"/>
      <c r="FK2504" s="223"/>
      <c r="FL2504" s="223"/>
      <c r="FM2504" s="223"/>
      <c r="FN2504" s="223"/>
      <c r="FO2504" s="223"/>
      <c r="FP2504" s="223"/>
      <c r="FQ2504" s="223"/>
      <c r="FR2504" s="223"/>
      <c r="FS2504" s="223"/>
      <c r="FT2504" s="223"/>
      <c r="FU2504" s="223"/>
      <c r="FV2504" s="223"/>
      <c r="FW2504" s="223"/>
      <c r="FX2504" s="223"/>
      <c r="FY2504" s="223"/>
      <c r="FZ2504" s="223"/>
      <c r="GA2504" s="223"/>
      <c r="GB2504" s="223"/>
      <c r="GC2504" s="223"/>
      <c r="GD2504" s="223"/>
      <c r="GE2504" s="223"/>
      <c r="GF2504" s="223"/>
      <c r="GG2504" s="223"/>
      <c r="GH2504" s="223"/>
      <c r="GI2504" s="223"/>
      <c r="GJ2504" s="223"/>
      <c r="GK2504" s="223"/>
      <c r="GL2504" s="223"/>
      <c r="GM2504" s="223"/>
      <c r="GN2504" s="223"/>
      <c r="GO2504" s="223"/>
      <c r="GP2504" s="223"/>
      <c r="GQ2504" s="223"/>
      <c r="GR2504" s="223"/>
      <c r="GS2504" s="223"/>
      <c r="GT2504" s="223"/>
      <c r="GU2504" s="223"/>
      <c r="GV2504" s="223"/>
      <c r="GW2504" s="223"/>
      <c r="GX2504" s="223"/>
      <c r="GY2504" s="223"/>
      <c r="GZ2504" s="223"/>
      <c r="HA2504" s="223"/>
      <c r="HB2504" s="223"/>
      <c r="HC2504" s="223"/>
      <c r="HD2504" s="223"/>
      <c r="HE2504" s="223"/>
      <c r="HF2504" s="223"/>
      <c r="HG2504" s="223"/>
      <c r="HH2504" s="223"/>
      <c r="HI2504" s="223"/>
      <c r="HJ2504" s="223"/>
      <c r="HK2504" s="223"/>
      <c r="HL2504" s="223"/>
      <c r="HM2504" s="223"/>
      <c r="HN2504" s="223"/>
      <c r="HO2504" s="223"/>
      <c r="HP2504" s="223"/>
      <c r="HQ2504" s="223"/>
      <c r="HR2504" s="223"/>
      <c r="HS2504" s="223"/>
      <c r="HT2504" s="223"/>
      <c r="HU2504" s="223"/>
      <c r="HV2504" s="223"/>
      <c r="HW2504" s="223"/>
      <c r="HX2504" s="223"/>
      <c r="HY2504" s="223"/>
      <c r="HZ2504" s="223"/>
      <c r="IA2504" s="223"/>
      <c r="IB2504" s="223"/>
      <c r="IC2504" s="223"/>
      <c r="ID2504" s="223"/>
      <c r="IE2504" s="223"/>
      <c r="IF2504" s="223"/>
      <c r="IG2504" s="223"/>
      <c r="IH2504" s="223"/>
      <c r="II2504" s="223"/>
      <c r="IJ2504" s="223"/>
      <c r="IK2504" s="223"/>
      <c r="IL2504" s="223"/>
      <c r="IM2504" s="223"/>
      <c r="IN2504" s="223"/>
      <c r="IO2504" s="223"/>
      <c r="IP2504" s="223"/>
      <c r="IQ2504" s="223"/>
      <c r="IR2504" s="223"/>
      <c r="IS2504" s="223"/>
      <c r="IT2504" s="223"/>
      <c r="IU2504" s="223"/>
      <c r="IV2504" s="223"/>
    </row>
    <row r="2505" spans="22:256" s="221" customFormat="1" x14ac:dyDescent="0.2">
      <c r="V2505" s="223"/>
      <c r="W2505" s="223"/>
      <c r="X2505" s="223"/>
      <c r="Y2505" s="223"/>
      <c r="Z2505" s="223"/>
      <c r="AA2505" s="223"/>
      <c r="AB2505" s="223"/>
      <c r="AC2505" s="223"/>
      <c r="AD2505" s="223"/>
      <c r="AE2505" s="223"/>
      <c r="AF2505" s="223"/>
      <c r="AG2505" s="223"/>
      <c r="AH2505" s="223"/>
      <c r="AI2505" s="223"/>
      <c r="AJ2505" s="223"/>
      <c r="AK2505" s="223"/>
      <c r="AL2505" s="223"/>
      <c r="AM2505" s="223"/>
      <c r="AN2505" s="223"/>
      <c r="AO2505" s="223"/>
      <c r="AP2505" s="223"/>
      <c r="AQ2505" s="223"/>
      <c r="AR2505" s="223"/>
      <c r="AS2505" s="223"/>
      <c r="AT2505" s="324"/>
      <c r="AU2505" s="324"/>
      <c r="AV2505" s="223"/>
      <c r="AW2505" s="223"/>
      <c r="AX2505" s="223"/>
      <c r="AY2505" s="223"/>
      <c r="AZ2505" s="223"/>
      <c r="BA2505" s="223"/>
      <c r="BB2505" s="223"/>
      <c r="BC2505" s="223"/>
      <c r="BD2505" s="223"/>
      <c r="BE2505" s="223"/>
      <c r="BF2505" s="223"/>
      <c r="BG2505" s="223"/>
      <c r="BH2505" s="223"/>
      <c r="BI2505" s="223"/>
      <c r="BJ2505" s="223"/>
      <c r="BK2505" s="223"/>
      <c r="BL2505" s="223"/>
      <c r="BM2505" s="223"/>
      <c r="BN2505" s="223"/>
      <c r="BO2505" s="223"/>
      <c r="BP2505" s="223"/>
      <c r="BQ2505" s="223"/>
      <c r="BR2505" s="223"/>
      <c r="BS2505" s="223"/>
      <c r="BT2505" s="223"/>
      <c r="BU2505" s="223"/>
      <c r="BV2505" s="223"/>
      <c r="BW2505" s="223"/>
      <c r="BX2505" s="223"/>
      <c r="BY2505" s="223"/>
      <c r="BZ2505" s="223"/>
      <c r="CA2505" s="223"/>
      <c r="CB2505" s="223"/>
      <c r="CC2505" s="223"/>
      <c r="CD2505" s="223"/>
      <c r="CE2505" s="223"/>
      <c r="CF2505" s="223"/>
      <c r="CG2505" s="223"/>
      <c r="CH2505" s="223"/>
      <c r="CI2505" s="223"/>
      <c r="CJ2505" s="223"/>
      <c r="CK2505" s="223"/>
      <c r="CL2505" s="223"/>
      <c r="CM2505" s="223"/>
      <c r="CN2505" s="223"/>
      <c r="CO2505" s="223"/>
      <c r="CP2505" s="223"/>
      <c r="CQ2505" s="223"/>
      <c r="CR2505" s="223"/>
      <c r="CS2505" s="223"/>
      <c r="CT2505" s="223"/>
      <c r="CU2505" s="223"/>
      <c r="CV2505" s="223"/>
      <c r="CW2505" s="223"/>
      <c r="CX2505" s="223"/>
      <c r="CY2505" s="223"/>
      <c r="CZ2505" s="223"/>
      <c r="DA2505" s="223"/>
      <c r="DB2505" s="223"/>
      <c r="DC2505" s="223"/>
      <c r="DD2505" s="223"/>
      <c r="DE2505" s="223"/>
      <c r="DF2505" s="223"/>
      <c r="DG2505" s="223"/>
      <c r="DH2505" s="223"/>
      <c r="DI2505" s="223"/>
      <c r="DJ2505" s="223"/>
      <c r="DK2505" s="223"/>
      <c r="DL2505" s="223"/>
      <c r="DM2505" s="223"/>
      <c r="DN2505" s="223"/>
      <c r="DO2505" s="223"/>
      <c r="DP2505" s="223"/>
      <c r="DQ2505" s="223"/>
      <c r="DR2505" s="223"/>
      <c r="DS2505" s="223"/>
      <c r="DT2505" s="223"/>
      <c r="DU2505" s="223"/>
      <c r="DV2505" s="223"/>
      <c r="DW2505" s="223"/>
      <c r="DX2505" s="223"/>
      <c r="DY2505" s="223"/>
      <c r="DZ2505" s="223"/>
      <c r="EA2505" s="223"/>
      <c r="EB2505" s="223"/>
      <c r="EC2505" s="223"/>
      <c r="ED2505" s="223"/>
      <c r="EE2505" s="223"/>
      <c r="EF2505" s="223"/>
      <c r="EG2505" s="223"/>
      <c r="EH2505" s="223"/>
      <c r="EI2505" s="223"/>
      <c r="EJ2505" s="223"/>
      <c r="EK2505" s="223"/>
      <c r="EL2505" s="223"/>
      <c r="EM2505" s="223"/>
      <c r="EN2505" s="223"/>
      <c r="EO2505" s="223"/>
      <c r="EP2505" s="223"/>
      <c r="EQ2505" s="223"/>
      <c r="ER2505" s="223"/>
      <c r="ES2505" s="223"/>
      <c r="ET2505" s="223"/>
      <c r="EU2505" s="223"/>
      <c r="EV2505" s="223"/>
      <c r="EW2505" s="223"/>
      <c r="EX2505" s="223"/>
      <c r="EY2505" s="223"/>
      <c r="EZ2505" s="223"/>
      <c r="FA2505" s="223"/>
      <c r="FB2505" s="223"/>
      <c r="FC2505" s="223"/>
      <c r="FD2505" s="223"/>
      <c r="FE2505" s="223"/>
      <c r="FF2505" s="223"/>
      <c r="FG2505" s="223"/>
      <c r="FH2505" s="223"/>
      <c r="FI2505" s="223"/>
      <c r="FJ2505" s="223"/>
      <c r="FK2505" s="223"/>
      <c r="FL2505" s="223"/>
      <c r="FM2505" s="223"/>
      <c r="FN2505" s="223"/>
      <c r="FO2505" s="223"/>
      <c r="FP2505" s="223"/>
      <c r="FQ2505" s="223"/>
      <c r="FR2505" s="223"/>
      <c r="FS2505" s="223"/>
      <c r="FT2505" s="223"/>
      <c r="FU2505" s="223"/>
      <c r="FV2505" s="223"/>
      <c r="FW2505" s="223"/>
      <c r="FX2505" s="223"/>
      <c r="FY2505" s="223"/>
      <c r="FZ2505" s="223"/>
      <c r="GA2505" s="223"/>
      <c r="GB2505" s="223"/>
      <c r="GC2505" s="223"/>
      <c r="GD2505" s="223"/>
      <c r="GE2505" s="223"/>
      <c r="GF2505" s="223"/>
      <c r="GG2505" s="223"/>
      <c r="GH2505" s="223"/>
      <c r="GI2505" s="223"/>
      <c r="GJ2505" s="223"/>
      <c r="GK2505" s="223"/>
      <c r="GL2505" s="223"/>
      <c r="GM2505" s="223"/>
      <c r="GN2505" s="223"/>
      <c r="GO2505" s="223"/>
      <c r="GP2505" s="223"/>
      <c r="GQ2505" s="223"/>
      <c r="GR2505" s="223"/>
      <c r="GS2505" s="223"/>
      <c r="GT2505" s="223"/>
      <c r="GU2505" s="223"/>
      <c r="GV2505" s="223"/>
      <c r="GW2505" s="223"/>
      <c r="GX2505" s="223"/>
      <c r="GY2505" s="223"/>
      <c r="GZ2505" s="223"/>
      <c r="HA2505" s="223"/>
      <c r="HB2505" s="223"/>
      <c r="HC2505" s="223"/>
      <c r="HD2505" s="223"/>
      <c r="HE2505" s="223"/>
      <c r="HF2505" s="223"/>
      <c r="HG2505" s="223"/>
      <c r="HH2505" s="223"/>
      <c r="HI2505" s="223"/>
      <c r="HJ2505" s="223"/>
      <c r="HK2505" s="223"/>
      <c r="HL2505" s="223"/>
      <c r="HM2505" s="223"/>
      <c r="HN2505" s="223"/>
      <c r="HO2505" s="223"/>
      <c r="HP2505" s="223"/>
      <c r="HQ2505" s="223"/>
      <c r="HR2505" s="223"/>
      <c r="HS2505" s="223"/>
      <c r="HT2505" s="223"/>
      <c r="HU2505" s="223"/>
      <c r="HV2505" s="223"/>
      <c r="HW2505" s="223"/>
      <c r="HX2505" s="223"/>
      <c r="HY2505" s="223"/>
      <c r="HZ2505" s="223"/>
      <c r="IA2505" s="223"/>
      <c r="IB2505" s="223"/>
      <c r="IC2505" s="223"/>
      <c r="ID2505" s="223"/>
      <c r="IE2505" s="223"/>
      <c r="IF2505" s="223"/>
      <c r="IG2505" s="223"/>
      <c r="IH2505" s="223"/>
      <c r="II2505" s="223"/>
      <c r="IJ2505" s="223"/>
      <c r="IK2505" s="223"/>
      <c r="IL2505" s="223"/>
      <c r="IM2505" s="223"/>
      <c r="IN2505" s="223"/>
      <c r="IO2505" s="223"/>
      <c r="IP2505" s="223"/>
      <c r="IQ2505" s="223"/>
      <c r="IR2505" s="223"/>
      <c r="IS2505" s="223"/>
      <c r="IT2505" s="223"/>
      <c r="IU2505" s="223"/>
      <c r="IV2505" s="223"/>
    </row>
    <row r="2506" spans="22:256" s="221" customFormat="1" x14ac:dyDescent="0.2">
      <c r="V2506" s="223"/>
      <c r="W2506" s="223"/>
      <c r="X2506" s="223"/>
      <c r="Y2506" s="223"/>
      <c r="Z2506" s="223"/>
      <c r="AA2506" s="223"/>
      <c r="AB2506" s="223"/>
      <c r="AC2506" s="223"/>
      <c r="AD2506" s="223"/>
      <c r="AE2506" s="223"/>
      <c r="AF2506" s="223"/>
      <c r="AG2506" s="223"/>
      <c r="AH2506" s="223"/>
      <c r="AI2506" s="223"/>
      <c r="AJ2506" s="223"/>
      <c r="AK2506" s="223"/>
      <c r="AL2506" s="223"/>
      <c r="AM2506" s="223"/>
      <c r="AN2506" s="223"/>
      <c r="AO2506" s="223"/>
      <c r="AP2506" s="223"/>
      <c r="AQ2506" s="223"/>
      <c r="AR2506" s="223"/>
      <c r="AS2506" s="223"/>
      <c r="AT2506" s="324"/>
      <c r="AU2506" s="324"/>
      <c r="AV2506" s="223"/>
      <c r="AW2506" s="223"/>
      <c r="AX2506" s="223"/>
      <c r="AY2506" s="223"/>
      <c r="AZ2506" s="223"/>
      <c r="BA2506" s="223"/>
      <c r="BB2506" s="223"/>
      <c r="BC2506" s="223"/>
      <c r="BD2506" s="223"/>
      <c r="BE2506" s="223"/>
      <c r="BF2506" s="223"/>
      <c r="BG2506" s="223"/>
      <c r="BH2506" s="223"/>
      <c r="BI2506" s="223"/>
      <c r="BJ2506" s="223"/>
      <c r="BK2506" s="223"/>
      <c r="BL2506" s="223"/>
      <c r="BM2506" s="223"/>
      <c r="BN2506" s="223"/>
      <c r="BO2506" s="223"/>
      <c r="BP2506" s="223"/>
      <c r="BQ2506" s="223"/>
      <c r="BR2506" s="223"/>
      <c r="BS2506" s="223"/>
      <c r="BT2506" s="223"/>
      <c r="BU2506" s="223"/>
      <c r="BV2506" s="223"/>
      <c r="BW2506" s="223"/>
      <c r="BX2506" s="223"/>
      <c r="BY2506" s="223"/>
      <c r="BZ2506" s="223"/>
      <c r="CA2506" s="223"/>
      <c r="CB2506" s="223"/>
      <c r="CC2506" s="223"/>
      <c r="CD2506" s="223"/>
      <c r="CE2506" s="223"/>
      <c r="CF2506" s="223"/>
      <c r="CG2506" s="223"/>
      <c r="CH2506" s="223"/>
      <c r="CI2506" s="223"/>
      <c r="CJ2506" s="223"/>
      <c r="CK2506" s="223"/>
      <c r="CL2506" s="223"/>
      <c r="CM2506" s="223"/>
      <c r="CN2506" s="223"/>
      <c r="CO2506" s="223"/>
      <c r="CP2506" s="223"/>
      <c r="CQ2506" s="223"/>
      <c r="CR2506" s="223"/>
      <c r="CS2506" s="223"/>
      <c r="CT2506" s="223"/>
      <c r="CU2506" s="223"/>
      <c r="CV2506" s="223"/>
      <c r="CW2506" s="223"/>
      <c r="CX2506" s="223"/>
      <c r="CY2506" s="223"/>
      <c r="CZ2506" s="223"/>
      <c r="DA2506" s="223"/>
      <c r="DB2506" s="223"/>
      <c r="DC2506" s="223"/>
      <c r="DD2506" s="223"/>
      <c r="DE2506" s="223"/>
      <c r="DF2506" s="223"/>
      <c r="DG2506" s="223"/>
      <c r="DH2506" s="223"/>
      <c r="DI2506" s="223"/>
      <c r="DJ2506" s="223"/>
      <c r="DK2506" s="223"/>
      <c r="DL2506" s="223"/>
      <c r="DM2506" s="223"/>
      <c r="DN2506" s="223"/>
      <c r="DO2506" s="223"/>
      <c r="DP2506" s="223"/>
      <c r="DQ2506" s="223"/>
      <c r="DR2506" s="223"/>
      <c r="DS2506" s="223"/>
      <c r="DT2506" s="223"/>
      <c r="DU2506" s="223"/>
      <c r="DV2506" s="223"/>
      <c r="DW2506" s="223"/>
      <c r="DX2506" s="223"/>
      <c r="DY2506" s="223"/>
      <c r="DZ2506" s="223"/>
      <c r="EA2506" s="223"/>
      <c r="EB2506" s="223"/>
      <c r="EC2506" s="223"/>
      <c r="ED2506" s="223"/>
      <c r="EE2506" s="223"/>
      <c r="EF2506" s="223"/>
      <c r="EG2506" s="223"/>
      <c r="EH2506" s="223"/>
      <c r="EI2506" s="223"/>
      <c r="EJ2506" s="223"/>
      <c r="EK2506" s="223"/>
      <c r="EL2506" s="223"/>
      <c r="EM2506" s="223"/>
      <c r="EN2506" s="223"/>
      <c r="EO2506" s="223"/>
      <c r="EP2506" s="223"/>
      <c r="EQ2506" s="223"/>
      <c r="ER2506" s="223"/>
      <c r="ES2506" s="223"/>
      <c r="ET2506" s="223"/>
      <c r="EU2506" s="223"/>
      <c r="EV2506" s="223"/>
      <c r="EW2506" s="223"/>
      <c r="EX2506" s="223"/>
      <c r="EY2506" s="223"/>
      <c r="EZ2506" s="223"/>
      <c r="FA2506" s="223"/>
      <c r="FB2506" s="223"/>
      <c r="FC2506" s="223"/>
      <c r="FD2506" s="223"/>
      <c r="FE2506" s="223"/>
      <c r="FF2506" s="223"/>
      <c r="FG2506" s="223"/>
      <c r="FH2506" s="223"/>
      <c r="FI2506" s="223"/>
      <c r="FJ2506" s="223"/>
      <c r="FK2506" s="223"/>
      <c r="FL2506" s="223"/>
      <c r="FM2506" s="223"/>
      <c r="FN2506" s="223"/>
      <c r="FO2506" s="223"/>
      <c r="FP2506" s="223"/>
      <c r="FQ2506" s="223"/>
      <c r="FR2506" s="223"/>
      <c r="FS2506" s="223"/>
      <c r="FT2506" s="223"/>
      <c r="FU2506" s="223"/>
      <c r="FV2506" s="223"/>
      <c r="FW2506" s="223"/>
      <c r="FX2506" s="223"/>
      <c r="FY2506" s="223"/>
      <c r="FZ2506" s="223"/>
      <c r="GA2506" s="223"/>
      <c r="GB2506" s="223"/>
      <c r="GC2506" s="223"/>
      <c r="GD2506" s="223"/>
      <c r="GE2506" s="223"/>
      <c r="GF2506" s="223"/>
      <c r="GG2506" s="223"/>
      <c r="GH2506" s="223"/>
      <c r="GI2506" s="223"/>
      <c r="GJ2506" s="223"/>
      <c r="GK2506" s="223"/>
      <c r="GL2506" s="223"/>
      <c r="GM2506" s="223"/>
      <c r="GN2506" s="223"/>
      <c r="GO2506" s="223"/>
      <c r="GP2506" s="223"/>
      <c r="GQ2506" s="223"/>
      <c r="GR2506" s="223"/>
      <c r="GS2506" s="223"/>
      <c r="GT2506" s="223"/>
      <c r="GU2506" s="223"/>
      <c r="GV2506" s="223"/>
      <c r="GW2506" s="223"/>
      <c r="GX2506" s="223"/>
      <c r="GY2506" s="223"/>
      <c r="GZ2506" s="223"/>
      <c r="HA2506" s="223"/>
      <c r="HB2506" s="223"/>
      <c r="HC2506" s="223"/>
      <c r="HD2506" s="223"/>
      <c r="HE2506" s="223"/>
      <c r="HF2506" s="223"/>
      <c r="HG2506" s="223"/>
      <c r="HH2506" s="223"/>
      <c r="HI2506" s="223"/>
      <c r="HJ2506" s="223"/>
      <c r="HK2506" s="223"/>
      <c r="HL2506" s="223"/>
      <c r="HM2506" s="223"/>
      <c r="HN2506" s="223"/>
      <c r="HO2506" s="223"/>
      <c r="HP2506" s="223"/>
      <c r="HQ2506" s="223"/>
      <c r="HR2506" s="223"/>
      <c r="HS2506" s="223"/>
      <c r="HT2506" s="223"/>
      <c r="HU2506" s="223"/>
      <c r="HV2506" s="223"/>
      <c r="HW2506" s="223"/>
      <c r="HX2506" s="223"/>
      <c r="HY2506" s="223"/>
      <c r="HZ2506" s="223"/>
      <c r="IA2506" s="223"/>
      <c r="IB2506" s="223"/>
      <c r="IC2506" s="223"/>
      <c r="ID2506" s="223"/>
      <c r="IE2506" s="223"/>
      <c r="IF2506" s="223"/>
      <c r="IG2506" s="223"/>
      <c r="IH2506" s="223"/>
      <c r="II2506" s="223"/>
      <c r="IJ2506" s="223"/>
      <c r="IK2506" s="223"/>
      <c r="IL2506" s="223"/>
      <c r="IM2506" s="223"/>
      <c r="IN2506" s="223"/>
      <c r="IO2506" s="223"/>
      <c r="IP2506" s="223"/>
      <c r="IQ2506" s="223"/>
      <c r="IR2506" s="223"/>
      <c r="IS2506" s="223"/>
      <c r="IT2506" s="223"/>
      <c r="IU2506" s="223"/>
      <c r="IV2506" s="223"/>
    </row>
    <row r="2507" spans="22:256" s="221" customFormat="1" x14ac:dyDescent="0.2">
      <c r="V2507" s="223"/>
      <c r="W2507" s="223"/>
      <c r="X2507" s="223"/>
      <c r="Y2507" s="223"/>
      <c r="Z2507" s="223"/>
      <c r="AA2507" s="223"/>
      <c r="AB2507" s="223"/>
      <c r="AC2507" s="223"/>
      <c r="AD2507" s="223"/>
      <c r="AE2507" s="223"/>
      <c r="AF2507" s="223"/>
      <c r="AG2507" s="223"/>
      <c r="AH2507" s="223"/>
      <c r="AI2507" s="223"/>
      <c r="AJ2507" s="223"/>
      <c r="AK2507" s="223"/>
      <c r="AL2507" s="223"/>
      <c r="AM2507" s="223"/>
      <c r="AN2507" s="223"/>
      <c r="AO2507" s="223"/>
      <c r="AP2507" s="223"/>
      <c r="AQ2507" s="223"/>
      <c r="AR2507" s="223"/>
      <c r="AS2507" s="223"/>
      <c r="AT2507" s="324"/>
      <c r="AU2507" s="324"/>
      <c r="AV2507" s="223"/>
      <c r="AW2507" s="223"/>
      <c r="AX2507" s="223"/>
      <c r="AY2507" s="223"/>
      <c r="AZ2507" s="223"/>
      <c r="BA2507" s="223"/>
      <c r="BB2507" s="223"/>
      <c r="BC2507" s="223"/>
      <c r="BD2507" s="223"/>
      <c r="BE2507" s="223"/>
      <c r="BF2507" s="223"/>
      <c r="BG2507" s="223"/>
      <c r="BH2507" s="223"/>
      <c r="BI2507" s="223"/>
      <c r="BJ2507" s="223"/>
      <c r="BK2507" s="223"/>
      <c r="BL2507" s="223"/>
      <c r="BM2507" s="223"/>
      <c r="BN2507" s="223"/>
      <c r="BO2507" s="223"/>
      <c r="BP2507" s="223"/>
      <c r="BQ2507" s="223"/>
      <c r="BR2507" s="223"/>
      <c r="BS2507" s="223"/>
      <c r="BT2507" s="223"/>
      <c r="BU2507" s="223"/>
      <c r="BV2507" s="223"/>
      <c r="BW2507" s="223"/>
      <c r="BX2507" s="223"/>
      <c r="BY2507" s="223"/>
      <c r="BZ2507" s="223"/>
      <c r="CA2507" s="223"/>
      <c r="CB2507" s="223"/>
      <c r="CC2507" s="223"/>
      <c r="CD2507" s="223"/>
      <c r="CE2507" s="223"/>
      <c r="CF2507" s="223"/>
      <c r="CG2507" s="223"/>
      <c r="CH2507" s="223"/>
      <c r="CI2507" s="223"/>
      <c r="CJ2507" s="223"/>
      <c r="CK2507" s="223"/>
      <c r="CL2507" s="223"/>
      <c r="CM2507" s="223"/>
      <c r="CN2507" s="223"/>
      <c r="CO2507" s="223"/>
      <c r="CP2507" s="223"/>
      <c r="CQ2507" s="223"/>
      <c r="CR2507" s="223"/>
      <c r="CS2507" s="223"/>
      <c r="CT2507" s="223"/>
      <c r="CU2507" s="223"/>
      <c r="CV2507" s="223"/>
      <c r="CW2507" s="223"/>
      <c r="CX2507" s="223"/>
      <c r="CY2507" s="223"/>
      <c r="CZ2507" s="223"/>
      <c r="DA2507" s="223"/>
      <c r="DB2507" s="223"/>
      <c r="DC2507" s="223"/>
      <c r="DD2507" s="223"/>
      <c r="DE2507" s="223"/>
      <c r="DF2507" s="223"/>
      <c r="DG2507" s="223"/>
      <c r="DH2507" s="223"/>
      <c r="DI2507" s="223"/>
      <c r="DJ2507" s="223"/>
      <c r="DK2507" s="223"/>
      <c r="DL2507" s="223"/>
      <c r="DM2507" s="223"/>
      <c r="DN2507" s="223"/>
      <c r="DO2507" s="223"/>
      <c r="DP2507" s="223"/>
      <c r="DQ2507" s="223"/>
      <c r="DR2507" s="223"/>
      <c r="DS2507" s="223"/>
      <c r="DT2507" s="223"/>
      <c r="DU2507" s="223"/>
      <c r="DV2507" s="223"/>
      <c r="DW2507" s="223"/>
      <c r="DX2507" s="223"/>
      <c r="DY2507" s="223"/>
      <c r="DZ2507" s="223"/>
      <c r="EA2507" s="223"/>
      <c r="EB2507" s="223"/>
      <c r="EC2507" s="223"/>
      <c r="ED2507" s="223"/>
      <c r="EE2507" s="223"/>
      <c r="EF2507" s="223"/>
      <c r="EG2507" s="223"/>
      <c r="EH2507" s="223"/>
      <c r="EI2507" s="223"/>
      <c r="EJ2507" s="223"/>
      <c r="EK2507" s="223"/>
      <c r="EL2507" s="223"/>
      <c r="EM2507" s="223"/>
      <c r="EN2507" s="223"/>
      <c r="EO2507" s="223"/>
      <c r="EP2507" s="223"/>
      <c r="EQ2507" s="223"/>
      <c r="ER2507" s="223"/>
      <c r="ES2507" s="223"/>
      <c r="ET2507" s="223"/>
      <c r="EU2507" s="223"/>
      <c r="EV2507" s="223"/>
      <c r="EW2507" s="223"/>
      <c r="EX2507" s="223"/>
      <c r="EY2507" s="223"/>
      <c r="EZ2507" s="223"/>
      <c r="FA2507" s="223"/>
      <c r="FB2507" s="223"/>
      <c r="FC2507" s="223"/>
      <c r="FD2507" s="223"/>
      <c r="FE2507" s="223"/>
      <c r="FF2507" s="223"/>
      <c r="FG2507" s="223"/>
      <c r="FH2507" s="223"/>
      <c r="FI2507" s="223"/>
      <c r="FJ2507" s="223"/>
      <c r="FK2507" s="223"/>
      <c r="FL2507" s="223"/>
      <c r="FM2507" s="223"/>
      <c r="FN2507" s="223"/>
      <c r="FO2507" s="223"/>
      <c r="FP2507" s="223"/>
      <c r="FQ2507" s="223"/>
      <c r="FR2507" s="223"/>
      <c r="FS2507" s="223"/>
      <c r="FT2507" s="223"/>
      <c r="FU2507" s="223"/>
      <c r="FV2507" s="223"/>
      <c r="FW2507" s="223"/>
      <c r="FX2507" s="223"/>
      <c r="FY2507" s="223"/>
      <c r="FZ2507" s="223"/>
      <c r="GA2507" s="223"/>
      <c r="GB2507" s="223"/>
      <c r="GC2507" s="223"/>
      <c r="GD2507" s="223"/>
      <c r="GE2507" s="223"/>
      <c r="GF2507" s="223"/>
      <c r="GG2507" s="223"/>
      <c r="GH2507" s="223"/>
      <c r="GI2507" s="223"/>
      <c r="GJ2507" s="223"/>
      <c r="GK2507" s="223"/>
      <c r="GL2507" s="223"/>
      <c r="GM2507" s="223"/>
      <c r="GN2507" s="223"/>
      <c r="GO2507" s="223"/>
      <c r="GP2507" s="223"/>
      <c r="GQ2507" s="223"/>
      <c r="GR2507" s="223"/>
      <c r="GS2507" s="223"/>
      <c r="GT2507" s="223"/>
      <c r="GU2507" s="223"/>
      <c r="GV2507" s="223"/>
      <c r="GW2507" s="223"/>
      <c r="GX2507" s="223"/>
      <c r="GY2507" s="223"/>
      <c r="GZ2507" s="223"/>
      <c r="HA2507" s="223"/>
      <c r="HB2507" s="223"/>
      <c r="HC2507" s="223"/>
      <c r="HD2507" s="223"/>
      <c r="HE2507" s="223"/>
      <c r="HF2507" s="223"/>
      <c r="HG2507" s="223"/>
      <c r="HH2507" s="223"/>
      <c r="HI2507" s="223"/>
      <c r="HJ2507" s="223"/>
      <c r="HK2507" s="223"/>
      <c r="HL2507" s="223"/>
      <c r="HM2507" s="223"/>
      <c r="HN2507" s="223"/>
      <c r="HO2507" s="223"/>
      <c r="HP2507" s="223"/>
      <c r="HQ2507" s="223"/>
      <c r="HR2507" s="223"/>
      <c r="HS2507" s="223"/>
      <c r="HT2507" s="223"/>
      <c r="HU2507" s="223"/>
      <c r="HV2507" s="223"/>
      <c r="HW2507" s="223"/>
      <c r="HX2507" s="223"/>
      <c r="HY2507" s="223"/>
      <c r="HZ2507" s="223"/>
      <c r="IA2507" s="223"/>
      <c r="IB2507" s="223"/>
      <c r="IC2507" s="223"/>
      <c r="ID2507" s="223"/>
      <c r="IE2507" s="223"/>
      <c r="IF2507" s="223"/>
      <c r="IG2507" s="223"/>
      <c r="IH2507" s="223"/>
      <c r="II2507" s="223"/>
      <c r="IJ2507" s="223"/>
      <c r="IK2507" s="223"/>
      <c r="IL2507" s="223"/>
      <c r="IM2507" s="223"/>
      <c r="IN2507" s="223"/>
      <c r="IO2507" s="223"/>
      <c r="IP2507" s="223"/>
      <c r="IQ2507" s="223"/>
      <c r="IR2507" s="223"/>
      <c r="IS2507" s="223"/>
      <c r="IT2507" s="223"/>
      <c r="IU2507" s="223"/>
      <c r="IV2507" s="223"/>
    </row>
    <row r="2508" spans="22:256" s="221" customFormat="1" x14ac:dyDescent="0.2">
      <c r="V2508" s="223"/>
      <c r="W2508" s="223"/>
      <c r="X2508" s="223"/>
      <c r="Y2508" s="223"/>
      <c r="Z2508" s="223"/>
      <c r="AA2508" s="223"/>
      <c r="AB2508" s="223"/>
      <c r="AC2508" s="223"/>
      <c r="AD2508" s="223"/>
      <c r="AE2508" s="223"/>
      <c r="AF2508" s="223"/>
      <c r="AG2508" s="223"/>
      <c r="AH2508" s="223"/>
      <c r="AI2508" s="223"/>
      <c r="AJ2508" s="223"/>
      <c r="AK2508" s="223"/>
      <c r="AL2508" s="223"/>
      <c r="AM2508" s="223"/>
      <c r="AN2508" s="223"/>
      <c r="AO2508" s="223"/>
      <c r="AP2508" s="223"/>
      <c r="AQ2508" s="223"/>
      <c r="AR2508" s="223"/>
      <c r="AS2508" s="223"/>
      <c r="AT2508" s="324"/>
      <c r="AU2508" s="324"/>
      <c r="AV2508" s="223"/>
      <c r="AW2508" s="223"/>
      <c r="AX2508" s="223"/>
      <c r="AY2508" s="223"/>
      <c r="AZ2508" s="223"/>
      <c r="BA2508" s="223"/>
      <c r="BB2508" s="223"/>
      <c r="BC2508" s="223"/>
      <c r="BD2508" s="223"/>
      <c r="BE2508" s="223"/>
      <c r="BF2508" s="223"/>
      <c r="BG2508" s="223"/>
      <c r="BH2508" s="223"/>
      <c r="BI2508" s="223"/>
      <c r="BJ2508" s="223"/>
      <c r="BK2508" s="223"/>
      <c r="BL2508" s="223"/>
      <c r="BM2508" s="223"/>
      <c r="BN2508" s="223"/>
      <c r="BO2508" s="223"/>
      <c r="BP2508" s="223"/>
      <c r="BQ2508" s="223"/>
      <c r="BR2508" s="223"/>
      <c r="BS2508" s="223"/>
      <c r="BT2508" s="223"/>
      <c r="BU2508" s="223"/>
      <c r="BV2508" s="223"/>
      <c r="BW2508" s="223"/>
      <c r="BX2508" s="223"/>
      <c r="BY2508" s="223"/>
      <c r="BZ2508" s="223"/>
      <c r="CA2508" s="223"/>
      <c r="CB2508" s="223"/>
      <c r="CC2508" s="223"/>
      <c r="CD2508" s="223"/>
      <c r="CE2508" s="223"/>
      <c r="CF2508" s="223"/>
      <c r="CG2508" s="223"/>
      <c r="CH2508" s="223"/>
      <c r="CI2508" s="223"/>
      <c r="CJ2508" s="223"/>
      <c r="CK2508" s="223"/>
      <c r="CL2508" s="223"/>
      <c r="CM2508" s="223"/>
      <c r="CN2508" s="223"/>
      <c r="CO2508" s="223"/>
      <c r="CP2508" s="223"/>
      <c r="CQ2508" s="223"/>
      <c r="CR2508" s="223"/>
      <c r="CS2508" s="223"/>
      <c r="CT2508" s="223"/>
      <c r="CU2508" s="223"/>
      <c r="CV2508" s="223"/>
      <c r="CW2508" s="223"/>
      <c r="CX2508" s="223"/>
      <c r="CY2508" s="223"/>
      <c r="CZ2508" s="223"/>
      <c r="DA2508" s="223"/>
      <c r="DB2508" s="223"/>
      <c r="DC2508" s="223"/>
      <c r="DD2508" s="223"/>
      <c r="DE2508" s="223"/>
      <c r="DF2508" s="223"/>
      <c r="DG2508" s="223"/>
      <c r="DH2508" s="223"/>
      <c r="DI2508" s="223"/>
      <c r="DJ2508" s="223"/>
      <c r="DK2508" s="223"/>
      <c r="DL2508" s="223"/>
      <c r="DM2508" s="223"/>
      <c r="DN2508" s="223"/>
      <c r="DO2508" s="223"/>
      <c r="DP2508" s="223"/>
      <c r="DQ2508" s="223"/>
      <c r="DR2508" s="223"/>
      <c r="DS2508" s="223"/>
      <c r="DT2508" s="223"/>
      <c r="DU2508" s="223"/>
      <c r="DV2508" s="223"/>
      <c r="DW2508" s="223"/>
      <c r="DX2508" s="223"/>
      <c r="DY2508" s="223"/>
      <c r="DZ2508" s="223"/>
      <c r="EA2508" s="223"/>
      <c r="EB2508" s="223"/>
      <c r="EC2508" s="223"/>
      <c r="ED2508" s="223"/>
      <c r="EE2508" s="223"/>
      <c r="EF2508" s="223"/>
      <c r="EG2508" s="223"/>
      <c r="EH2508" s="223"/>
      <c r="EI2508" s="223"/>
      <c r="EJ2508" s="223"/>
      <c r="EK2508" s="223"/>
      <c r="EL2508" s="223"/>
      <c r="EM2508" s="223"/>
      <c r="EN2508" s="223"/>
      <c r="EO2508" s="223"/>
      <c r="EP2508" s="223"/>
      <c r="EQ2508" s="223"/>
      <c r="ER2508" s="223"/>
      <c r="ES2508" s="223"/>
      <c r="ET2508" s="223"/>
      <c r="EU2508" s="223"/>
      <c r="EV2508" s="223"/>
      <c r="EW2508" s="223"/>
      <c r="EX2508" s="223"/>
      <c r="EY2508" s="223"/>
      <c r="EZ2508" s="223"/>
      <c r="FA2508" s="223"/>
      <c r="FB2508" s="223"/>
      <c r="FC2508" s="223"/>
      <c r="FD2508" s="223"/>
      <c r="FE2508" s="223"/>
      <c r="FF2508" s="223"/>
      <c r="FG2508" s="223"/>
      <c r="FH2508" s="223"/>
      <c r="FI2508" s="223"/>
      <c r="FJ2508" s="223"/>
      <c r="FK2508" s="223"/>
      <c r="FL2508" s="223"/>
      <c r="FM2508" s="223"/>
      <c r="FN2508" s="223"/>
      <c r="FO2508" s="223"/>
      <c r="FP2508" s="223"/>
      <c r="FQ2508" s="223"/>
      <c r="FR2508" s="223"/>
      <c r="FS2508" s="223"/>
      <c r="FT2508" s="223"/>
      <c r="FU2508" s="223"/>
      <c r="FV2508" s="223"/>
      <c r="FW2508" s="223"/>
      <c r="FX2508" s="223"/>
      <c r="FY2508" s="223"/>
      <c r="FZ2508" s="223"/>
      <c r="GA2508" s="223"/>
      <c r="GB2508" s="223"/>
      <c r="GC2508" s="223"/>
      <c r="GD2508" s="223"/>
      <c r="GE2508" s="223"/>
      <c r="GF2508" s="223"/>
      <c r="GG2508" s="223"/>
      <c r="GH2508" s="223"/>
      <c r="GI2508" s="223"/>
      <c r="GJ2508" s="223"/>
      <c r="GK2508" s="223"/>
      <c r="GL2508" s="223"/>
      <c r="GM2508" s="223"/>
      <c r="GN2508" s="223"/>
      <c r="GO2508" s="223"/>
      <c r="GP2508" s="223"/>
      <c r="GQ2508" s="223"/>
      <c r="GR2508" s="223"/>
      <c r="GS2508" s="223"/>
      <c r="GT2508" s="223"/>
      <c r="GU2508" s="223"/>
      <c r="GV2508" s="223"/>
      <c r="GW2508" s="223"/>
      <c r="GX2508" s="223"/>
      <c r="GY2508" s="223"/>
      <c r="GZ2508" s="223"/>
      <c r="HA2508" s="223"/>
      <c r="HB2508" s="223"/>
      <c r="HC2508" s="223"/>
      <c r="HD2508" s="223"/>
      <c r="HE2508" s="223"/>
      <c r="HF2508" s="223"/>
      <c r="HG2508" s="223"/>
      <c r="HH2508" s="223"/>
      <c r="HI2508" s="223"/>
      <c r="HJ2508" s="223"/>
      <c r="HK2508" s="223"/>
      <c r="HL2508" s="223"/>
      <c r="HM2508" s="223"/>
      <c r="HN2508" s="223"/>
      <c r="HO2508" s="223"/>
      <c r="HP2508" s="223"/>
      <c r="HQ2508" s="223"/>
      <c r="HR2508" s="223"/>
      <c r="HS2508" s="223"/>
      <c r="HT2508" s="223"/>
      <c r="HU2508" s="223"/>
      <c r="HV2508" s="223"/>
      <c r="HW2508" s="223"/>
      <c r="HX2508" s="223"/>
      <c r="HY2508" s="223"/>
      <c r="HZ2508" s="223"/>
      <c r="IA2508" s="223"/>
      <c r="IB2508" s="223"/>
      <c r="IC2508" s="223"/>
      <c r="ID2508" s="223"/>
      <c r="IE2508" s="223"/>
      <c r="IF2508" s="223"/>
      <c r="IG2508" s="223"/>
      <c r="IH2508" s="223"/>
      <c r="II2508" s="223"/>
      <c r="IJ2508" s="223"/>
      <c r="IK2508" s="223"/>
      <c r="IL2508" s="223"/>
      <c r="IM2508" s="223"/>
      <c r="IN2508" s="223"/>
      <c r="IO2508" s="223"/>
      <c r="IP2508" s="223"/>
      <c r="IQ2508" s="223"/>
      <c r="IR2508" s="223"/>
      <c r="IS2508" s="223"/>
      <c r="IT2508" s="223"/>
      <c r="IU2508" s="223"/>
      <c r="IV2508" s="223"/>
    </row>
    <row r="2509" spans="22:256" s="221" customFormat="1" x14ac:dyDescent="0.2">
      <c r="V2509" s="223"/>
      <c r="W2509" s="223"/>
      <c r="X2509" s="223"/>
      <c r="Y2509" s="223"/>
      <c r="Z2509" s="223"/>
      <c r="AA2509" s="223"/>
      <c r="AB2509" s="223"/>
      <c r="AC2509" s="223"/>
      <c r="AD2509" s="223"/>
      <c r="AE2509" s="223"/>
      <c r="AF2509" s="223"/>
      <c r="AG2509" s="223"/>
      <c r="AH2509" s="223"/>
      <c r="AI2509" s="223"/>
      <c r="AJ2509" s="223"/>
      <c r="AK2509" s="223"/>
      <c r="AL2509" s="223"/>
      <c r="AM2509" s="223"/>
      <c r="AN2509" s="223"/>
      <c r="AO2509" s="223"/>
      <c r="AP2509" s="223"/>
      <c r="AQ2509" s="223"/>
      <c r="AR2509" s="223"/>
      <c r="AS2509" s="223"/>
      <c r="AT2509" s="324"/>
      <c r="AU2509" s="324"/>
      <c r="AV2509" s="223"/>
      <c r="AW2509" s="223"/>
      <c r="AX2509" s="223"/>
      <c r="AY2509" s="223"/>
      <c r="AZ2509" s="223"/>
      <c r="BA2509" s="223"/>
      <c r="BB2509" s="223"/>
      <c r="BC2509" s="223"/>
      <c r="BD2509" s="223"/>
      <c r="BE2509" s="223"/>
      <c r="BF2509" s="223"/>
      <c r="BG2509" s="223"/>
      <c r="BH2509" s="223"/>
      <c r="BI2509" s="223"/>
      <c r="BJ2509" s="223"/>
      <c r="BK2509" s="223"/>
      <c r="BL2509" s="223"/>
      <c r="BM2509" s="223"/>
      <c r="BN2509" s="223"/>
      <c r="BO2509" s="223"/>
      <c r="BP2509" s="223"/>
      <c r="BQ2509" s="223"/>
      <c r="BR2509" s="223"/>
      <c r="BS2509" s="223"/>
      <c r="BT2509" s="223"/>
      <c r="BU2509" s="223"/>
      <c r="BV2509" s="223"/>
      <c r="BW2509" s="223"/>
      <c r="BX2509" s="223"/>
      <c r="BY2509" s="223"/>
      <c r="BZ2509" s="223"/>
      <c r="CA2509" s="223"/>
      <c r="CB2509" s="223"/>
      <c r="CC2509" s="223"/>
      <c r="CD2509" s="223"/>
      <c r="CE2509" s="223"/>
      <c r="CF2509" s="223"/>
      <c r="CG2509" s="223"/>
      <c r="CH2509" s="223"/>
      <c r="CI2509" s="223"/>
      <c r="CJ2509" s="223"/>
      <c r="CK2509" s="223"/>
      <c r="CL2509" s="223"/>
      <c r="CM2509" s="223"/>
      <c r="CN2509" s="223"/>
      <c r="CO2509" s="223"/>
      <c r="CP2509" s="223"/>
      <c r="CQ2509" s="223"/>
      <c r="CR2509" s="223"/>
      <c r="CS2509" s="223"/>
      <c r="CT2509" s="223"/>
      <c r="CU2509" s="223"/>
      <c r="CV2509" s="223"/>
      <c r="CW2509" s="223"/>
      <c r="CX2509" s="223"/>
      <c r="CY2509" s="223"/>
      <c r="CZ2509" s="223"/>
      <c r="DA2509" s="223"/>
      <c r="DB2509" s="223"/>
      <c r="DC2509" s="223"/>
      <c r="DD2509" s="223"/>
      <c r="DE2509" s="223"/>
      <c r="DF2509" s="223"/>
      <c r="DG2509" s="223"/>
      <c r="DH2509" s="223"/>
      <c r="DI2509" s="223"/>
      <c r="DJ2509" s="223"/>
      <c r="DK2509" s="223"/>
      <c r="DL2509" s="223"/>
      <c r="DM2509" s="223"/>
      <c r="DN2509" s="223"/>
      <c r="DO2509" s="223"/>
      <c r="DP2509" s="223"/>
      <c r="DQ2509" s="223"/>
      <c r="DR2509" s="223"/>
      <c r="DS2509" s="223"/>
      <c r="DT2509" s="223"/>
      <c r="DU2509" s="223"/>
      <c r="DV2509" s="223"/>
      <c r="DW2509" s="223"/>
      <c r="DX2509" s="223"/>
      <c r="DY2509" s="223"/>
      <c r="DZ2509" s="223"/>
      <c r="EA2509" s="223"/>
      <c r="EB2509" s="223"/>
      <c r="EC2509" s="223"/>
      <c r="ED2509" s="223"/>
      <c r="EE2509" s="223"/>
      <c r="EF2509" s="223"/>
      <c r="EG2509" s="223"/>
      <c r="EH2509" s="223"/>
      <c r="EI2509" s="223"/>
      <c r="EJ2509" s="223"/>
      <c r="EK2509" s="223"/>
      <c r="EL2509" s="223"/>
      <c r="EM2509" s="223"/>
      <c r="EN2509" s="223"/>
      <c r="EO2509" s="223"/>
      <c r="EP2509" s="223"/>
      <c r="EQ2509" s="223"/>
      <c r="ER2509" s="223"/>
      <c r="ES2509" s="223"/>
      <c r="ET2509" s="223"/>
      <c r="EU2509" s="223"/>
      <c r="EV2509" s="223"/>
      <c r="EW2509" s="223"/>
      <c r="EX2509" s="223"/>
      <c r="EY2509" s="223"/>
      <c r="EZ2509" s="223"/>
      <c r="FA2509" s="223"/>
      <c r="FB2509" s="223"/>
      <c r="FC2509" s="223"/>
      <c r="FD2509" s="223"/>
      <c r="FE2509" s="223"/>
      <c r="FF2509" s="223"/>
      <c r="FG2509" s="223"/>
      <c r="FH2509" s="223"/>
      <c r="FI2509" s="223"/>
      <c r="FJ2509" s="223"/>
      <c r="FK2509" s="223"/>
      <c r="FL2509" s="223"/>
      <c r="FM2509" s="223"/>
      <c r="FN2509" s="223"/>
      <c r="FO2509" s="223"/>
      <c r="FP2509" s="223"/>
      <c r="FQ2509" s="223"/>
      <c r="FR2509" s="223"/>
      <c r="FS2509" s="223"/>
      <c r="FT2509" s="223"/>
      <c r="FU2509" s="223"/>
      <c r="FV2509" s="223"/>
      <c r="FW2509" s="223"/>
      <c r="FX2509" s="223"/>
      <c r="FY2509" s="223"/>
      <c r="FZ2509" s="223"/>
      <c r="GA2509" s="223"/>
      <c r="GB2509" s="223"/>
      <c r="GC2509" s="223"/>
      <c r="GD2509" s="223"/>
      <c r="GE2509" s="223"/>
      <c r="GF2509" s="223"/>
      <c r="GG2509" s="223"/>
      <c r="GH2509" s="223"/>
      <c r="GI2509" s="223"/>
      <c r="GJ2509" s="223"/>
      <c r="GK2509" s="223"/>
      <c r="GL2509" s="223"/>
      <c r="GM2509" s="223"/>
      <c r="GN2509" s="223"/>
      <c r="GO2509" s="223"/>
      <c r="GP2509" s="223"/>
      <c r="GQ2509" s="223"/>
      <c r="GR2509" s="223"/>
      <c r="GS2509" s="223"/>
      <c r="GT2509" s="223"/>
      <c r="GU2509" s="223"/>
      <c r="GV2509" s="223"/>
      <c r="GW2509" s="223"/>
      <c r="GX2509" s="223"/>
      <c r="GY2509" s="223"/>
      <c r="GZ2509" s="223"/>
      <c r="HA2509" s="223"/>
      <c r="HB2509" s="223"/>
      <c r="HC2509" s="223"/>
      <c r="HD2509" s="223"/>
      <c r="HE2509" s="223"/>
      <c r="HF2509" s="223"/>
      <c r="HG2509" s="223"/>
      <c r="HH2509" s="223"/>
      <c r="HI2509" s="223"/>
      <c r="HJ2509" s="223"/>
      <c r="HK2509" s="223"/>
      <c r="HL2509" s="223"/>
      <c r="HM2509" s="223"/>
      <c r="HN2509" s="223"/>
      <c r="HO2509" s="223"/>
      <c r="HP2509" s="223"/>
      <c r="HQ2509" s="223"/>
      <c r="HR2509" s="223"/>
      <c r="HS2509" s="223"/>
      <c r="HT2509" s="223"/>
      <c r="HU2509" s="223"/>
      <c r="HV2509" s="223"/>
      <c r="HW2509" s="223"/>
      <c r="HX2509" s="223"/>
      <c r="HY2509" s="223"/>
      <c r="HZ2509" s="223"/>
      <c r="IA2509" s="223"/>
      <c r="IB2509" s="223"/>
      <c r="IC2509" s="223"/>
      <c r="ID2509" s="223"/>
      <c r="IE2509" s="223"/>
      <c r="IF2509" s="223"/>
      <c r="IG2509" s="223"/>
      <c r="IH2509" s="223"/>
      <c r="II2509" s="223"/>
      <c r="IJ2509" s="223"/>
      <c r="IK2509" s="223"/>
      <c r="IL2509" s="223"/>
      <c r="IM2509" s="223"/>
      <c r="IN2509" s="223"/>
      <c r="IO2509" s="223"/>
      <c r="IP2509" s="223"/>
      <c r="IQ2509" s="223"/>
      <c r="IR2509" s="223"/>
      <c r="IS2509" s="223"/>
      <c r="IT2509" s="223"/>
      <c r="IU2509" s="223"/>
      <c r="IV2509" s="223"/>
    </row>
    <row r="2510" spans="22:256" s="221" customFormat="1" x14ac:dyDescent="0.2">
      <c r="V2510" s="223"/>
      <c r="W2510" s="223"/>
      <c r="X2510" s="223"/>
      <c r="Y2510" s="223"/>
      <c r="Z2510" s="223"/>
      <c r="AA2510" s="223"/>
      <c r="AB2510" s="223"/>
      <c r="AC2510" s="223"/>
      <c r="AD2510" s="223"/>
      <c r="AE2510" s="223"/>
      <c r="AF2510" s="223"/>
      <c r="AG2510" s="223"/>
      <c r="AH2510" s="223"/>
      <c r="AI2510" s="223"/>
      <c r="AJ2510" s="223"/>
      <c r="AK2510" s="223"/>
      <c r="AL2510" s="223"/>
      <c r="AM2510" s="223"/>
      <c r="AN2510" s="223"/>
      <c r="AO2510" s="223"/>
      <c r="AP2510" s="223"/>
      <c r="AQ2510" s="223"/>
      <c r="AR2510" s="223"/>
      <c r="AS2510" s="223"/>
      <c r="AT2510" s="324"/>
      <c r="AU2510" s="324"/>
      <c r="AV2510" s="223"/>
      <c r="AW2510" s="223"/>
      <c r="AX2510" s="223"/>
      <c r="AY2510" s="223"/>
      <c r="AZ2510" s="223"/>
      <c r="BA2510" s="223"/>
      <c r="BB2510" s="223"/>
      <c r="BC2510" s="223"/>
      <c r="BD2510" s="223"/>
      <c r="BE2510" s="223"/>
      <c r="BF2510" s="223"/>
      <c r="BG2510" s="223"/>
      <c r="BH2510" s="223"/>
      <c r="BI2510" s="223"/>
      <c r="BJ2510" s="223"/>
      <c r="BK2510" s="223"/>
      <c r="BL2510" s="223"/>
      <c r="BM2510" s="223"/>
      <c r="BN2510" s="223"/>
      <c r="BO2510" s="223"/>
      <c r="BP2510" s="223"/>
      <c r="BQ2510" s="223"/>
      <c r="BR2510" s="223"/>
      <c r="BS2510" s="223"/>
      <c r="BT2510" s="223"/>
      <c r="BU2510" s="223"/>
      <c r="BV2510" s="223"/>
      <c r="BW2510" s="223"/>
      <c r="BX2510" s="223"/>
      <c r="BY2510" s="223"/>
      <c r="BZ2510" s="223"/>
      <c r="CA2510" s="223"/>
      <c r="CB2510" s="223"/>
      <c r="CC2510" s="223"/>
      <c r="CD2510" s="223"/>
      <c r="CE2510" s="223"/>
      <c r="CF2510" s="223"/>
      <c r="CG2510" s="223"/>
      <c r="CH2510" s="223"/>
      <c r="CI2510" s="223"/>
      <c r="CJ2510" s="223"/>
      <c r="CK2510" s="223"/>
      <c r="CL2510" s="223"/>
      <c r="CM2510" s="223"/>
      <c r="CN2510" s="223"/>
      <c r="CO2510" s="223"/>
      <c r="CP2510" s="223"/>
      <c r="CQ2510" s="223"/>
      <c r="CR2510" s="223"/>
      <c r="CS2510" s="223"/>
      <c r="CT2510" s="223"/>
      <c r="CU2510" s="223"/>
      <c r="CV2510" s="223"/>
      <c r="CW2510" s="223"/>
      <c r="CX2510" s="223"/>
      <c r="CY2510" s="223"/>
      <c r="CZ2510" s="223"/>
      <c r="DA2510" s="223"/>
      <c r="DB2510" s="223"/>
      <c r="DC2510" s="223"/>
      <c r="DD2510" s="223"/>
      <c r="DE2510" s="223"/>
      <c r="DF2510" s="223"/>
      <c r="DG2510" s="223"/>
      <c r="DH2510" s="223"/>
      <c r="DI2510" s="223"/>
      <c r="DJ2510" s="223"/>
      <c r="DK2510" s="223"/>
      <c r="DL2510" s="223"/>
      <c r="DM2510" s="223"/>
      <c r="DN2510" s="223"/>
      <c r="DO2510" s="223"/>
      <c r="DP2510" s="223"/>
      <c r="DQ2510" s="223"/>
      <c r="DR2510" s="223"/>
      <c r="DS2510" s="223"/>
      <c r="DT2510" s="223"/>
      <c r="DU2510" s="223"/>
      <c r="DV2510" s="223"/>
      <c r="DW2510" s="223"/>
      <c r="DX2510" s="223"/>
      <c r="DY2510" s="223"/>
      <c r="DZ2510" s="223"/>
      <c r="EA2510" s="223"/>
      <c r="EB2510" s="223"/>
      <c r="EC2510" s="223"/>
      <c r="ED2510" s="223"/>
      <c r="EE2510" s="223"/>
      <c r="EF2510" s="223"/>
      <c r="EG2510" s="223"/>
      <c r="EH2510" s="223"/>
      <c r="EI2510" s="223"/>
      <c r="EJ2510" s="223"/>
      <c r="EK2510" s="223"/>
      <c r="EL2510" s="223"/>
      <c r="EM2510" s="223"/>
      <c r="EN2510" s="223"/>
      <c r="EO2510" s="223"/>
      <c r="EP2510" s="223"/>
      <c r="EQ2510" s="223"/>
      <c r="ER2510" s="223"/>
      <c r="ES2510" s="223"/>
      <c r="ET2510" s="223"/>
      <c r="EU2510" s="223"/>
      <c r="EV2510" s="223"/>
      <c r="EW2510" s="223"/>
      <c r="EX2510" s="223"/>
      <c r="EY2510" s="223"/>
      <c r="EZ2510" s="223"/>
      <c r="FA2510" s="223"/>
      <c r="FB2510" s="223"/>
      <c r="FC2510" s="223"/>
      <c r="FD2510" s="223"/>
      <c r="FE2510" s="223"/>
      <c r="FF2510" s="223"/>
      <c r="FG2510" s="223"/>
      <c r="FH2510" s="223"/>
      <c r="FI2510" s="223"/>
      <c r="FJ2510" s="223"/>
      <c r="FK2510" s="223"/>
      <c r="FL2510" s="223"/>
      <c r="FM2510" s="223"/>
      <c r="FN2510" s="223"/>
      <c r="FO2510" s="223"/>
      <c r="FP2510" s="223"/>
      <c r="FQ2510" s="223"/>
      <c r="FR2510" s="223"/>
      <c r="FS2510" s="223"/>
      <c r="FT2510" s="223"/>
      <c r="FU2510" s="223"/>
      <c r="FV2510" s="223"/>
      <c r="FW2510" s="223"/>
      <c r="FX2510" s="223"/>
      <c r="FY2510" s="223"/>
      <c r="FZ2510" s="223"/>
      <c r="GA2510" s="223"/>
      <c r="GB2510" s="223"/>
      <c r="GC2510" s="223"/>
      <c r="GD2510" s="223"/>
      <c r="GE2510" s="223"/>
      <c r="GF2510" s="223"/>
      <c r="GG2510" s="223"/>
      <c r="GH2510" s="223"/>
      <c r="GI2510" s="223"/>
      <c r="GJ2510" s="223"/>
      <c r="GK2510" s="223"/>
      <c r="GL2510" s="223"/>
      <c r="GM2510" s="223"/>
      <c r="GN2510" s="223"/>
      <c r="GO2510" s="223"/>
      <c r="GP2510" s="223"/>
      <c r="GQ2510" s="223"/>
      <c r="GR2510" s="223"/>
      <c r="GS2510" s="223"/>
      <c r="GT2510" s="223"/>
      <c r="GU2510" s="223"/>
      <c r="GV2510" s="223"/>
      <c r="GW2510" s="223"/>
      <c r="GX2510" s="223"/>
      <c r="GY2510" s="223"/>
      <c r="GZ2510" s="223"/>
      <c r="HA2510" s="223"/>
      <c r="HB2510" s="223"/>
      <c r="HC2510" s="223"/>
      <c r="HD2510" s="223"/>
      <c r="HE2510" s="223"/>
      <c r="HF2510" s="223"/>
      <c r="HG2510" s="223"/>
      <c r="HH2510" s="223"/>
      <c r="HI2510" s="223"/>
      <c r="HJ2510" s="223"/>
      <c r="HK2510" s="223"/>
      <c r="HL2510" s="223"/>
      <c r="HM2510" s="223"/>
      <c r="HN2510" s="223"/>
      <c r="HO2510" s="223"/>
      <c r="HP2510" s="223"/>
      <c r="HQ2510" s="223"/>
      <c r="HR2510" s="223"/>
      <c r="HS2510" s="223"/>
      <c r="HT2510" s="223"/>
      <c r="HU2510" s="223"/>
      <c r="HV2510" s="223"/>
      <c r="HW2510" s="223"/>
      <c r="HX2510" s="223"/>
      <c r="HY2510" s="223"/>
      <c r="HZ2510" s="223"/>
      <c r="IA2510" s="223"/>
      <c r="IB2510" s="223"/>
      <c r="IC2510" s="223"/>
      <c r="ID2510" s="223"/>
      <c r="IE2510" s="223"/>
      <c r="IF2510" s="223"/>
      <c r="IG2510" s="223"/>
      <c r="IH2510" s="223"/>
      <c r="II2510" s="223"/>
      <c r="IJ2510" s="223"/>
      <c r="IK2510" s="223"/>
      <c r="IL2510" s="223"/>
      <c r="IM2510" s="223"/>
      <c r="IN2510" s="223"/>
      <c r="IO2510" s="223"/>
      <c r="IP2510" s="223"/>
      <c r="IQ2510" s="223"/>
      <c r="IR2510" s="223"/>
      <c r="IS2510" s="223"/>
      <c r="IT2510" s="223"/>
      <c r="IU2510" s="223"/>
      <c r="IV2510" s="223"/>
    </row>
    <row r="2511" spans="22:256" s="221" customFormat="1" x14ac:dyDescent="0.2">
      <c r="V2511" s="223"/>
      <c r="W2511" s="223"/>
      <c r="X2511" s="223"/>
      <c r="Y2511" s="223"/>
      <c r="Z2511" s="223"/>
      <c r="AA2511" s="223"/>
      <c r="AB2511" s="223"/>
      <c r="AC2511" s="223"/>
      <c r="AD2511" s="223"/>
      <c r="AE2511" s="223"/>
      <c r="AF2511" s="223"/>
      <c r="AG2511" s="223"/>
      <c r="AH2511" s="223"/>
      <c r="AI2511" s="223"/>
      <c r="AJ2511" s="223"/>
      <c r="AK2511" s="223"/>
      <c r="AL2511" s="223"/>
      <c r="AM2511" s="223"/>
      <c r="AN2511" s="223"/>
      <c r="AO2511" s="223"/>
      <c r="AP2511" s="223"/>
      <c r="AQ2511" s="223"/>
      <c r="AR2511" s="223"/>
      <c r="AS2511" s="223"/>
      <c r="AT2511" s="324"/>
      <c r="AU2511" s="324"/>
      <c r="AV2511" s="223"/>
      <c r="AW2511" s="223"/>
      <c r="AX2511" s="223"/>
      <c r="AY2511" s="223"/>
      <c r="AZ2511" s="223"/>
      <c r="BA2511" s="223"/>
      <c r="BB2511" s="223"/>
      <c r="BC2511" s="223"/>
      <c r="BD2511" s="223"/>
      <c r="BE2511" s="223"/>
      <c r="BF2511" s="223"/>
      <c r="BG2511" s="223"/>
      <c r="BH2511" s="223"/>
      <c r="BI2511" s="223"/>
      <c r="BJ2511" s="223"/>
      <c r="BK2511" s="223"/>
      <c r="BL2511" s="223"/>
      <c r="BM2511" s="223"/>
      <c r="BN2511" s="223"/>
      <c r="BO2511" s="223"/>
      <c r="BP2511" s="223"/>
      <c r="BQ2511" s="223"/>
      <c r="BR2511" s="223"/>
      <c r="BS2511" s="223"/>
      <c r="BT2511" s="223"/>
      <c r="BU2511" s="223"/>
      <c r="BV2511" s="223"/>
      <c r="BW2511" s="223"/>
      <c r="BX2511" s="223"/>
      <c r="BY2511" s="223"/>
      <c r="BZ2511" s="223"/>
      <c r="CA2511" s="223"/>
      <c r="CB2511" s="223"/>
      <c r="CC2511" s="223"/>
      <c r="CD2511" s="223"/>
      <c r="CE2511" s="223"/>
      <c r="CF2511" s="223"/>
      <c r="CG2511" s="223"/>
      <c r="CH2511" s="223"/>
      <c r="CI2511" s="223"/>
      <c r="CJ2511" s="223"/>
      <c r="CK2511" s="223"/>
      <c r="CL2511" s="223"/>
      <c r="CM2511" s="223"/>
      <c r="CN2511" s="223"/>
      <c r="CO2511" s="223"/>
      <c r="CP2511" s="223"/>
      <c r="CQ2511" s="223"/>
      <c r="CR2511" s="223"/>
      <c r="CS2511" s="223"/>
      <c r="CT2511" s="223"/>
      <c r="CU2511" s="223"/>
      <c r="CV2511" s="223"/>
      <c r="CW2511" s="223"/>
      <c r="CX2511" s="223"/>
      <c r="CY2511" s="223"/>
      <c r="CZ2511" s="223"/>
      <c r="DA2511" s="223"/>
      <c r="DB2511" s="223"/>
      <c r="DC2511" s="223"/>
      <c r="DD2511" s="223"/>
      <c r="DE2511" s="223"/>
      <c r="DF2511" s="223"/>
      <c r="DG2511" s="223"/>
      <c r="DH2511" s="223"/>
      <c r="DI2511" s="223"/>
      <c r="DJ2511" s="223"/>
      <c r="DK2511" s="223"/>
      <c r="DL2511" s="223"/>
      <c r="DM2511" s="223"/>
      <c r="DN2511" s="223"/>
      <c r="DO2511" s="223"/>
      <c r="DP2511" s="223"/>
      <c r="DQ2511" s="223"/>
      <c r="DR2511" s="223"/>
      <c r="DS2511" s="223"/>
      <c r="DT2511" s="223"/>
      <c r="DU2511" s="223"/>
      <c r="DV2511" s="223"/>
      <c r="DW2511" s="223"/>
      <c r="DX2511" s="223"/>
      <c r="DY2511" s="223"/>
      <c r="DZ2511" s="223"/>
      <c r="EA2511" s="223"/>
      <c r="EB2511" s="223"/>
      <c r="EC2511" s="223"/>
      <c r="ED2511" s="223"/>
      <c r="EE2511" s="223"/>
      <c r="EF2511" s="223"/>
      <c r="EG2511" s="223"/>
      <c r="EH2511" s="223"/>
      <c r="EI2511" s="223"/>
      <c r="EJ2511" s="223"/>
      <c r="EK2511" s="223"/>
      <c r="EL2511" s="223"/>
      <c r="EM2511" s="223"/>
      <c r="EN2511" s="223"/>
      <c r="EO2511" s="223"/>
      <c r="EP2511" s="223"/>
      <c r="EQ2511" s="223"/>
      <c r="ER2511" s="223"/>
      <c r="ES2511" s="223"/>
      <c r="ET2511" s="223"/>
      <c r="EU2511" s="223"/>
      <c r="EV2511" s="223"/>
      <c r="EW2511" s="223"/>
      <c r="EX2511" s="223"/>
      <c r="EY2511" s="223"/>
      <c r="EZ2511" s="223"/>
      <c r="FA2511" s="223"/>
      <c r="FB2511" s="223"/>
      <c r="FC2511" s="223"/>
      <c r="FD2511" s="223"/>
      <c r="FE2511" s="223"/>
      <c r="FF2511" s="223"/>
      <c r="FG2511" s="223"/>
      <c r="FH2511" s="223"/>
      <c r="FI2511" s="223"/>
      <c r="FJ2511" s="223"/>
      <c r="FK2511" s="223"/>
      <c r="FL2511" s="223"/>
      <c r="FM2511" s="223"/>
      <c r="FN2511" s="223"/>
      <c r="FO2511" s="223"/>
      <c r="FP2511" s="223"/>
      <c r="FQ2511" s="223"/>
      <c r="FR2511" s="223"/>
      <c r="FS2511" s="223"/>
      <c r="FT2511" s="223"/>
      <c r="FU2511" s="223"/>
      <c r="FV2511" s="223"/>
      <c r="FW2511" s="223"/>
      <c r="FX2511" s="223"/>
      <c r="FY2511" s="223"/>
      <c r="FZ2511" s="223"/>
      <c r="GA2511" s="223"/>
      <c r="GB2511" s="223"/>
      <c r="GC2511" s="223"/>
      <c r="GD2511" s="223"/>
      <c r="GE2511" s="223"/>
      <c r="GF2511" s="223"/>
      <c r="GG2511" s="223"/>
      <c r="GH2511" s="223"/>
      <c r="GI2511" s="223"/>
      <c r="GJ2511" s="223"/>
      <c r="GK2511" s="223"/>
      <c r="GL2511" s="223"/>
      <c r="GM2511" s="223"/>
      <c r="GN2511" s="223"/>
      <c r="GO2511" s="223"/>
      <c r="GP2511" s="223"/>
      <c r="GQ2511" s="223"/>
      <c r="GR2511" s="223"/>
      <c r="GS2511" s="223"/>
      <c r="GT2511" s="223"/>
      <c r="GU2511" s="223"/>
      <c r="GV2511" s="223"/>
      <c r="GW2511" s="223"/>
      <c r="GX2511" s="223"/>
      <c r="GY2511" s="223"/>
      <c r="GZ2511" s="223"/>
      <c r="HA2511" s="223"/>
      <c r="HB2511" s="223"/>
      <c r="HC2511" s="223"/>
      <c r="HD2511" s="223"/>
      <c r="HE2511" s="223"/>
      <c r="HF2511" s="223"/>
      <c r="HG2511" s="223"/>
      <c r="HH2511" s="223"/>
      <c r="HI2511" s="223"/>
      <c r="HJ2511" s="223"/>
      <c r="HK2511" s="223"/>
      <c r="HL2511" s="223"/>
      <c r="HM2511" s="223"/>
      <c r="HN2511" s="223"/>
      <c r="HO2511" s="223"/>
      <c r="HP2511" s="223"/>
      <c r="HQ2511" s="223"/>
      <c r="HR2511" s="223"/>
      <c r="HS2511" s="223"/>
      <c r="HT2511" s="223"/>
      <c r="HU2511" s="223"/>
      <c r="HV2511" s="223"/>
      <c r="HW2511" s="223"/>
      <c r="HX2511" s="223"/>
      <c r="HY2511" s="223"/>
      <c r="HZ2511" s="223"/>
      <c r="IA2511" s="223"/>
      <c r="IB2511" s="223"/>
      <c r="IC2511" s="223"/>
      <c r="ID2511" s="223"/>
      <c r="IE2511" s="223"/>
      <c r="IF2511" s="223"/>
      <c r="IG2511" s="223"/>
      <c r="IH2511" s="223"/>
      <c r="II2511" s="223"/>
      <c r="IJ2511" s="223"/>
      <c r="IK2511" s="223"/>
      <c r="IL2511" s="223"/>
      <c r="IM2511" s="223"/>
      <c r="IN2511" s="223"/>
      <c r="IO2511" s="223"/>
      <c r="IP2511" s="223"/>
      <c r="IQ2511" s="223"/>
      <c r="IR2511" s="223"/>
      <c r="IS2511" s="223"/>
      <c r="IT2511" s="223"/>
      <c r="IU2511" s="223"/>
      <c r="IV2511" s="223"/>
    </row>
    <row r="2512" spans="22:256" s="221" customFormat="1" x14ac:dyDescent="0.2">
      <c r="V2512" s="223"/>
      <c r="W2512" s="223"/>
      <c r="X2512" s="223"/>
      <c r="Y2512" s="223"/>
      <c r="Z2512" s="223"/>
      <c r="AA2512" s="223"/>
      <c r="AB2512" s="223"/>
      <c r="AC2512" s="223"/>
      <c r="AD2512" s="223"/>
      <c r="AE2512" s="223"/>
      <c r="AF2512" s="223"/>
      <c r="AG2512" s="223"/>
      <c r="AH2512" s="223"/>
      <c r="AI2512" s="223"/>
      <c r="AJ2512" s="223"/>
      <c r="AK2512" s="223"/>
      <c r="AL2512" s="223"/>
      <c r="AM2512" s="223"/>
      <c r="AN2512" s="223"/>
      <c r="AO2512" s="223"/>
      <c r="AP2512" s="223"/>
      <c r="AQ2512" s="223"/>
      <c r="AR2512" s="223"/>
      <c r="AS2512" s="223"/>
      <c r="AT2512" s="324"/>
      <c r="AU2512" s="324"/>
      <c r="AV2512" s="223"/>
      <c r="AW2512" s="223"/>
      <c r="AX2512" s="223"/>
      <c r="AY2512" s="223"/>
      <c r="AZ2512" s="223"/>
      <c r="BA2512" s="223"/>
      <c r="BB2512" s="223"/>
      <c r="BC2512" s="223"/>
      <c r="BD2512" s="223"/>
      <c r="BE2512" s="223"/>
      <c r="BF2512" s="223"/>
      <c r="BG2512" s="223"/>
      <c r="BH2512" s="223"/>
      <c r="BI2512" s="223"/>
      <c r="BJ2512" s="223"/>
      <c r="BK2512" s="223"/>
      <c r="BL2512" s="223"/>
      <c r="BM2512" s="223"/>
      <c r="BN2512" s="223"/>
      <c r="BO2512" s="223"/>
      <c r="BP2512" s="223"/>
      <c r="BQ2512" s="223"/>
      <c r="BR2512" s="223"/>
      <c r="BS2512" s="223"/>
      <c r="BT2512" s="223"/>
      <c r="BU2512" s="223"/>
      <c r="BV2512" s="223"/>
      <c r="BW2512" s="223"/>
      <c r="BX2512" s="223"/>
      <c r="BY2512" s="223"/>
      <c r="BZ2512" s="223"/>
      <c r="CA2512" s="223"/>
      <c r="CB2512" s="223"/>
      <c r="CC2512" s="223"/>
      <c r="CD2512" s="223"/>
      <c r="CE2512" s="223"/>
      <c r="CF2512" s="223"/>
      <c r="CG2512" s="223"/>
      <c r="CH2512" s="223"/>
      <c r="CI2512" s="223"/>
      <c r="CJ2512" s="223"/>
      <c r="CK2512" s="223"/>
      <c r="CL2512" s="223"/>
      <c r="CM2512" s="223"/>
      <c r="CN2512" s="223"/>
      <c r="CO2512" s="223"/>
      <c r="CP2512" s="223"/>
      <c r="CQ2512" s="223"/>
      <c r="CR2512" s="223"/>
      <c r="CS2512" s="223"/>
      <c r="CT2512" s="223"/>
      <c r="CU2512" s="223"/>
      <c r="CV2512" s="223"/>
      <c r="CW2512" s="223"/>
      <c r="CX2512" s="223"/>
      <c r="CY2512" s="223"/>
      <c r="CZ2512" s="223"/>
      <c r="DA2512" s="223"/>
      <c r="DB2512" s="223"/>
      <c r="DC2512" s="223"/>
      <c r="DD2512" s="223"/>
      <c r="DE2512" s="223"/>
      <c r="DF2512" s="223"/>
      <c r="DG2512" s="223"/>
      <c r="DH2512" s="223"/>
      <c r="DI2512" s="223"/>
      <c r="DJ2512" s="223"/>
      <c r="DK2512" s="223"/>
      <c r="DL2512" s="223"/>
      <c r="DM2512" s="223"/>
      <c r="DN2512" s="223"/>
      <c r="DO2512" s="223"/>
      <c r="DP2512" s="223"/>
      <c r="DQ2512" s="223"/>
      <c r="DR2512" s="223"/>
      <c r="DS2512" s="223"/>
      <c r="DT2512" s="223"/>
      <c r="DU2512" s="223"/>
      <c r="DV2512" s="223"/>
      <c r="DW2512" s="223"/>
      <c r="DX2512" s="223"/>
      <c r="DY2512" s="223"/>
      <c r="DZ2512" s="223"/>
      <c r="EA2512" s="223"/>
      <c r="EB2512" s="223"/>
      <c r="EC2512" s="223"/>
      <c r="ED2512" s="223"/>
      <c r="EE2512" s="223"/>
      <c r="EF2512" s="223"/>
      <c r="EG2512" s="223"/>
      <c r="EH2512" s="223"/>
      <c r="EI2512" s="223"/>
      <c r="EJ2512" s="223"/>
      <c r="EK2512" s="223"/>
      <c r="EL2512" s="223"/>
      <c r="EM2512" s="223"/>
      <c r="EN2512" s="223"/>
      <c r="EO2512" s="223"/>
      <c r="EP2512" s="223"/>
      <c r="EQ2512" s="223"/>
      <c r="ER2512" s="223"/>
      <c r="ES2512" s="223"/>
      <c r="ET2512" s="223"/>
      <c r="EU2512" s="223"/>
      <c r="EV2512" s="223"/>
      <c r="EW2512" s="223"/>
      <c r="EX2512" s="223"/>
      <c r="EY2512" s="223"/>
      <c r="EZ2512" s="223"/>
      <c r="FA2512" s="223"/>
      <c r="FB2512" s="223"/>
      <c r="FC2512" s="223"/>
      <c r="FD2512" s="223"/>
      <c r="FE2512" s="223"/>
      <c r="FF2512" s="223"/>
      <c r="FG2512" s="223"/>
      <c r="FH2512" s="223"/>
      <c r="FI2512" s="223"/>
      <c r="FJ2512" s="223"/>
      <c r="FK2512" s="223"/>
      <c r="FL2512" s="223"/>
      <c r="FM2512" s="223"/>
      <c r="FN2512" s="223"/>
      <c r="FO2512" s="223"/>
      <c r="FP2512" s="223"/>
      <c r="FQ2512" s="223"/>
      <c r="FR2512" s="223"/>
      <c r="FS2512" s="223"/>
      <c r="FT2512" s="223"/>
      <c r="FU2512" s="223"/>
      <c r="FV2512" s="223"/>
      <c r="FW2512" s="223"/>
      <c r="FX2512" s="223"/>
      <c r="FY2512" s="223"/>
      <c r="FZ2512" s="223"/>
      <c r="GA2512" s="223"/>
      <c r="GB2512" s="223"/>
      <c r="GC2512" s="223"/>
      <c r="GD2512" s="223"/>
      <c r="GE2512" s="223"/>
      <c r="GF2512" s="223"/>
      <c r="GG2512" s="223"/>
      <c r="GH2512" s="223"/>
      <c r="GI2512" s="223"/>
      <c r="GJ2512" s="223"/>
      <c r="GK2512" s="223"/>
      <c r="GL2512" s="223"/>
      <c r="GM2512" s="223"/>
      <c r="GN2512" s="223"/>
      <c r="GO2512" s="223"/>
      <c r="GP2512" s="223"/>
      <c r="GQ2512" s="223"/>
      <c r="GR2512" s="223"/>
      <c r="GS2512" s="223"/>
      <c r="GT2512" s="223"/>
      <c r="GU2512" s="223"/>
      <c r="GV2512" s="223"/>
      <c r="GW2512" s="223"/>
      <c r="GX2512" s="223"/>
      <c r="GY2512" s="223"/>
      <c r="GZ2512" s="223"/>
      <c r="HA2512" s="223"/>
      <c r="HB2512" s="223"/>
      <c r="HC2512" s="223"/>
      <c r="HD2512" s="223"/>
      <c r="HE2512" s="223"/>
      <c r="HF2512" s="223"/>
      <c r="HG2512" s="223"/>
      <c r="HH2512" s="223"/>
      <c r="HI2512" s="223"/>
      <c r="HJ2512" s="223"/>
      <c r="HK2512" s="223"/>
      <c r="HL2512" s="223"/>
      <c r="HM2512" s="223"/>
      <c r="HN2512" s="223"/>
      <c r="HO2512" s="223"/>
      <c r="HP2512" s="223"/>
      <c r="HQ2512" s="223"/>
      <c r="HR2512" s="223"/>
      <c r="HS2512" s="223"/>
      <c r="HT2512" s="223"/>
      <c r="HU2512" s="223"/>
      <c r="HV2512" s="223"/>
      <c r="HW2512" s="223"/>
      <c r="HX2512" s="223"/>
      <c r="HY2512" s="223"/>
      <c r="HZ2512" s="223"/>
      <c r="IA2512" s="223"/>
      <c r="IB2512" s="223"/>
      <c r="IC2512" s="223"/>
      <c r="ID2512" s="223"/>
      <c r="IE2512" s="223"/>
      <c r="IF2512" s="223"/>
      <c r="IG2512" s="223"/>
      <c r="IH2512" s="223"/>
      <c r="II2512" s="223"/>
      <c r="IJ2512" s="223"/>
      <c r="IK2512" s="223"/>
      <c r="IL2512" s="223"/>
      <c r="IM2512" s="223"/>
      <c r="IN2512" s="223"/>
      <c r="IO2512" s="223"/>
      <c r="IP2512" s="223"/>
      <c r="IQ2512" s="223"/>
      <c r="IR2512" s="223"/>
      <c r="IS2512" s="223"/>
      <c r="IT2512" s="223"/>
      <c r="IU2512" s="223"/>
      <c r="IV2512" s="223"/>
    </row>
    <row r="2513" spans="22:256" s="221" customFormat="1" x14ac:dyDescent="0.2">
      <c r="V2513" s="223"/>
      <c r="W2513" s="223"/>
      <c r="X2513" s="223"/>
      <c r="Y2513" s="223"/>
      <c r="Z2513" s="223"/>
      <c r="AA2513" s="223"/>
      <c r="AB2513" s="223"/>
      <c r="AC2513" s="223"/>
      <c r="AD2513" s="223"/>
      <c r="AE2513" s="223"/>
      <c r="AF2513" s="223"/>
      <c r="AG2513" s="223"/>
      <c r="AH2513" s="223"/>
      <c r="AI2513" s="223"/>
      <c r="AJ2513" s="223"/>
      <c r="AK2513" s="223"/>
      <c r="AL2513" s="223"/>
      <c r="AM2513" s="223"/>
      <c r="AN2513" s="223"/>
      <c r="AO2513" s="223"/>
      <c r="AP2513" s="223"/>
      <c r="AQ2513" s="223"/>
      <c r="AR2513" s="223"/>
      <c r="AS2513" s="223"/>
      <c r="AT2513" s="324"/>
      <c r="AU2513" s="324"/>
      <c r="AV2513" s="223"/>
      <c r="AW2513" s="223"/>
      <c r="AX2513" s="223"/>
      <c r="AY2513" s="223"/>
      <c r="AZ2513" s="223"/>
      <c r="BA2513" s="223"/>
      <c r="BB2513" s="223"/>
      <c r="BC2513" s="223"/>
      <c r="BD2513" s="223"/>
      <c r="BE2513" s="223"/>
      <c r="BF2513" s="223"/>
      <c r="BG2513" s="223"/>
      <c r="BH2513" s="223"/>
      <c r="BI2513" s="223"/>
      <c r="BJ2513" s="223"/>
      <c r="BK2513" s="223"/>
      <c r="BL2513" s="223"/>
      <c r="BM2513" s="223"/>
      <c r="BN2513" s="223"/>
      <c r="BO2513" s="223"/>
      <c r="BP2513" s="223"/>
      <c r="BQ2513" s="223"/>
      <c r="BR2513" s="223"/>
      <c r="BS2513" s="223"/>
      <c r="BT2513" s="223"/>
      <c r="BU2513" s="223"/>
      <c r="BV2513" s="223"/>
      <c r="BW2513" s="223"/>
      <c r="BX2513" s="223"/>
      <c r="BY2513" s="223"/>
      <c r="BZ2513" s="223"/>
      <c r="CA2513" s="223"/>
      <c r="CB2513" s="223"/>
      <c r="CC2513" s="223"/>
      <c r="CD2513" s="223"/>
      <c r="CE2513" s="223"/>
      <c r="CF2513" s="223"/>
      <c r="CG2513" s="223"/>
      <c r="CH2513" s="223"/>
      <c r="CI2513" s="223"/>
      <c r="CJ2513" s="223"/>
      <c r="CK2513" s="223"/>
      <c r="CL2513" s="223"/>
      <c r="CM2513" s="223"/>
      <c r="CN2513" s="223"/>
      <c r="CO2513" s="223"/>
      <c r="CP2513" s="223"/>
      <c r="CQ2513" s="223"/>
      <c r="CR2513" s="223"/>
      <c r="CS2513" s="223"/>
      <c r="CT2513" s="223"/>
      <c r="CU2513" s="223"/>
      <c r="CV2513" s="223"/>
      <c r="CW2513" s="223"/>
      <c r="CX2513" s="223"/>
      <c r="CY2513" s="223"/>
      <c r="CZ2513" s="223"/>
      <c r="DA2513" s="223"/>
      <c r="DB2513" s="223"/>
      <c r="DC2513" s="223"/>
      <c r="DD2513" s="223"/>
      <c r="DE2513" s="223"/>
      <c r="DF2513" s="223"/>
      <c r="DG2513" s="223"/>
      <c r="DH2513" s="223"/>
      <c r="DI2513" s="223"/>
      <c r="DJ2513" s="223"/>
      <c r="DK2513" s="223"/>
      <c r="DL2513" s="223"/>
      <c r="DM2513" s="223"/>
      <c r="DN2513" s="223"/>
      <c r="DO2513" s="223"/>
      <c r="DP2513" s="223"/>
      <c r="DQ2513" s="223"/>
      <c r="DR2513" s="223"/>
      <c r="DS2513" s="223"/>
      <c r="DT2513" s="223"/>
      <c r="DU2513" s="223"/>
      <c r="DV2513" s="223"/>
      <c r="DW2513" s="223"/>
      <c r="DX2513" s="223"/>
      <c r="DY2513" s="223"/>
      <c r="DZ2513" s="223"/>
      <c r="EA2513" s="223"/>
      <c r="EB2513" s="223"/>
      <c r="EC2513" s="223"/>
      <c r="ED2513" s="223"/>
      <c r="EE2513" s="223"/>
      <c r="EF2513" s="223"/>
      <c r="EG2513" s="223"/>
      <c r="EH2513" s="223"/>
      <c r="EI2513" s="223"/>
      <c r="EJ2513" s="223"/>
      <c r="EK2513" s="223"/>
      <c r="EL2513" s="223"/>
      <c r="EM2513" s="223"/>
      <c r="EN2513" s="223"/>
      <c r="EO2513" s="223"/>
      <c r="EP2513" s="223"/>
      <c r="EQ2513" s="223"/>
      <c r="ER2513" s="223"/>
      <c r="ES2513" s="223"/>
      <c r="ET2513" s="223"/>
      <c r="EU2513" s="223"/>
      <c r="EV2513" s="223"/>
      <c r="EW2513" s="223"/>
      <c r="EX2513" s="223"/>
      <c r="EY2513" s="223"/>
      <c r="EZ2513" s="223"/>
      <c r="FA2513" s="223"/>
      <c r="FB2513" s="223"/>
      <c r="FC2513" s="223"/>
      <c r="FD2513" s="223"/>
      <c r="FE2513" s="223"/>
      <c r="FF2513" s="223"/>
      <c r="FG2513" s="223"/>
      <c r="FH2513" s="223"/>
      <c r="FI2513" s="223"/>
      <c r="FJ2513" s="223"/>
      <c r="FK2513" s="223"/>
      <c r="FL2513" s="223"/>
      <c r="FM2513" s="223"/>
      <c r="FN2513" s="223"/>
      <c r="FO2513" s="223"/>
      <c r="FP2513" s="223"/>
      <c r="FQ2513" s="223"/>
      <c r="FR2513" s="223"/>
      <c r="FS2513" s="223"/>
      <c r="FT2513" s="223"/>
      <c r="FU2513" s="223"/>
      <c r="FV2513" s="223"/>
      <c r="FW2513" s="223"/>
      <c r="FX2513" s="223"/>
      <c r="FY2513" s="223"/>
      <c r="FZ2513" s="223"/>
      <c r="GA2513" s="223"/>
      <c r="GB2513" s="223"/>
      <c r="GC2513" s="223"/>
      <c r="GD2513" s="223"/>
      <c r="GE2513" s="223"/>
      <c r="GF2513" s="223"/>
      <c r="GG2513" s="223"/>
      <c r="GH2513" s="223"/>
      <c r="GI2513" s="223"/>
      <c r="GJ2513" s="223"/>
      <c r="GK2513" s="223"/>
      <c r="GL2513" s="223"/>
      <c r="GM2513" s="223"/>
      <c r="GN2513" s="223"/>
      <c r="GO2513" s="223"/>
      <c r="GP2513" s="223"/>
      <c r="GQ2513" s="223"/>
      <c r="GR2513" s="223"/>
      <c r="GS2513" s="223"/>
      <c r="GT2513" s="223"/>
      <c r="GU2513" s="223"/>
      <c r="GV2513" s="223"/>
      <c r="GW2513" s="223"/>
      <c r="GX2513" s="223"/>
      <c r="GY2513" s="223"/>
      <c r="GZ2513" s="223"/>
      <c r="HA2513" s="223"/>
      <c r="HB2513" s="223"/>
      <c r="HC2513" s="223"/>
      <c r="HD2513" s="223"/>
      <c r="HE2513" s="223"/>
      <c r="HF2513" s="223"/>
      <c r="HG2513" s="223"/>
      <c r="HH2513" s="223"/>
      <c r="HI2513" s="223"/>
      <c r="HJ2513" s="223"/>
      <c r="HK2513" s="223"/>
      <c r="HL2513" s="223"/>
      <c r="HM2513" s="223"/>
      <c r="HN2513" s="223"/>
      <c r="HO2513" s="223"/>
      <c r="HP2513" s="223"/>
      <c r="HQ2513" s="223"/>
      <c r="HR2513" s="223"/>
      <c r="HS2513" s="223"/>
      <c r="HT2513" s="223"/>
      <c r="HU2513" s="223"/>
      <c r="HV2513" s="223"/>
      <c r="HW2513" s="223"/>
      <c r="HX2513" s="223"/>
      <c r="HY2513" s="223"/>
      <c r="HZ2513" s="223"/>
      <c r="IA2513" s="223"/>
      <c r="IB2513" s="223"/>
      <c r="IC2513" s="223"/>
      <c r="ID2513" s="223"/>
      <c r="IE2513" s="223"/>
      <c r="IF2513" s="223"/>
      <c r="IG2513" s="223"/>
      <c r="IH2513" s="223"/>
      <c r="II2513" s="223"/>
      <c r="IJ2513" s="223"/>
      <c r="IK2513" s="223"/>
      <c r="IL2513" s="223"/>
      <c r="IM2513" s="223"/>
      <c r="IN2513" s="223"/>
      <c r="IO2513" s="223"/>
      <c r="IP2513" s="223"/>
      <c r="IQ2513" s="223"/>
      <c r="IR2513" s="223"/>
      <c r="IS2513" s="223"/>
      <c r="IT2513" s="223"/>
      <c r="IU2513" s="223"/>
      <c r="IV2513" s="223"/>
    </row>
    <row r="2514" spans="22:256" s="221" customFormat="1" x14ac:dyDescent="0.2">
      <c r="V2514" s="223"/>
      <c r="W2514" s="223"/>
      <c r="X2514" s="223"/>
      <c r="Y2514" s="223"/>
      <c r="Z2514" s="223"/>
      <c r="AA2514" s="223"/>
      <c r="AB2514" s="223"/>
      <c r="AC2514" s="223"/>
      <c r="AD2514" s="223"/>
      <c r="AE2514" s="223"/>
      <c r="AF2514" s="223"/>
      <c r="AG2514" s="223"/>
      <c r="AH2514" s="223"/>
      <c r="AI2514" s="223"/>
      <c r="AJ2514" s="223"/>
      <c r="AK2514" s="223"/>
      <c r="AL2514" s="223"/>
      <c r="AM2514" s="223"/>
      <c r="AN2514" s="223"/>
      <c r="AO2514" s="223"/>
      <c r="AP2514" s="223"/>
      <c r="AQ2514" s="223"/>
      <c r="AR2514" s="223"/>
      <c r="AS2514" s="223"/>
      <c r="AT2514" s="324"/>
      <c r="AU2514" s="324"/>
      <c r="AV2514" s="223"/>
      <c r="AW2514" s="223"/>
      <c r="AX2514" s="223"/>
      <c r="AY2514" s="223"/>
      <c r="AZ2514" s="223"/>
      <c r="BA2514" s="223"/>
      <c r="BB2514" s="223"/>
      <c r="BC2514" s="223"/>
      <c r="BD2514" s="223"/>
      <c r="BE2514" s="223"/>
      <c r="BF2514" s="223"/>
      <c r="BG2514" s="223"/>
      <c r="BH2514" s="223"/>
      <c r="BI2514" s="223"/>
      <c r="BJ2514" s="223"/>
      <c r="BK2514" s="223"/>
      <c r="BL2514" s="223"/>
      <c r="BM2514" s="223"/>
      <c r="BN2514" s="223"/>
      <c r="BO2514" s="223"/>
      <c r="BP2514" s="223"/>
      <c r="BQ2514" s="223"/>
      <c r="BR2514" s="223"/>
      <c r="BS2514" s="223"/>
      <c r="BT2514" s="223"/>
      <c r="BU2514" s="223"/>
      <c r="BV2514" s="223"/>
      <c r="BW2514" s="223"/>
      <c r="BX2514" s="223"/>
      <c r="BY2514" s="223"/>
      <c r="BZ2514" s="223"/>
      <c r="CA2514" s="223"/>
      <c r="CB2514" s="223"/>
      <c r="CC2514" s="223"/>
      <c r="CD2514" s="223"/>
      <c r="CE2514" s="223"/>
      <c r="CF2514" s="223"/>
      <c r="CG2514" s="223"/>
      <c r="CH2514" s="223"/>
      <c r="CI2514" s="223"/>
      <c r="CJ2514" s="223"/>
      <c r="CK2514" s="223"/>
      <c r="CL2514" s="223"/>
      <c r="CM2514" s="223"/>
      <c r="CN2514" s="223"/>
      <c r="CO2514" s="223"/>
      <c r="CP2514" s="223"/>
      <c r="CQ2514" s="223"/>
      <c r="CR2514" s="223"/>
      <c r="CS2514" s="223"/>
      <c r="CT2514" s="223"/>
      <c r="CU2514" s="223"/>
      <c r="CV2514" s="223"/>
      <c r="CW2514" s="223"/>
      <c r="CX2514" s="223"/>
      <c r="CY2514" s="223"/>
      <c r="CZ2514" s="223"/>
      <c r="DA2514" s="223"/>
      <c r="DB2514" s="223"/>
      <c r="DC2514" s="223"/>
      <c r="DD2514" s="223"/>
      <c r="DE2514" s="223"/>
      <c r="DF2514" s="223"/>
      <c r="DG2514" s="223"/>
      <c r="DH2514" s="223"/>
      <c r="DI2514" s="223"/>
      <c r="DJ2514" s="223"/>
      <c r="DK2514" s="223"/>
      <c r="DL2514" s="223"/>
      <c r="DM2514" s="223"/>
      <c r="DN2514" s="223"/>
      <c r="DO2514" s="223"/>
      <c r="DP2514" s="223"/>
      <c r="DQ2514" s="223"/>
      <c r="DR2514" s="223"/>
      <c r="DS2514" s="223"/>
      <c r="DT2514" s="223"/>
      <c r="DU2514" s="223"/>
      <c r="DV2514" s="223"/>
      <c r="DW2514" s="223"/>
      <c r="DX2514" s="223"/>
      <c r="DY2514" s="223"/>
      <c r="DZ2514" s="223"/>
      <c r="EA2514" s="223"/>
      <c r="EB2514" s="223"/>
      <c r="EC2514" s="223"/>
      <c r="ED2514" s="223"/>
      <c r="EE2514" s="223"/>
      <c r="EF2514" s="223"/>
      <c r="EG2514" s="223"/>
      <c r="EH2514" s="223"/>
      <c r="EI2514" s="223"/>
      <c r="EJ2514" s="223"/>
      <c r="EK2514" s="223"/>
      <c r="EL2514" s="223"/>
      <c r="EM2514" s="223"/>
      <c r="EN2514" s="223"/>
      <c r="EO2514" s="223"/>
      <c r="EP2514" s="223"/>
      <c r="EQ2514" s="223"/>
      <c r="ER2514" s="223"/>
      <c r="ES2514" s="223"/>
      <c r="ET2514" s="223"/>
      <c r="EU2514" s="223"/>
      <c r="EV2514" s="223"/>
      <c r="EW2514" s="223"/>
      <c r="EX2514" s="223"/>
      <c r="EY2514" s="223"/>
      <c r="EZ2514" s="223"/>
      <c r="FA2514" s="223"/>
      <c r="FB2514" s="223"/>
      <c r="FC2514" s="223"/>
      <c r="FD2514" s="223"/>
      <c r="FE2514" s="223"/>
      <c r="FF2514" s="223"/>
      <c r="FG2514" s="223"/>
      <c r="FH2514" s="223"/>
      <c r="FI2514" s="223"/>
      <c r="FJ2514" s="223"/>
      <c r="FK2514" s="223"/>
      <c r="FL2514" s="223"/>
      <c r="FM2514" s="223"/>
      <c r="FN2514" s="223"/>
      <c r="FO2514" s="223"/>
      <c r="FP2514" s="223"/>
      <c r="FQ2514" s="223"/>
      <c r="FR2514" s="223"/>
      <c r="FS2514" s="223"/>
      <c r="FT2514" s="223"/>
      <c r="FU2514" s="223"/>
      <c r="FV2514" s="223"/>
      <c r="FW2514" s="223"/>
      <c r="FX2514" s="223"/>
      <c r="FY2514" s="223"/>
      <c r="FZ2514" s="223"/>
      <c r="GA2514" s="223"/>
      <c r="GB2514" s="223"/>
      <c r="GC2514" s="223"/>
      <c r="GD2514" s="223"/>
      <c r="GE2514" s="223"/>
      <c r="GF2514" s="223"/>
      <c r="GG2514" s="223"/>
      <c r="GH2514" s="223"/>
      <c r="GI2514" s="223"/>
      <c r="GJ2514" s="223"/>
      <c r="GK2514" s="223"/>
      <c r="GL2514" s="223"/>
      <c r="GM2514" s="223"/>
      <c r="GN2514" s="223"/>
      <c r="GO2514" s="223"/>
      <c r="GP2514" s="223"/>
      <c r="GQ2514" s="223"/>
      <c r="GR2514" s="223"/>
      <c r="GS2514" s="223"/>
      <c r="GT2514" s="223"/>
      <c r="GU2514" s="223"/>
      <c r="GV2514" s="223"/>
      <c r="GW2514" s="223"/>
      <c r="GX2514" s="223"/>
      <c r="GY2514" s="223"/>
      <c r="GZ2514" s="223"/>
      <c r="HA2514" s="223"/>
      <c r="HB2514" s="223"/>
      <c r="HC2514" s="223"/>
      <c r="HD2514" s="223"/>
      <c r="HE2514" s="223"/>
      <c r="HF2514" s="223"/>
      <c r="HG2514" s="223"/>
      <c r="HH2514" s="223"/>
      <c r="HI2514" s="223"/>
      <c r="HJ2514" s="223"/>
      <c r="HK2514" s="223"/>
      <c r="HL2514" s="223"/>
      <c r="HM2514" s="223"/>
      <c r="HN2514" s="223"/>
      <c r="HO2514" s="223"/>
      <c r="HP2514" s="223"/>
      <c r="HQ2514" s="223"/>
      <c r="HR2514" s="223"/>
      <c r="HS2514" s="223"/>
      <c r="HT2514" s="223"/>
      <c r="HU2514" s="223"/>
      <c r="HV2514" s="223"/>
      <c r="HW2514" s="223"/>
      <c r="HX2514" s="223"/>
      <c r="HY2514" s="223"/>
      <c r="HZ2514" s="223"/>
      <c r="IA2514" s="223"/>
      <c r="IB2514" s="223"/>
      <c r="IC2514" s="223"/>
      <c r="ID2514" s="223"/>
      <c r="IE2514" s="223"/>
      <c r="IF2514" s="223"/>
      <c r="IG2514" s="223"/>
      <c r="IH2514" s="223"/>
      <c r="II2514" s="223"/>
      <c r="IJ2514" s="223"/>
      <c r="IK2514" s="223"/>
      <c r="IL2514" s="223"/>
      <c r="IM2514" s="223"/>
      <c r="IN2514" s="223"/>
      <c r="IO2514" s="223"/>
      <c r="IP2514" s="223"/>
      <c r="IQ2514" s="223"/>
      <c r="IR2514" s="223"/>
      <c r="IS2514" s="223"/>
      <c r="IT2514" s="223"/>
      <c r="IU2514" s="223"/>
      <c r="IV2514" s="223"/>
    </row>
    <row r="2515" spans="22:256" s="221" customFormat="1" x14ac:dyDescent="0.2">
      <c r="V2515" s="223"/>
      <c r="W2515" s="223"/>
      <c r="X2515" s="223"/>
      <c r="Y2515" s="223"/>
      <c r="Z2515" s="223"/>
      <c r="AA2515" s="223"/>
      <c r="AB2515" s="223"/>
      <c r="AC2515" s="223"/>
      <c r="AD2515" s="223"/>
      <c r="AE2515" s="223"/>
      <c r="AF2515" s="223"/>
      <c r="AG2515" s="223"/>
      <c r="AH2515" s="223"/>
      <c r="AI2515" s="223"/>
      <c r="AJ2515" s="223"/>
      <c r="AK2515" s="223"/>
      <c r="AL2515" s="223"/>
      <c r="AM2515" s="223"/>
      <c r="AN2515" s="223"/>
      <c r="AO2515" s="223"/>
      <c r="AP2515" s="223"/>
      <c r="AQ2515" s="223"/>
      <c r="AR2515" s="223"/>
      <c r="AS2515" s="223"/>
      <c r="AT2515" s="324"/>
      <c r="AU2515" s="324"/>
      <c r="AV2515" s="223"/>
      <c r="AW2515" s="223"/>
      <c r="AX2515" s="223"/>
      <c r="AY2515" s="223"/>
      <c r="AZ2515" s="223"/>
      <c r="BA2515" s="223"/>
      <c r="BB2515" s="223"/>
      <c r="BC2515" s="223"/>
      <c r="BD2515" s="223"/>
      <c r="BE2515" s="223"/>
      <c r="BF2515" s="223"/>
      <c r="BG2515" s="223"/>
      <c r="BH2515" s="223"/>
      <c r="BI2515" s="223"/>
      <c r="BJ2515" s="223"/>
      <c r="BK2515" s="223"/>
      <c r="BL2515" s="223"/>
      <c r="BM2515" s="223"/>
      <c r="BN2515" s="223"/>
      <c r="BO2515" s="223"/>
      <c r="BP2515" s="223"/>
      <c r="BQ2515" s="223"/>
      <c r="BR2515" s="223"/>
      <c r="BS2515" s="223"/>
      <c r="BT2515" s="223"/>
      <c r="BU2515" s="223"/>
      <c r="BV2515" s="223"/>
      <c r="BW2515" s="223"/>
      <c r="BX2515" s="223"/>
      <c r="BY2515" s="223"/>
      <c r="BZ2515" s="223"/>
      <c r="CA2515" s="223"/>
      <c r="CB2515" s="223"/>
      <c r="CC2515" s="223"/>
      <c r="CD2515" s="223"/>
      <c r="CE2515" s="223"/>
      <c r="CF2515" s="223"/>
      <c r="CG2515" s="223"/>
      <c r="CH2515" s="223"/>
      <c r="CI2515" s="223"/>
      <c r="CJ2515" s="223"/>
      <c r="CK2515" s="223"/>
      <c r="CL2515" s="223"/>
      <c r="CM2515" s="223"/>
      <c r="CN2515" s="223"/>
      <c r="CO2515" s="223"/>
      <c r="CP2515" s="223"/>
      <c r="CQ2515" s="223"/>
      <c r="CR2515" s="223"/>
      <c r="CS2515" s="223"/>
      <c r="CT2515" s="223"/>
      <c r="CU2515" s="223"/>
      <c r="CV2515" s="223"/>
      <c r="CW2515" s="223"/>
      <c r="CX2515" s="223"/>
      <c r="CY2515" s="223"/>
      <c r="CZ2515" s="223"/>
      <c r="DA2515" s="223"/>
      <c r="DB2515" s="223"/>
      <c r="DC2515" s="223"/>
      <c r="DD2515" s="223"/>
      <c r="DE2515" s="223"/>
      <c r="DF2515" s="223"/>
      <c r="DG2515" s="223"/>
      <c r="DH2515" s="223"/>
      <c r="DI2515" s="223"/>
      <c r="DJ2515" s="223"/>
      <c r="DK2515" s="223"/>
      <c r="DL2515" s="223"/>
      <c r="DM2515" s="223"/>
      <c r="DN2515" s="223"/>
      <c r="DO2515" s="223"/>
      <c r="DP2515" s="223"/>
      <c r="DQ2515" s="223"/>
      <c r="DR2515" s="223"/>
      <c r="DS2515" s="223"/>
      <c r="DT2515" s="223"/>
      <c r="DU2515" s="223"/>
      <c r="DV2515" s="223"/>
      <c r="DW2515" s="223"/>
      <c r="DX2515" s="223"/>
      <c r="DY2515" s="223"/>
      <c r="DZ2515" s="223"/>
      <c r="EA2515" s="223"/>
      <c r="EB2515" s="223"/>
      <c r="EC2515" s="223"/>
      <c r="ED2515" s="223"/>
      <c r="EE2515" s="223"/>
      <c r="EF2515" s="223"/>
      <c r="EG2515" s="223"/>
      <c r="EH2515" s="223"/>
      <c r="EI2515" s="223"/>
      <c r="EJ2515" s="223"/>
      <c r="EK2515" s="223"/>
      <c r="EL2515" s="223"/>
      <c r="EM2515" s="223"/>
      <c r="EN2515" s="223"/>
      <c r="EO2515" s="223"/>
      <c r="EP2515" s="223"/>
      <c r="EQ2515" s="223"/>
      <c r="ER2515" s="223"/>
      <c r="ES2515" s="223"/>
      <c r="ET2515" s="223"/>
      <c r="EU2515" s="223"/>
      <c r="EV2515" s="223"/>
      <c r="EW2515" s="223"/>
      <c r="EX2515" s="223"/>
      <c r="EY2515" s="223"/>
      <c r="EZ2515" s="223"/>
      <c r="FA2515" s="223"/>
      <c r="FB2515" s="223"/>
      <c r="FC2515" s="223"/>
      <c r="FD2515" s="223"/>
      <c r="FE2515" s="223"/>
      <c r="FF2515" s="223"/>
      <c r="FG2515" s="223"/>
      <c r="FH2515" s="223"/>
      <c r="FI2515" s="223"/>
      <c r="FJ2515" s="223"/>
      <c r="FK2515" s="223"/>
      <c r="FL2515" s="223"/>
      <c r="FM2515" s="223"/>
      <c r="FN2515" s="223"/>
      <c r="FO2515" s="223"/>
      <c r="FP2515" s="223"/>
      <c r="FQ2515" s="223"/>
      <c r="FR2515" s="223"/>
      <c r="FS2515" s="223"/>
      <c r="FT2515" s="223"/>
      <c r="FU2515" s="223"/>
      <c r="FV2515" s="223"/>
      <c r="FW2515" s="223"/>
      <c r="FX2515" s="223"/>
      <c r="FY2515" s="223"/>
      <c r="FZ2515" s="223"/>
      <c r="GA2515" s="223"/>
      <c r="GB2515" s="223"/>
      <c r="GC2515" s="223"/>
      <c r="GD2515" s="223"/>
      <c r="GE2515" s="223"/>
      <c r="GF2515" s="223"/>
      <c r="GG2515" s="223"/>
      <c r="GH2515" s="223"/>
      <c r="GI2515" s="223"/>
      <c r="GJ2515" s="223"/>
      <c r="GK2515" s="223"/>
      <c r="GL2515" s="223"/>
      <c r="GM2515" s="223"/>
      <c r="GN2515" s="223"/>
      <c r="GO2515" s="223"/>
      <c r="GP2515" s="223"/>
      <c r="GQ2515" s="223"/>
      <c r="GR2515" s="223"/>
      <c r="GS2515" s="223"/>
      <c r="GT2515" s="223"/>
      <c r="GU2515" s="223"/>
      <c r="GV2515" s="223"/>
      <c r="GW2515" s="223"/>
      <c r="GX2515" s="223"/>
      <c r="GY2515" s="223"/>
      <c r="GZ2515" s="223"/>
      <c r="HA2515" s="223"/>
      <c r="HB2515" s="223"/>
      <c r="HC2515" s="223"/>
      <c r="HD2515" s="223"/>
      <c r="HE2515" s="223"/>
      <c r="HF2515" s="223"/>
      <c r="HG2515" s="223"/>
      <c r="HH2515" s="223"/>
      <c r="HI2515" s="223"/>
      <c r="HJ2515" s="223"/>
      <c r="HK2515" s="223"/>
      <c r="HL2515" s="223"/>
      <c r="HM2515" s="223"/>
      <c r="HN2515" s="223"/>
      <c r="HO2515" s="223"/>
      <c r="HP2515" s="223"/>
      <c r="HQ2515" s="223"/>
      <c r="HR2515" s="223"/>
      <c r="HS2515" s="223"/>
      <c r="HT2515" s="223"/>
      <c r="HU2515" s="223"/>
      <c r="HV2515" s="223"/>
      <c r="HW2515" s="223"/>
      <c r="HX2515" s="223"/>
      <c r="HY2515" s="223"/>
      <c r="HZ2515" s="223"/>
      <c r="IA2515" s="223"/>
      <c r="IB2515" s="223"/>
      <c r="IC2515" s="223"/>
      <c r="ID2515" s="223"/>
      <c r="IE2515" s="223"/>
      <c r="IF2515" s="223"/>
      <c r="IG2515" s="223"/>
      <c r="IH2515" s="223"/>
      <c r="II2515" s="223"/>
      <c r="IJ2515" s="223"/>
      <c r="IK2515" s="223"/>
      <c r="IL2515" s="223"/>
      <c r="IM2515" s="223"/>
      <c r="IN2515" s="223"/>
      <c r="IO2515" s="223"/>
      <c r="IP2515" s="223"/>
      <c r="IQ2515" s="223"/>
      <c r="IR2515" s="223"/>
      <c r="IS2515" s="223"/>
      <c r="IT2515" s="223"/>
      <c r="IU2515" s="223"/>
      <c r="IV2515" s="223"/>
    </row>
    <row r="2516" spans="22:256" s="221" customFormat="1" x14ac:dyDescent="0.2">
      <c r="V2516" s="223"/>
      <c r="W2516" s="223"/>
      <c r="X2516" s="223"/>
      <c r="Y2516" s="223"/>
      <c r="Z2516" s="223"/>
      <c r="AA2516" s="223"/>
      <c r="AB2516" s="223"/>
      <c r="AC2516" s="223"/>
      <c r="AD2516" s="223"/>
      <c r="AE2516" s="223"/>
      <c r="AF2516" s="223"/>
      <c r="AG2516" s="223"/>
      <c r="AH2516" s="223"/>
      <c r="AI2516" s="223"/>
      <c r="AJ2516" s="223"/>
      <c r="AK2516" s="223"/>
      <c r="AL2516" s="223"/>
      <c r="AM2516" s="223"/>
      <c r="AN2516" s="223"/>
      <c r="AO2516" s="223"/>
      <c r="AP2516" s="223"/>
      <c r="AQ2516" s="223"/>
      <c r="AR2516" s="223"/>
      <c r="AS2516" s="223"/>
      <c r="AT2516" s="324"/>
      <c r="AU2516" s="324"/>
      <c r="AV2516" s="223"/>
      <c r="AW2516" s="223"/>
      <c r="AX2516" s="223"/>
      <c r="AY2516" s="223"/>
      <c r="AZ2516" s="223"/>
      <c r="BA2516" s="223"/>
      <c r="BB2516" s="223"/>
      <c r="BC2516" s="223"/>
      <c r="BD2516" s="223"/>
      <c r="BE2516" s="223"/>
      <c r="BF2516" s="223"/>
      <c r="BG2516" s="223"/>
      <c r="BH2516" s="223"/>
      <c r="BI2516" s="223"/>
      <c r="BJ2516" s="223"/>
      <c r="BK2516" s="223"/>
      <c r="BL2516" s="223"/>
      <c r="BM2516" s="223"/>
      <c r="BN2516" s="223"/>
      <c r="BO2516" s="223"/>
      <c r="BP2516" s="223"/>
      <c r="BQ2516" s="223"/>
      <c r="BR2516" s="223"/>
      <c r="BS2516" s="223"/>
      <c r="BT2516" s="223"/>
      <c r="BU2516" s="223"/>
      <c r="BV2516" s="223"/>
      <c r="BW2516" s="223"/>
      <c r="BX2516" s="223"/>
      <c r="BY2516" s="223"/>
      <c r="BZ2516" s="223"/>
      <c r="CA2516" s="223"/>
      <c r="CB2516" s="223"/>
      <c r="CC2516" s="223"/>
      <c r="CD2516" s="223"/>
      <c r="CE2516" s="223"/>
      <c r="CF2516" s="223"/>
      <c r="CG2516" s="223"/>
      <c r="CH2516" s="223"/>
      <c r="CI2516" s="223"/>
      <c r="CJ2516" s="223"/>
      <c r="CK2516" s="223"/>
      <c r="CL2516" s="223"/>
      <c r="CM2516" s="223"/>
      <c r="CN2516" s="223"/>
      <c r="CO2516" s="223"/>
      <c r="CP2516" s="223"/>
      <c r="CQ2516" s="223"/>
      <c r="CR2516" s="223"/>
      <c r="CS2516" s="223"/>
      <c r="CT2516" s="223"/>
      <c r="CU2516" s="223"/>
      <c r="CV2516" s="223"/>
      <c r="CW2516" s="223"/>
      <c r="CX2516" s="223"/>
      <c r="CY2516" s="223"/>
      <c r="CZ2516" s="223"/>
      <c r="DA2516" s="223"/>
      <c r="DB2516" s="223"/>
      <c r="DC2516" s="223"/>
      <c r="DD2516" s="223"/>
      <c r="DE2516" s="223"/>
      <c r="DF2516" s="223"/>
      <c r="DG2516" s="223"/>
      <c r="DH2516" s="223"/>
      <c r="DI2516" s="223"/>
      <c r="DJ2516" s="223"/>
      <c r="DK2516" s="223"/>
      <c r="DL2516" s="223"/>
      <c r="DM2516" s="223"/>
      <c r="DN2516" s="223"/>
      <c r="DO2516" s="223"/>
      <c r="DP2516" s="223"/>
      <c r="DQ2516" s="223"/>
      <c r="DR2516" s="223"/>
      <c r="DS2516" s="223"/>
      <c r="DT2516" s="223"/>
      <c r="DU2516" s="223"/>
      <c r="DV2516" s="223"/>
      <c r="DW2516" s="223"/>
      <c r="DX2516" s="223"/>
      <c r="DY2516" s="223"/>
      <c r="DZ2516" s="223"/>
      <c r="EA2516" s="223"/>
      <c r="EB2516" s="223"/>
      <c r="EC2516" s="223"/>
      <c r="ED2516" s="223"/>
      <c r="EE2516" s="223"/>
      <c r="EF2516" s="223"/>
      <c r="EG2516" s="223"/>
      <c r="EH2516" s="223"/>
      <c r="EI2516" s="223"/>
      <c r="EJ2516" s="223"/>
      <c r="EK2516" s="223"/>
      <c r="EL2516" s="223"/>
      <c r="EM2516" s="223"/>
      <c r="EN2516" s="223"/>
      <c r="EO2516" s="223"/>
      <c r="EP2516" s="223"/>
      <c r="EQ2516" s="223"/>
      <c r="ER2516" s="223"/>
      <c r="ES2516" s="223"/>
      <c r="ET2516" s="223"/>
      <c r="EU2516" s="223"/>
      <c r="EV2516" s="223"/>
      <c r="EW2516" s="223"/>
      <c r="EX2516" s="223"/>
      <c r="EY2516" s="223"/>
      <c r="EZ2516" s="223"/>
      <c r="FA2516" s="223"/>
      <c r="FB2516" s="223"/>
      <c r="FC2516" s="223"/>
      <c r="FD2516" s="223"/>
      <c r="FE2516" s="223"/>
      <c r="FF2516" s="223"/>
      <c r="FG2516" s="223"/>
      <c r="FH2516" s="223"/>
      <c r="FI2516" s="223"/>
      <c r="FJ2516" s="223"/>
      <c r="FK2516" s="223"/>
      <c r="FL2516" s="223"/>
      <c r="FM2516" s="223"/>
      <c r="FN2516" s="223"/>
      <c r="FO2516" s="223"/>
      <c r="FP2516" s="223"/>
      <c r="FQ2516" s="223"/>
      <c r="FR2516" s="223"/>
      <c r="FS2516" s="223"/>
      <c r="FT2516" s="223"/>
      <c r="FU2516" s="223"/>
      <c r="FV2516" s="223"/>
      <c r="FW2516" s="223"/>
      <c r="FX2516" s="223"/>
      <c r="FY2516" s="223"/>
      <c r="FZ2516" s="223"/>
      <c r="GA2516" s="223"/>
      <c r="GB2516" s="223"/>
      <c r="GC2516" s="223"/>
      <c r="GD2516" s="223"/>
      <c r="GE2516" s="223"/>
      <c r="GF2516" s="223"/>
      <c r="GG2516" s="223"/>
      <c r="GH2516" s="223"/>
      <c r="GI2516" s="223"/>
      <c r="GJ2516" s="223"/>
      <c r="GK2516" s="223"/>
      <c r="GL2516" s="223"/>
      <c r="GM2516" s="223"/>
      <c r="GN2516" s="223"/>
      <c r="GO2516" s="223"/>
      <c r="GP2516" s="223"/>
      <c r="GQ2516" s="223"/>
      <c r="GR2516" s="223"/>
      <c r="GS2516" s="223"/>
      <c r="GT2516" s="223"/>
      <c r="GU2516" s="223"/>
      <c r="GV2516" s="223"/>
      <c r="GW2516" s="223"/>
      <c r="GX2516" s="223"/>
      <c r="GY2516" s="223"/>
      <c r="GZ2516" s="223"/>
      <c r="HA2516" s="223"/>
      <c r="HB2516" s="223"/>
      <c r="HC2516" s="223"/>
      <c r="HD2516" s="223"/>
      <c r="HE2516" s="223"/>
      <c r="HF2516" s="223"/>
      <c r="HG2516" s="223"/>
      <c r="HH2516" s="223"/>
      <c r="HI2516" s="223"/>
      <c r="HJ2516" s="223"/>
      <c r="HK2516" s="223"/>
      <c r="HL2516" s="223"/>
      <c r="HM2516" s="223"/>
      <c r="HN2516" s="223"/>
      <c r="HO2516" s="223"/>
      <c r="HP2516" s="223"/>
      <c r="HQ2516" s="223"/>
      <c r="HR2516" s="223"/>
      <c r="HS2516" s="223"/>
      <c r="HT2516" s="223"/>
      <c r="HU2516" s="223"/>
      <c r="HV2516" s="223"/>
      <c r="HW2516" s="223"/>
      <c r="HX2516" s="223"/>
      <c r="HY2516" s="223"/>
      <c r="HZ2516" s="223"/>
      <c r="IA2516" s="223"/>
      <c r="IB2516" s="223"/>
      <c r="IC2516" s="223"/>
      <c r="ID2516" s="223"/>
      <c r="IE2516" s="223"/>
      <c r="IF2516" s="223"/>
      <c r="IG2516" s="223"/>
      <c r="IH2516" s="223"/>
      <c r="II2516" s="223"/>
      <c r="IJ2516" s="223"/>
      <c r="IK2516" s="223"/>
      <c r="IL2516" s="223"/>
      <c r="IM2516" s="223"/>
      <c r="IN2516" s="223"/>
      <c r="IO2516" s="223"/>
      <c r="IP2516" s="223"/>
      <c r="IQ2516" s="223"/>
      <c r="IR2516" s="223"/>
      <c r="IS2516" s="223"/>
      <c r="IT2516" s="223"/>
      <c r="IU2516" s="223"/>
      <c r="IV2516" s="223"/>
    </row>
    <row r="2517" spans="22:256" s="221" customFormat="1" x14ac:dyDescent="0.2">
      <c r="V2517" s="223"/>
      <c r="W2517" s="223"/>
      <c r="X2517" s="223"/>
      <c r="Y2517" s="223"/>
      <c r="Z2517" s="223"/>
      <c r="AA2517" s="223"/>
      <c r="AB2517" s="223"/>
      <c r="AC2517" s="223"/>
      <c r="AD2517" s="223"/>
      <c r="AE2517" s="223"/>
      <c r="AF2517" s="223"/>
      <c r="AG2517" s="223"/>
      <c r="AH2517" s="223"/>
      <c r="AI2517" s="223"/>
      <c r="AJ2517" s="223"/>
      <c r="AK2517" s="223"/>
      <c r="AL2517" s="223"/>
      <c r="AM2517" s="223"/>
      <c r="AN2517" s="223"/>
      <c r="AO2517" s="223"/>
      <c r="AP2517" s="223"/>
      <c r="AQ2517" s="223"/>
      <c r="AR2517" s="223"/>
      <c r="AS2517" s="223"/>
      <c r="AT2517" s="324"/>
      <c r="AU2517" s="324"/>
      <c r="AV2517" s="223"/>
      <c r="AW2517" s="223"/>
      <c r="AX2517" s="223"/>
      <c r="AY2517" s="223"/>
      <c r="AZ2517" s="223"/>
      <c r="BA2517" s="223"/>
      <c r="BB2517" s="223"/>
      <c r="BC2517" s="223"/>
      <c r="BD2517" s="223"/>
      <c r="BE2517" s="223"/>
      <c r="BF2517" s="223"/>
      <c r="BG2517" s="223"/>
      <c r="BH2517" s="223"/>
      <c r="BI2517" s="223"/>
      <c r="BJ2517" s="223"/>
      <c r="BK2517" s="223"/>
      <c r="BL2517" s="223"/>
      <c r="BM2517" s="223"/>
      <c r="BN2517" s="223"/>
      <c r="BO2517" s="223"/>
      <c r="BP2517" s="223"/>
      <c r="BQ2517" s="223"/>
      <c r="BR2517" s="223"/>
      <c r="BS2517" s="223"/>
      <c r="BT2517" s="223"/>
      <c r="BU2517" s="223"/>
      <c r="BV2517" s="223"/>
      <c r="BW2517" s="223"/>
      <c r="BX2517" s="223"/>
      <c r="BY2517" s="223"/>
      <c r="BZ2517" s="223"/>
      <c r="CA2517" s="223"/>
      <c r="CB2517" s="223"/>
      <c r="CC2517" s="223"/>
      <c r="CD2517" s="223"/>
      <c r="CE2517" s="223"/>
      <c r="CF2517" s="223"/>
      <c r="CG2517" s="223"/>
      <c r="CH2517" s="223"/>
      <c r="CI2517" s="223"/>
      <c r="CJ2517" s="223"/>
      <c r="CK2517" s="223"/>
      <c r="CL2517" s="223"/>
      <c r="CM2517" s="223"/>
      <c r="CN2517" s="223"/>
      <c r="CO2517" s="223"/>
      <c r="CP2517" s="223"/>
      <c r="CQ2517" s="223"/>
      <c r="CR2517" s="223"/>
      <c r="CS2517" s="223"/>
      <c r="CT2517" s="223"/>
      <c r="CU2517" s="223"/>
      <c r="CV2517" s="223"/>
      <c r="CW2517" s="223"/>
      <c r="CX2517" s="223"/>
      <c r="CY2517" s="223"/>
      <c r="CZ2517" s="223"/>
      <c r="DA2517" s="223"/>
      <c r="DB2517" s="223"/>
      <c r="DC2517" s="223"/>
      <c r="DD2517" s="223"/>
      <c r="DE2517" s="223"/>
      <c r="DF2517" s="223"/>
      <c r="DG2517" s="223"/>
      <c r="DH2517" s="223"/>
      <c r="DI2517" s="223"/>
      <c r="DJ2517" s="223"/>
      <c r="DK2517" s="223"/>
      <c r="DL2517" s="223"/>
      <c r="DM2517" s="223"/>
      <c r="DN2517" s="223"/>
      <c r="DO2517" s="223"/>
      <c r="DP2517" s="223"/>
      <c r="DQ2517" s="223"/>
      <c r="DR2517" s="223"/>
      <c r="DS2517" s="223"/>
      <c r="DT2517" s="223"/>
      <c r="DU2517" s="223"/>
      <c r="DV2517" s="223"/>
      <c r="DW2517" s="223"/>
      <c r="DX2517" s="223"/>
      <c r="DY2517" s="223"/>
      <c r="DZ2517" s="223"/>
      <c r="EA2517" s="223"/>
      <c r="EB2517" s="223"/>
      <c r="EC2517" s="223"/>
      <c r="ED2517" s="223"/>
      <c r="EE2517" s="223"/>
      <c r="EF2517" s="223"/>
      <c r="EG2517" s="223"/>
      <c r="EH2517" s="223"/>
      <c r="EI2517" s="223"/>
      <c r="EJ2517" s="223"/>
      <c r="EK2517" s="223"/>
      <c r="EL2517" s="223"/>
      <c r="EM2517" s="223"/>
      <c r="EN2517" s="223"/>
      <c r="EO2517" s="223"/>
      <c r="EP2517" s="223"/>
      <c r="EQ2517" s="223"/>
      <c r="ER2517" s="223"/>
      <c r="ES2517" s="223"/>
      <c r="ET2517" s="223"/>
      <c r="EU2517" s="223"/>
      <c r="EV2517" s="223"/>
      <c r="EW2517" s="223"/>
      <c r="EX2517" s="223"/>
      <c r="EY2517" s="223"/>
      <c r="EZ2517" s="223"/>
      <c r="FA2517" s="223"/>
      <c r="FB2517" s="223"/>
      <c r="FC2517" s="223"/>
      <c r="FD2517" s="223"/>
      <c r="FE2517" s="223"/>
      <c r="FF2517" s="223"/>
      <c r="FG2517" s="223"/>
      <c r="FH2517" s="223"/>
      <c r="FI2517" s="223"/>
      <c r="FJ2517" s="223"/>
      <c r="FK2517" s="223"/>
      <c r="FL2517" s="223"/>
      <c r="FM2517" s="223"/>
      <c r="FN2517" s="223"/>
      <c r="FO2517" s="223"/>
      <c r="FP2517" s="223"/>
      <c r="FQ2517" s="223"/>
      <c r="FR2517" s="223"/>
      <c r="FS2517" s="223"/>
      <c r="FT2517" s="223"/>
      <c r="FU2517" s="223"/>
      <c r="FV2517" s="223"/>
      <c r="FW2517" s="223"/>
      <c r="FX2517" s="223"/>
      <c r="FY2517" s="223"/>
      <c r="FZ2517" s="223"/>
      <c r="GA2517" s="223"/>
      <c r="GB2517" s="223"/>
      <c r="GC2517" s="223"/>
      <c r="GD2517" s="223"/>
      <c r="GE2517" s="223"/>
      <c r="GF2517" s="223"/>
      <c r="GG2517" s="223"/>
      <c r="GH2517" s="223"/>
      <c r="GI2517" s="223"/>
      <c r="GJ2517" s="223"/>
      <c r="GK2517" s="223"/>
      <c r="GL2517" s="223"/>
      <c r="GM2517" s="223"/>
      <c r="GN2517" s="223"/>
      <c r="GO2517" s="223"/>
      <c r="GP2517" s="223"/>
      <c r="GQ2517" s="223"/>
      <c r="GR2517" s="223"/>
      <c r="GS2517" s="223"/>
      <c r="GT2517" s="223"/>
      <c r="GU2517" s="223"/>
      <c r="GV2517" s="223"/>
      <c r="GW2517" s="223"/>
      <c r="GX2517" s="223"/>
      <c r="GY2517" s="223"/>
      <c r="GZ2517" s="223"/>
      <c r="HA2517" s="223"/>
      <c r="HB2517" s="223"/>
      <c r="HC2517" s="223"/>
      <c r="HD2517" s="223"/>
      <c r="HE2517" s="223"/>
      <c r="HF2517" s="223"/>
      <c r="HG2517" s="223"/>
      <c r="HH2517" s="223"/>
      <c r="HI2517" s="223"/>
      <c r="HJ2517" s="223"/>
      <c r="HK2517" s="223"/>
      <c r="HL2517" s="223"/>
      <c r="HM2517" s="223"/>
      <c r="HN2517" s="223"/>
      <c r="HO2517" s="223"/>
      <c r="HP2517" s="223"/>
      <c r="HQ2517" s="223"/>
      <c r="HR2517" s="223"/>
      <c r="HS2517" s="223"/>
      <c r="HT2517" s="223"/>
      <c r="HU2517" s="223"/>
      <c r="HV2517" s="223"/>
      <c r="HW2517" s="223"/>
      <c r="HX2517" s="223"/>
      <c r="HY2517" s="223"/>
      <c r="HZ2517" s="223"/>
      <c r="IA2517" s="223"/>
      <c r="IB2517" s="223"/>
      <c r="IC2517" s="223"/>
      <c r="ID2517" s="223"/>
      <c r="IE2517" s="223"/>
      <c r="IF2517" s="223"/>
      <c r="IG2517" s="223"/>
      <c r="IH2517" s="223"/>
      <c r="II2517" s="223"/>
      <c r="IJ2517" s="223"/>
      <c r="IK2517" s="223"/>
      <c r="IL2517" s="223"/>
      <c r="IM2517" s="223"/>
      <c r="IN2517" s="223"/>
      <c r="IO2517" s="223"/>
      <c r="IP2517" s="223"/>
      <c r="IQ2517" s="223"/>
      <c r="IR2517" s="223"/>
      <c r="IS2517" s="223"/>
      <c r="IT2517" s="223"/>
      <c r="IU2517" s="223"/>
      <c r="IV2517" s="223"/>
    </row>
    <row r="2518" spans="22:256" s="221" customFormat="1" x14ac:dyDescent="0.2">
      <c r="V2518" s="223"/>
      <c r="W2518" s="223"/>
      <c r="X2518" s="223"/>
      <c r="Y2518" s="223"/>
      <c r="Z2518" s="223"/>
      <c r="AA2518" s="223"/>
      <c r="AB2518" s="223"/>
      <c r="AC2518" s="223"/>
      <c r="AD2518" s="223"/>
      <c r="AE2518" s="223"/>
      <c r="AF2518" s="223"/>
      <c r="AG2518" s="223"/>
      <c r="AH2518" s="223"/>
      <c r="AI2518" s="223"/>
      <c r="AJ2518" s="223"/>
      <c r="AK2518" s="223"/>
      <c r="AL2518" s="223"/>
      <c r="AM2518" s="223"/>
      <c r="AN2518" s="223"/>
      <c r="AO2518" s="223"/>
      <c r="AP2518" s="223"/>
      <c r="AQ2518" s="223"/>
      <c r="AR2518" s="223"/>
      <c r="AS2518" s="223"/>
      <c r="AT2518" s="324"/>
      <c r="AU2518" s="324"/>
      <c r="AV2518" s="223"/>
      <c r="AW2518" s="223"/>
      <c r="AX2518" s="223"/>
      <c r="AY2518" s="223"/>
      <c r="AZ2518" s="223"/>
      <c r="BA2518" s="223"/>
      <c r="BB2518" s="223"/>
      <c r="BC2518" s="223"/>
      <c r="BD2518" s="223"/>
      <c r="BE2518" s="223"/>
      <c r="BF2518" s="223"/>
      <c r="BG2518" s="223"/>
      <c r="BH2518" s="223"/>
      <c r="BI2518" s="223"/>
      <c r="BJ2518" s="223"/>
      <c r="BK2518" s="223"/>
      <c r="BL2518" s="223"/>
      <c r="BM2518" s="223"/>
      <c r="BN2518" s="223"/>
      <c r="BO2518" s="223"/>
      <c r="BP2518" s="223"/>
      <c r="BQ2518" s="223"/>
      <c r="BR2518" s="223"/>
      <c r="BS2518" s="223"/>
      <c r="BT2518" s="223"/>
      <c r="BU2518" s="223"/>
      <c r="BV2518" s="223"/>
      <c r="BW2518" s="223"/>
      <c r="BX2518" s="223"/>
      <c r="BY2518" s="223"/>
      <c r="BZ2518" s="223"/>
      <c r="CA2518" s="223"/>
      <c r="CB2518" s="223"/>
      <c r="CC2518" s="223"/>
      <c r="CD2518" s="223"/>
      <c r="CE2518" s="223"/>
      <c r="CF2518" s="223"/>
      <c r="CG2518" s="223"/>
      <c r="CH2518" s="223"/>
      <c r="CI2518" s="223"/>
      <c r="CJ2518" s="223"/>
      <c r="CK2518" s="223"/>
      <c r="CL2518" s="223"/>
      <c r="CM2518" s="223"/>
      <c r="CN2518" s="223"/>
      <c r="CO2518" s="223"/>
      <c r="CP2518" s="223"/>
      <c r="CQ2518" s="223"/>
      <c r="CR2518" s="223"/>
      <c r="CS2518" s="223"/>
      <c r="CT2518" s="223"/>
      <c r="CU2518" s="223"/>
      <c r="CV2518" s="223"/>
      <c r="CW2518" s="223"/>
      <c r="CX2518" s="223"/>
      <c r="CY2518" s="223"/>
      <c r="CZ2518" s="223"/>
      <c r="DA2518" s="223"/>
      <c r="DB2518" s="223"/>
      <c r="DC2518" s="223"/>
      <c r="DD2518" s="223"/>
      <c r="DE2518" s="223"/>
      <c r="DF2518" s="223"/>
      <c r="DG2518" s="223"/>
      <c r="DH2518" s="223"/>
      <c r="DI2518" s="223"/>
      <c r="DJ2518" s="223"/>
      <c r="DK2518" s="223"/>
      <c r="DL2518" s="223"/>
      <c r="DM2518" s="223"/>
      <c r="DN2518" s="223"/>
      <c r="DO2518" s="223"/>
      <c r="DP2518" s="223"/>
      <c r="DQ2518" s="223"/>
      <c r="DR2518" s="223"/>
      <c r="DS2518" s="223"/>
      <c r="DT2518" s="223"/>
      <c r="DU2518" s="223"/>
      <c r="DV2518" s="223"/>
      <c r="DW2518" s="223"/>
      <c r="DX2518" s="223"/>
      <c r="DY2518" s="223"/>
      <c r="DZ2518" s="223"/>
      <c r="EA2518" s="223"/>
      <c r="EB2518" s="223"/>
      <c r="EC2518" s="223"/>
      <c r="ED2518" s="223"/>
      <c r="EE2518" s="223"/>
      <c r="EF2518" s="223"/>
      <c r="EG2518" s="223"/>
      <c r="EH2518" s="223"/>
      <c r="EI2518" s="223"/>
      <c r="EJ2518" s="223"/>
      <c r="EK2518" s="223"/>
      <c r="EL2518" s="223"/>
      <c r="EM2518" s="223"/>
      <c r="EN2518" s="223"/>
      <c r="EO2518" s="223"/>
      <c r="EP2518" s="223"/>
      <c r="EQ2518" s="223"/>
      <c r="ER2518" s="223"/>
      <c r="ES2518" s="223"/>
      <c r="ET2518" s="223"/>
      <c r="EU2518" s="223"/>
      <c r="EV2518" s="223"/>
      <c r="EW2518" s="223"/>
      <c r="EX2518" s="223"/>
      <c r="EY2518" s="223"/>
      <c r="EZ2518" s="223"/>
      <c r="FA2518" s="223"/>
      <c r="FB2518" s="223"/>
      <c r="FC2518" s="223"/>
      <c r="FD2518" s="223"/>
      <c r="FE2518" s="223"/>
      <c r="FF2518" s="223"/>
      <c r="FG2518" s="223"/>
      <c r="FH2518" s="223"/>
      <c r="FI2518" s="223"/>
      <c r="FJ2518" s="223"/>
      <c r="FK2518" s="223"/>
      <c r="FL2518" s="223"/>
      <c r="FM2518" s="223"/>
      <c r="FN2518" s="223"/>
      <c r="FO2518" s="223"/>
      <c r="FP2518" s="223"/>
      <c r="FQ2518" s="223"/>
      <c r="FR2518" s="223"/>
      <c r="FS2518" s="223"/>
      <c r="FT2518" s="223"/>
      <c r="FU2518" s="223"/>
      <c r="FV2518" s="223"/>
      <c r="FW2518" s="223"/>
      <c r="FX2518" s="223"/>
      <c r="FY2518" s="223"/>
      <c r="FZ2518" s="223"/>
      <c r="GA2518" s="223"/>
      <c r="GB2518" s="223"/>
      <c r="GC2518" s="223"/>
      <c r="GD2518" s="223"/>
      <c r="GE2518" s="223"/>
      <c r="GF2518" s="223"/>
      <c r="GG2518" s="223"/>
      <c r="GH2518" s="223"/>
      <c r="GI2518" s="223"/>
      <c r="GJ2518" s="223"/>
      <c r="GK2518" s="223"/>
      <c r="GL2518" s="223"/>
      <c r="GM2518" s="223"/>
      <c r="GN2518" s="223"/>
      <c r="GO2518" s="223"/>
      <c r="GP2518" s="223"/>
      <c r="GQ2518" s="223"/>
      <c r="GR2518" s="223"/>
      <c r="GS2518" s="223"/>
      <c r="GT2518" s="223"/>
      <c r="GU2518" s="223"/>
      <c r="GV2518" s="223"/>
      <c r="GW2518" s="223"/>
      <c r="GX2518" s="223"/>
      <c r="GY2518" s="223"/>
      <c r="GZ2518" s="223"/>
      <c r="HA2518" s="223"/>
      <c r="HB2518" s="223"/>
      <c r="HC2518" s="223"/>
      <c r="HD2518" s="223"/>
      <c r="HE2518" s="223"/>
      <c r="HF2518" s="223"/>
      <c r="HG2518" s="223"/>
      <c r="HH2518" s="223"/>
      <c r="HI2518" s="223"/>
      <c r="HJ2518" s="223"/>
      <c r="HK2518" s="223"/>
      <c r="HL2518" s="223"/>
      <c r="HM2518" s="223"/>
      <c r="HN2518" s="223"/>
      <c r="HO2518" s="223"/>
      <c r="HP2518" s="223"/>
      <c r="HQ2518" s="223"/>
      <c r="HR2518" s="223"/>
      <c r="HS2518" s="223"/>
      <c r="HT2518" s="223"/>
      <c r="HU2518" s="223"/>
      <c r="HV2518" s="223"/>
      <c r="HW2518" s="223"/>
      <c r="HX2518" s="223"/>
      <c r="HY2518" s="223"/>
      <c r="HZ2518" s="223"/>
      <c r="IA2518" s="223"/>
      <c r="IB2518" s="223"/>
      <c r="IC2518" s="223"/>
      <c r="ID2518" s="223"/>
      <c r="IE2518" s="223"/>
      <c r="IF2518" s="223"/>
      <c r="IG2518" s="223"/>
      <c r="IH2518" s="223"/>
      <c r="II2518" s="223"/>
      <c r="IJ2518" s="223"/>
      <c r="IK2518" s="223"/>
      <c r="IL2518" s="223"/>
      <c r="IM2518" s="223"/>
      <c r="IN2518" s="223"/>
      <c r="IO2518" s="223"/>
      <c r="IP2518" s="223"/>
      <c r="IQ2518" s="223"/>
      <c r="IR2518" s="223"/>
      <c r="IS2518" s="223"/>
      <c r="IT2518" s="223"/>
      <c r="IU2518" s="223"/>
      <c r="IV2518" s="223"/>
    </row>
    <row r="2519" spans="22:256" s="221" customFormat="1" x14ac:dyDescent="0.2">
      <c r="V2519" s="223"/>
      <c r="W2519" s="223"/>
      <c r="X2519" s="223"/>
      <c r="Y2519" s="223"/>
      <c r="Z2519" s="223"/>
      <c r="AA2519" s="223"/>
      <c r="AB2519" s="223"/>
      <c r="AC2519" s="223"/>
      <c r="AD2519" s="223"/>
      <c r="AE2519" s="223"/>
      <c r="AF2519" s="223"/>
      <c r="AG2519" s="223"/>
      <c r="AH2519" s="223"/>
      <c r="AI2519" s="223"/>
      <c r="AJ2519" s="223"/>
      <c r="AK2519" s="223"/>
      <c r="AL2519" s="223"/>
      <c r="AM2519" s="223"/>
      <c r="AN2519" s="223"/>
      <c r="AO2519" s="223"/>
      <c r="AP2519" s="223"/>
      <c r="AQ2519" s="223"/>
      <c r="AR2519" s="223"/>
      <c r="AS2519" s="223"/>
      <c r="AT2519" s="324"/>
      <c r="AU2519" s="324"/>
      <c r="AV2519" s="223"/>
      <c r="AW2519" s="223"/>
      <c r="AX2519" s="223"/>
      <c r="AY2519" s="223"/>
      <c r="AZ2519" s="223"/>
      <c r="BA2519" s="223"/>
      <c r="BB2519" s="223"/>
      <c r="BC2519" s="223"/>
      <c r="BD2519" s="223"/>
      <c r="BE2519" s="223"/>
      <c r="BF2519" s="223"/>
      <c r="BG2519" s="223"/>
      <c r="BH2519" s="223"/>
      <c r="BI2519" s="223"/>
      <c r="BJ2519" s="223"/>
      <c r="BK2519" s="223"/>
      <c r="BL2519" s="223"/>
      <c r="BM2519" s="223"/>
      <c r="BN2519" s="223"/>
      <c r="BO2519" s="223"/>
      <c r="BP2519" s="223"/>
      <c r="BQ2519" s="223"/>
      <c r="BR2519" s="223"/>
      <c r="BS2519" s="223"/>
      <c r="BT2519" s="223"/>
      <c r="BU2519" s="223"/>
      <c r="BV2519" s="223"/>
      <c r="BW2519" s="223"/>
      <c r="BX2519" s="223"/>
      <c r="BY2519" s="223"/>
      <c r="BZ2519" s="223"/>
      <c r="CA2519" s="223"/>
      <c r="CB2519" s="223"/>
      <c r="CC2519" s="223"/>
      <c r="CD2519" s="223"/>
      <c r="CE2519" s="223"/>
      <c r="CF2519" s="223"/>
      <c r="CG2519" s="223"/>
      <c r="CH2519" s="223"/>
      <c r="CI2519" s="223"/>
      <c r="CJ2519" s="223"/>
      <c r="CK2519" s="223"/>
      <c r="CL2519" s="223"/>
      <c r="CM2519" s="223"/>
      <c r="CN2519" s="223"/>
      <c r="CO2519" s="223"/>
      <c r="CP2519" s="223"/>
      <c r="CQ2519" s="223"/>
      <c r="CR2519" s="223"/>
      <c r="CS2519" s="223"/>
      <c r="CT2519" s="223"/>
      <c r="CU2519" s="223"/>
      <c r="CV2519" s="223"/>
      <c r="CW2519" s="223"/>
      <c r="CX2519" s="223"/>
      <c r="CY2519" s="223"/>
      <c r="CZ2519" s="223"/>
      <c r="DA2519" s="223"/>
      <c r="DB2519" s="223"/>
      <c r="DC2519" s="223"/>
      <c r="DD2519" s="223"/>
      <c r="DE2519" s="223"/>
      <c r="DF2519" s="223"/>
      <c r="DG2519" s="223"/>
      <c r="DH2519" s="223"/>
      <c r="DI2519" s="223"/>
      <c r="DJ2519" s="223"/>
      <c r="DK2519" s="223"/>
      <c r="DL2519" s="223"/>
      <c r="DM2519" s="223"/>
      <c r="DN2519" s="223"/>
      <c r="DO2519" s="223"/>
      <c r="DP2519" s="223"/>
      <c r="DQ2519" s="223"/>
      <c r="DR2519" s="223"/>
      <c r="DS2519" s="223"/>
      <c r="DT2519" s="223"/>
      <c r="DU2519" s="223"/>
      <c r="DV2519" s="223"/>
      <c r="DW2519" s="223"/>
      <c r="DX2519" s="223"/>
      <c r="DY2519" s="223"/>
      <c r="DZ2519" s="223"/>
      <c r="EA2519" s="223"/>
      <c r="EB2519" s="223"/>
      <c r="EC2519" s="223"/>
      <c r="ED2519" s="223"/>
      <c r="EE2519" s="223"/>
      <c r="EF2519" s="223"/>
      <c r="EG2519" s="223"/>
      <c r="EH2519" s="223"/>
      <c r="EI2519" s="223"/>
      <c r="EJ2519" s="223"/>
      <c r="EK2519" s="223"/>
      <c r="EL2519" s="223"/>
      <c r="EM2519" s="223"/>
      <c r="EN2519" s="223"/>
      <c r="EO2519" s="223"/>
      <c r="EP2519" s="223"/>
      <c r="EQ2519" s="223"/>
      <c r="ER2519" s="223"/>
      <c r="ES2519" s="223"/>
      <c r="ET2519" s="223"/>
      <c r="EU2519" s="223"/>
      <c r="EV2519" s="223"/>
      <c r="EW2519" s="223"/>
      <c r="EX2519" s="223"/>
      <c r="EY2519" s="223"/>
      <c r="EZ2519" s="223"/>
      <c r="FA2519" s="223"/>
      <c r="FB2519" s="223"/>
      <c r="FC2519" s="223"/>
      <c r="FD2519" s="223"/>
      <c r="FE2519" s="223"/>
      <c r="FF2519" s="223"/>
      <c r="FG2519" s="223"/>
      <c r="FH2519" s="223"/>
      <c r="FI2519" s="223"/>
      <c r="FJ2519" s="223"/>
      <c r="FK2519" s="223"/>
      <c r="FL2519" s="223"/>
      <c r="FM2519" s="223"/>
      <c r="FN2519" s="223"/>
      <c r="FO2519" s="223"/>
      <c r="FP2519" s="223"/>
      <c r="FQ2519" s="223"/>
      <c r="FR2519" s="223"/>
      <c r="FS2519" s="223"/>
      <c r="FT2519" s="223"/>
      <c r="FU2519" s="223"/>
      <c r="FV2519" s="223"/>
      <c r="FW2519" s="223"/>
      <c r="FX2519" s="223"/>
      <c r="FY2519" s="223"/>
      <c r="FZ2519" s="223"/>
      <c r="GA2519" s="223"/>
      <c r="GB2519" s="223"/>
      <c r="GC2519" s="223"/>
      <c r="GD2519" s="223"/>
      <c r="GE2519" s="223"/>
      <c r="GF2519" s="223"/>
      <c r="GG2519" s="223"/>
      <c r="GH2519" s="223"/>
      <c r="GI2519" s="223"/>
      <c r="GJ2519" s="223"/>
      <c r="GK2519" s="223"/>
      <c r="GL2519" s="223"/>
      <c r="GM2519" s="223"/>
      <c r="GN2519" s="223"/>
      <c r="GO2519" s="223"/>
      <c r="GP2519" s="223"/>
      <c r="GQ2519" s="223"/>
      <c r="GR2519" s="223"/>
      <c r="GS2519" s="223"/>
      <c r="GT2519" s="223"/>
      <c r="GU2519" s="223"/>
      <c r="GV2519" s="223"/>
      <c r="GW2519" s="223"/>
      <c r="GX2519" s="223"/>
      <c r="GY2519" s="223"/>
      <c r="GZ2519" s="223"/>
      <c r="HA2519" s="223"/>
      <c r="HB2519" s="223"/>
      <c r="HC2519" s="223"/>
      <c r="HD2519" s="223"/>
      <c r="HE2519" s="223"/>
      <c r="HF2519" s="223"/>
      <c r="HG2519" s="223"/>
      <c r="HH2519" s="223"/>
      <c r="HI2519" s="223"/>
      <c r="HJ2519" s="223"/>
      <c r="HK2519" s="223"/>
      <c r="HL2519" s="223"/>
      <c r="HM2519" s="223"/>
      <c r="HN2519" s="223"/>
      <c r="HO2519" s="223"/>
      <c r="HP2519" s="223"/>
      <c r="HQ2519" s="223"/>
      <c r="HR2519" s="223"/>
      <c r="HS2519" s="223"/>
      <c r="HT2519" s="223"/>
      <c r="HU2519" s="223"/>
      <c r="HV2519" s="223"/>
      <c r="HW2519" s="223"/>
      <c r="HX2519" s="223"/>
      <c r="HY2519" s="223"/>
      <c r="HZ2519" s="223"/>
      <c r="IA2519" s="223"/>
      <c r="IB2519" s="223"/>
      <c r="IC2519" s="223"/>
      <c r="ID2519" s="223"/>
      <c r="IE2519" s="223"/>
      <c r="IF2519" s="223"/>
      <c r="IG2519" s="223"/>
      <c r="IH2519" s="223"/>
      <c r="II2519" s="223"/>
      <c r="IJ2519" s="223"/>
      <c r="IK2519" s="223"/>
      <c r="IL2519" s="223"/>
      <c r="IM2519" s="223"/>
      <c r="IN2519" s="223"/>
      <c r="IO2519" s="223"/>
      <c r="IP2519" s="223"/>
      <c r="IQ2519" s="223"/>
      <c r="IR2519" s="223"/>
      <c r="IS2519" s="223"/>
      <c r="IT2519" s="223"/>
      <c r="IU2519" s="223"/>
      <c r="IV2519" s="223"/>
    </row>
    <row r="2520" spans="22:256" s="221" customFormat="1" x14ac:dyDescent="0.2">
      <c r="V2520" s="223"/>
      <c r="W2520" s="223"/>
      <c r="X2520" s="223"/>
      <c r="Y2520" s="223"/>
      <c r="Z2520" s="223"/>
      <c r="AA2520" s="223"/>
      <c r="AB2520" s="223"/>
      <c r="AC2520" s="223"/>
      <c r="AD2520" s="223"/>
      <c r="AE2520" s="223"/>
      <c r="AF2520" s="223"/>
      <c r="AG2520" s="223"/>
      <c r="AH2520" s="223"/>
      <c r="AI2520" s="223"/>
      <c r="AJ2520" s="223"/>
      <c r="AK2520" s="223"/>
      <c r="AL2520" s="223"/>
      <c r="AM2520" s="223"/>
      <c r="AN2520" s="223"/>
      <c r="AO2520" s="223"/>
      <c r="AP2520" s="223"/>
      <c r="AQ2520" s="223"/>
      <c r="AR2520" s="223"/>
      <c r="AS2520" s="223"/>
      <c r="AT2520" s="324"/>
      <c r="AU2520" s="324"/>
      <c r="AV2520" s="223"/>
      <c r="AW2520" s="223"/>
      <c r="AX2520" s="223"/>
      <c r="AY2520" s="223"/>
      <c r="AZ2520" s="223"/>
      <c r="BA2520" s="223"/>
      <c r="BB2520" s="223"/>
      <c r="BC2520" s="223"/>
      <c r="BD2520" s="223"/>
      <c r="BE2520" s="223"/>
      <c r="BF2520" s="223"/>
      <c r="BG2520" s="223"/>
      <c r="BH2520" s="223"/>
      <c r="BI2520" s="223"/>
      <c r="BJ2520" s="223"/>
      <c r="BK2520" s="223"/>
      <c r="BL2520" s="223"/>
      <c r="BM2520" s="223"/>
      <c r="BN2520" s="223"/>
      <c r="BO2520" s="223"/>
      <c r="BP2520" s="223"/>
      <c r="BQ2520" s="223"/>
      <c r="BR2520" s="223"/>
      <c r="BS2520" s="223"/>
      <c r="BT2520" s="223"/>
      <c r="BU2520" s="223"/>
      <c r="BV2520" s="223"/>
      <c r="BW2520" s="223"/>
      <c r="BX2520" s="223"/>
      <c r="BY2520" s="223"/>
      <c r="BZ2520" s="223"/>
      <c r="CA2520" s="223"/>
      <c r="CB2520" s="223"/>
      <c r="CC2520" s="223"/>
      <c r="CD2520" s="223"/>
      <c r="CE2520" s="223"/>
      <c r="CF2520" s="223"/>
      <c r="CG2520" s="223"/>
      <c r="CH2520" s="223"/>
      <c r="CI2520" s="223"/>
      <c r="CJ2520" s="223"/>
      <c r="CK2520" s="223"/>
      <c r="CL2520" s="223"/>
      <c r="CM2520" s="223"/>
      <c r="CN2520" s="223"/>
      <c r="CO2520" s="223"/>
      <c r="CP2520" s="223"/>
      <c r="CQ2520" s="223"/>
      <c r="CR2520" s="223"/>
      <c r="CS2520" s="223"/>
      <c r="CT2520" s="223"/>
      <c r="CU2520" s="223"/>
      <c r="CV2520" s="223"/>
      <c r="CW2520" s="223"/>
      <c r="CX2520" s="223"/>
      <c r="CY2520" s="223"/>
      <c r="CZ2520" s="223"/>
      <c r="DA2520" s="223"/>
      <c r="DB2520" s="223"/>
      <c r="DC2520" s="223"/>
      <c r="DD2520" s="223"/>
      <c r="DE2520" s="223"/>
      <c r="DF2520" s="223"/>
      <c r="DG2520" s="223"/>
      <c r="DH2520" s="223"/>
      <c r="DI2520" s="223"/>
      <c r="DJ2520" s="223"/>
      <c r="DK2520" s="223"/>
      <c r="DL2520" s="223"/>
      <c r="DM2520" s="223"/>
      <c r="DN2520" s="223"/>
      <c r="DO2520" s="223"/>
      <c r="DP2520" s="223"/>
      <c r="DQ2520" s="223"/>
      <c r="DR2520" s="223"/>
      <c r="DS2520" s="223"/>
      <c r="DT2520" s="223"/>
      <c r="DU2520" s="223"/>
      <c r="DV2520" s="223"/>
      <c r="DW2520" s="223"/>
      <c r="DX2520" s="223"/>
      <c r="DY2520" s="223"/>
      <c r="DZ2520" s="223"/>
      <c r="EA2520" s="223"/>
      <c r="EB2520" s="223"/>
      <c r="EC2520" s="223"/>
      <c r="ED2520" s="223"/>
      <c r="EE2520" s="223"/>
      <c r="EF2520" s="223"/>
      <c r="EG2520" s="223"/>
      <c r="EH2520" s="223"/>
      <c r="EI2520" s="223"/>
      <c r="EJ2520" s="223"/>
      <c r="EK2520" s="223"/>
      <c r="EL2520" s="223"/>
      <c r="EM2520" s="223"/>
      <c r="EN2520" s="223"/>
      <c r="EO2520" s="223"/>
      <c r="EP2520" s="223"/>
      <c r="EQ2520" s="223"/>
      <c r="ER2520" s="223"/>
      <c r="ES2520" s="223"/>
      <c r="ET2520" s="223"/>
      <c r="EU2520" s="223"/>
      <c r="EV2520" s="223"/>
      <c r="EW2520" s="223"/>
      <c r="EX2520" s="223"/>
      <c r="EY2520" s="223"/>
      <c r="EZ2520" s="223"/>
      <c r="FA2520" s="223"/>
      <c r="FB2520" s="223"/>
      <c r="FC2520" s="223"/>
      <c r="FD2520" s="223"/>
      <c r="FE2520" s="223"/>
      <c r="FF2520" s="223"/>
      <c r="FG2520" s="223"/>
      <c r="FH2520" s="223"/>
      <c r="FI2520" s="223"/>
      <c r="FJ2520" s="223"/>
      <c r="FK2520" s="223"/>
      <c r="FL2520" s="223"/>
      <c r="FM2520" s="223"/>
      <c r="FN2520" s="223"/>
      <c r="FO2520" s="223"/>
      <c r="FP2520" s="223"/>
      <c r="FQ2520" s="223"/>
      <c r="FR2520" s="223"/>
      <c r="FS2520" s="223"/>
      <c r="FT2520" s="223"/>
      <c r="FU2520" s="223"/>
      <c r="FV2520" s="223"/>
      <c r="FW2520" s="223"/>
      <c r="FX2520" s="223"/>
      <c r="FY2520" s="223"/>
      <c r="FZ2520" s="223"/>
      <c r="GA2520" s="223"/>
      <c r="GB2520" s="223"/>
      <c r="GC2520" s="223"/>
      <c r="GD2520" s="223"/>
      <c r="GE2520" s="223"/>
      <c r="GF2520" s="223"/>
      <c r="GG2520" s="223"/>
      <c r="GH2520" s="223"/>
      <c r="GI2520" s="223"/>
      <c r="GJ2520" s="223"/>
      <c r="GK2520" s="223"/>
      <c r="GL2520" s="223"/>
      <c r="GM2520" s="223"/>
      <c r="GN2520" s="223"/>
      <c r="GO2520" s="223"/>
      <c r="GP2520" s="223"/>
      <c r="GQ2520" s="223"/>
      <c r="GR2520" s="223"/>
      <c r="GS2520" s="223"/>
      <c r="GT2520" s="223"/>
      <c r="GU2520" s="223"/>
      <c r="GV2520" s="223"/>
      <c r="GW2520" s="223"/>
      <c r="GX2520" s="223"/>
      <c r="GY2520" s="223"/>
      <c r="GZ2520" s="223"/>
      <c r="HA2520" s="223"/>
      <c r="HB2520" s="223"/>
      <c r="HC2520" s="223"/>
      <c r="HD2520" s="223"/>
      <c r="HE2520" s="223"/>
      <c r="HF2520" s="223"/>
      <c r="HG2520" s="223"/>
      <c r="HH2520" s="223"/>
      <c r="HI2520" s="223"/>
      <c r="HJ2520" s="223"/>
      <c r="HK2520" s="223"/>
      <c r="HL2520" s="223"/>
      <c r="HM2520" s="223"/>
      <c r="HN2520" s="223"/>
      <c r="HO2520" s="223"/>
      <c r="HP2520" s="223"/>
      <c r="HQ2520" s="223"/>
      <c r="HR2520" s="223"/>
      <c r="HS2520" s="223"/>
      <c r="HT2520" s="223"/>
      <c r="HU2520" s="223"/>
      <c r="HV2520" s="223"/>
      <c r="HW2520" s="223"/>
      <c r="HX2520" s="223"/>
      <c r="HY2520" s="223"/>
      <c r="HZ2520" s="223"/>
      <c r="IA2520" s="223"/>
      <c r="IB2520" s="223"/>
      <c r="IC2520" s="223"/>
      <c r="ID2520" s="223"/>
      <c r="IE2520" s="223"/>
      <c r="IF2520" s="223"/>
      <c r="IG2520" s="223"/>
      <c r="IH2520" s="223"/>
      <c r="II2520" s="223"/>
      <c r="IJ2520" s="223"/>
      <c r="IK2520" s="223"/>
      <c r="IL2520" s="223"/>
      <c r="IM2520" s="223"/>
      <c r="IN2520" s="223"/>
      <c r="IO2520" s="223"/>
      <c r="IP2520" s="223"/>
      <c r="IQ2520" s="223"/>
      <c r="IR2520" s="223"/>
      <c r="IS2520" s="223"/>
      <c r="IT2520" s="223"/>
      <c r="IU2520" s="223"/>
      <c r="IV2520" s="223"/>
    </row>
    <row r="2521" spans="22:256" s="221" customFormat="1" x14ac:dyDescent="0.2">
      <c r="V2521" s="223"/>
      <c r="W2521" s="223"/>
      <c r="X2521" s="223"/>
      <c r="Y2521" s="223"/>
      <c r="Z2521" s="223"/>
      <c r="AA2521" s="223"/>
      <c r="AB2521" s="223"/>
      <c r="AC2521" s="223"/>
      <c r="AD2521" s="223"/>
      <c r="AE2521" s="223"/>
      <c r="AF2521" s="223"/>
      <c r="AG2521" s="223"/>
      <c r="AH2521" s="223"/>
      <c r="AI2521" s="223"/>
      <c r="AJ2521" s="223"/>
      <c r="AK2521" s="223"/>
      <c r="AL2521" s="223"/>
      <c r="AM2521" s="223"/>
      <c r="AN2521" s="223"/>
      <c r="AO2521" s="223"/>
      <c r="AP2521" s="223"/>
      <c r="AQ2521" s="223"/>
      <c r="AR2521" s="223"/>
      <c r="AS2521" s="223"/>
      <c r="AT2521" s="324"/>
      <c r="AU2521" s="324"/>
      <c r="AV2521" s="223"/>
      <c r="AW2521" s="223"/>
      <c r="AX2521" s="223"/>
      <c r="AY2521" s="223"/>
      <c r="AZ2521" s="223"/>
      <c r="BA2521" s="223"/>
      <c r="BB2521" s="223"/>
      <c r="BC2521" s="223"/>
      <c r="BD2521" s="223"/>
      <c r="BE2521" s="223"/>
      <c r="BF2521" s="223"/>
      <c r="BG2521" s="223"/>
      <c r="BH2521" s="223"/>
      <c r="BI2521" s="223"/>
      <c r="BJ2521" s="223"/>
      <c r="BK2521" s="223"/>
      <c r="BL2521" s="223"/>
      <c r="BM2521" s="223"/>
      <c r="BN2521" s="223"/>
      <c r="BO2521" s="223"/>
      <c r="BP2521" s="223"/>
      <c r="BQ2521" s="223"/>
      <c r="BR2521" s="223"/>
      <c r="BS2521" s="223"/>
      <c r="BT2521" s="223"/>
      <c r="BU2521" s="223"/>
      <c r="BV2521" s="223"/>
      <c r="BW2521" s="223"/>
      <c r="BX2521" s="223"/>
      <c r="BY2521" s="223"/>
      <c r="BZ2521" s="223"/>
      <c r="CA2521" s="223"/>
      <c r="CB2521" s="223"/>
      <c r="CC2521" s="223"/>
      <c r="CD2521" s="223"/>
      <c r="CE2521" s="223"/>
      <c r="CF2521" s="223"/>
      <c r="CG2521" s="223"/>
      <c r="CH2521" s="223"/>
      <c r="CI2521" s="223"/>
      <c r="CJ2521" s="223"/>
      <c r="CK2521" s="223"/>
      <c r="CL2521" s="223"/>
      <c r="CM2521" s="223"/>
      <c r="CN2521" s="223"/>
      <c r="CO2521" s="223"/>
      <c r="CP2521" s="223"/>
      <c r="CQ2521" s="223"/>
      <c r="CR2521" s="223"/>
      <c r="CS2521" s="223"/>
      <c r="CT2521" s="223"/>
      <c r="CU2521" s="223"/>
      <c r="CV2521" s="223"/>
      <c r="CW2521" s="223"/>
      <c r="CX2521" s="223"/>
      <c r="CY2521" s="223"/>
      <c r="CZ2521" s="223"/>
      <c r="DA2521" s="223"/>
      <c r="DB2521" s="223"/>
      <c r="DC2521" s="223"/>
      <c r="DD2521" s="223"/>
      <c r="DE2521" s="223"/>
      <c r="DF2521" s="223"/>
      <c r="DG2521" s="223"/>
      <c r="DH2521" s="223"/>
      <c r="DI2521" s="223"/>
      <c r="DJ2521" s="223"/>
      <c r="DK2521" s="223"/>
      <c r="DL2521" s="223"/>
      <c r="DM2521" s="223"/>
      <c r="DN2521" s="223"/>
      <c r="DO2521" s="223"/>
      <c r="DP2521" s="223"/>
      <c r="DQ2521" s="223"/>
      <c r="DR2521" s="223"/>
      <c r="DS2521" s="223"/>
      <c r="DT2521" s="223"/>
      <c r="DU2521" s="223"/>
      <c r="DV2521" s="223"/>
      <c r="DW2521" s="223"/>
      <c r="DX2521" s="223"/>
      <c r="DY2521" s="223"/>
      <c r="DZ2521" s="223"/>
      <c r="EA2521" s="223"/>
      <c r="EB2521" s="223"/>
      <c r="EC2521" s="223"/>
      <c r="ED2521" s="223"/>
      <c r="EE2521" s="223"/>
      <c r="EF2521" s="223"/>
      <c r="EG2521" s="223"/>
      <c r="EH2521" s="223"/>
      <c r="EI2521" s="223"/>
      <c r="EJ2521" s="223"/>
      <c r="EK2521" s="223"/>
      <c r="EL2521" s="223"/>
      <c r="EM2521" s="223"/>
      <c r="EN2521" s="223"/>
      <c r="EO2521" s="223"/>
      <c r="EP2521" s="223"/>
      <c r="EQ2521" s="223"/>
      <c r="ER2521" s="223"/>
      <c r="ES2521" s="223"/>
      <c r="ET2521" s="223"/>
      <c r="EU2521" s="223"/>
      <c r="EV2521" s="223"/>
      <c r="EW2521" s="223"/>
      <c r="EX2521" s="223"/>
      <c r="EY2521" s="223"/>
      <c r="EZ2521" s="223"/>
      <c r="FA2521" s="223"/>
      <c r="FB2521" s="223"/>
      <c r="FC2521" s="223"/>
      <c r="FD2521" s="223"/>
      <c r="FE2521" s="223"/>
      <c r="FF2521" s="223"/>
      <c r="FG2521" s="223"/>
      <c r="FH2521" s="223"/>
      <c r="FI2521" s="223"/>
      <c r="FJ2521" s="223"/>
      <c r="FK2521" s="223"/>
      <c r="FL2521" s="223"/>
      <c r="FM2521" s="223"/>
      <c r="FN2521" s="223"/>
      <c r="FO2521" s="223"/>
      <c r="FP2521" s="223"/>
      <c r="FQ2521" s="223"/>
      <c r="FR2521" s="223"/>
      <c r="FS2521" s="223"/>
      <c r="FT2521" s="223"/>
      <c r="FU2521" s="223"/>
      <c r="FV2521" s="223"/>
      <c r="FW2521" s="223"/>
      <c r="FX2521" s="223"/>
      <c r="FY2521" s="223"/>
      <c r="FZ2521" s="223"/>
      <c r="GA2521" s="223"/>
      <c r="GB2521" s="223"/>
      <c r="GC2521" s="223"/>
      <c r="GD2521" s="223"/>
      <c r="GE2521" s="223"/>
      <c r="GF2521" s="223"/>
      <c r="GG2521" s="223"/>
      <c r="GH2521" s="223"/>
      <c r="GI2521" s="223"/>
      <c r="GJ2521" s="223"/>
      <c r="GK2521" s="223"/>
      <c r="GL2521" s="223"/>
      <c r="GM2521" s="223"/>
      <c r="GN2521" s="223"/>
      <c r="GO2521" s="223"/>
      <c r="GP2521" s="223"/>
      <c r="GQ2521" s="223"/>
      <c r="GR2521" s="223"/>
      <c r="GS2521" s="223"/>
      <c r="GT2521" s="223"/>
      <c r="GU2521" s="223"/>
      <c r="GV2521" s="223"/>
      <c r="GW2521" s="223"/>
      <c r="GX2521" s="223"/>
      <c r="GY2521" s="223"/>
      <c r="GZ2521" s="223"/>
      <c r="HA2521" s="223"/>
      <c r="HB2521" s="223"/>
      <c r="HC2521" s="223"/>
      <c r="HD2521" s="223"/>
      <c r="HE2521" s="223"/>
      <c r="HF2521" s="223"/>
      <c r="HG2521" s="223"/>
      <c r="HH2521" s="223"/>
      <c r="HI2521" s="223"/>
      <c r="HJ2521" s="223"/>
      <c r="HK2521" s="223"/>
      <c r="HL2521" s="223"/>
      <c r="HM2521" s="223"/>
      <c r="HN2521" s="223"/>
      <c r="HO2521" s="223"/>
      <c r="HP2521" s="223"/>
      <c r="HQ2521" s="223"/>
      <c r="HR2521" s="223"/>
      <c r="HS2521" s="223"/>
      <c r="HT2521" s="223"/>
      <c r="HU2521" s="223"/>
      <c r="HV2521" s="223"/>
      <c r="HW2521" s="223"/>
      <c r="HX2521" s="223"/>
      <c r="HY2521" s="223"/>
      <c r="HZ2521" s="223"/>
      <c r="IA2521" s="223"/>
      <c r="IB2521" s="223"/>
      <c r="IC2521" s="223"/>
      <c r="ID2521" s="223"/>
      <c r="IE2521" s="223"/>
      <c r="IF2521" s="223"/>
      <c r="IG2521" s="223"/>
      <c r="IH2521" s="223"/>
      <c r="II2521" s="223"/>
      <c r="IJ2521" s="223"/>
      <c r="IK2521" s="223"/>
      <c r="IL2521" s="223"/>
      <c r="IM2521" s="223"/>
      <c r="IN2521" s="223"/>
      <c r="IO2521" s="223"/>
      <c r="IP2521" s="223"/>
      <c r="IQ2521" s="223"/>
      <c r="IR2521" s="223"/>
      <c r="IS2521" s="223"/>
      <c r="IT2521" s="223"/>
      <c r="IU2521" s="223"/>
      <c r="IV2521" s="223"/>
    </row>
    <row r="2522" spans="22:256" s="221" customFormat="1" x14ac:dyDescent="0.2">
      <c r="V2522" s="223"/>
      <c r="W2522" s="223"/>
      <c r="X2522" s="223"/>
      <c r="Y2522" s="223"/>
      <c r="Z2522" s="223"/>
      <c r="AA2522" s="223"/>
      <c r="AB2522" s="223"/>
      <c r="AC2522" s="223"/>
      <c r="AD2522" s="223"/>
      <c r="AE2522" s="223"/>
      <c r="AF2522" s="223"/>
      <c r="AG2522" s="223"/>
      <c r="AH2522" s="223"/>
      <c r="AI2522" s="223"/>
      <c r="AJ2522" s="223"/>
      <c r="AK2522" s="223"/>
      <c r="AL2522" s="223"/>
      <c r="AM2522" s="223"/>
      <c r="AN2522" s="223"/>
      <c r="AO2522" s="223"/>
      <c r="AP2522" s="223"/>
      <c r="AQ2522" s="223"/>
      <c r="AR2522" s="223"/>
      <c r="AS2522" s="223"/>
      <c r="AT2522" s="324"/>
      <c r="AU2522" s="324"/>
      <c r="AV2522" s="223"/>
      <c r="AW2522" s="223"/>
      <c r="AX2522" s="223"/>
      <c r="AY2522" s="223"/>
      <c r="AZ2522" s="223"/>
      <c r="BA2522" s="223"/>
      <c r="BB2522" s="223"/>
      <c r="BC2522" s="223"/>
      <c r="BD2522" s="223"/>
      <c r="BE2522" s="223"/>
      <c r="BF2522" s="223"/>
      <c r="BG2522" s="223"/>
      <c r="BH2522" s="223"/>
      <c r="BI2522" s="223"/>
      <c r="BJ2522" s="223"/>
      <c r="BK2522" s="223"/>
      <c r="BL2522" s="223"/>
      <c r="BM2522" s="223"/>
      <c r="BN2522" s="223"/>
      <c r="BO2522" s="223"/>
      <c r="BP2522" s="223"/>
      <c r="BQ2522" s="223"/>
      <c r="BR2522" s="223"/>
      <c r="BS2522" s="223"/>
      <c r="BT2522" s="223"/>
      <c r="BU2522" s="223"/>
      <c r="BV2522" s="223"/>
      <c r="BW2522" s="223"/>
      <c r="BX2522" s="223"/>
      <c r="BY2522" s="223"/>
      <c r="BZ2522" s="223"/>
      <c r="CA2522" s="223"/>
      <c r="CB2522" s="223"/>
      <c r="CC2522" s="223"/>
      <c r="CD2522" s="223"/>
      <c r="CE2522" s="223"/>
      <c r="CF2522" s="223"/>
      <c r="CG2522" s="223"/>
      <c r="CH2522" s="223"/>
      <c r="CI2522" s="223"/>
      <c r="CJ2522" s="223"/>
      <c r="CK2522" s="223"/>
      <c r="CL2522" s="223"/>
      <c r="CM2522" s="223"/>
      <c r="CN2522" s="223"/>
      <c r="CO2522" s="223"/>
      <c r="CP2522" s="223"/>
      <c r="CQ2522" s="223"/>
      <c r="CR2522" s="223"/>
      <c r="CS2522" s="223"/>
      <c r="CT2522" s="223"/>
      <c r="CU2522" s="223"/>
      <c r="CV2522" s="223"/>
      <c r="CW2522" s="223"/>
      <c r="CX2522" s="223"/>
      <c r="CY2522" s="223"/>
      <c r="CZ2522" s="223"/>
      <c r="DA2522" s="223"/>
      <c r="DB2522" s="223"/>
      <c r="DC2522" s="223"/>
      <c r="DD2522" s="223"/>
      <c r="DE2522" s="223"/>
      <c r="DF2522" s="223"/>
      <c r="DG2522" s="223"/>
      <c r="DH2522" s="223"/>
      <c r="DI2522" s="223"/>
      <c r="DJ2522" s="223"/>
      <c r="DK2522" s="223"/>
      <c r="DL2522" s="223"/>
      <c r="DM2522" s="223"/>
      <c r="DN2522" s="223"/>
      <c r="DO2522" s="223"/>
      <c r="DP2522" s="223"/>
      <c r="DQ2522" s="223"/>
      <c r="DR2522" s="223"/>
      <c r="DS2522" s="223"/>
      <c r="DT2522" s="223"/>
      <c r="DU2522" s="223"/>
      <c r="DV2522" s="223"/>
      <c r="DW2522" s="223"/>
      <c r="DX2522" s="223"/>
      <c r="DY2522" s="223"/>
      <c r="DZ2522" s="223"/>
      <c r="EA2522" s="223"/>
      <c r="EB2522" s="223"/>
      <c r="EC2522" s="223"/>
      <c r="ED2522" s="223"/>
      <c r="EE2522" s="223"/>
      <c r="EF2522" s="223"/>
      <c r="EG2522" s="223"/>
      <c r="EH2522" s="223"/>
      <c r="EI2522" s="223"/>
      <c r="EJ2522" s="223"/>
      <c r="EK2522" s="223"/>
      <c r="EL2522" s="223"/>
      <c r="EM2522" s="223"/>
      <c r="EN2522" s="223"/>
      <c r="EO2522" s="223"/>
      <c r="EP2522" s="223"/>
      <c r="EQ2522" s="223"/>
      <c r="ER2522" s="223"/>
      <c r="ES2522" s="223"/>
      <c r="ET2522" s="223"/>
      <c r="EU2522" s="223"/>
      <c r="EV2522" s="223"/>
      <c r="EW2522" s="223"/>
      <c r="EX2522" s="223"/>
      <c r="EY2522" s="223"/>
      <c r="EZ2522" s="223"/>
      <c r="FA2522" s="223"/>
      <c r="FB2522" s="223"/>
      <c r="FC2522" s="223"/>
      <c r="FD2522" s="223"/>
      <c r="FE2522" s="223"/>
      <c r="FF2522" s="223"/>
      <c r="FG2522" s="223"/>
      <c r="FH2522" s="223"/>
      <c r="FI2522" s="223"/>
      <c r="FJ2522" s="223"/>
      <c r="FK2522" s="223"/>
      <c r="FL2522" s="223"/>
      <c r="FM2522" s="223"/>
      <c r="FN2522" s="223"/>
      <c r="FO2522" s="223"/>
      <c r="FP2522" s="223"/>
      <c r="FQ2522" s="223"/>
      <c r="FR2522" s="223"/>
      <c r="FS2522" s="223"/>
      <c r="FT2522" s="223"/>
      <c r="FU2522" s="223"/>
      <c r="FV2522" s="223"/>
      <c r="FW2522" s="223"/>
      <c r="FX2522" s="223"/>
      <c r="FY2522" s="223"/>
      <c r="FZ2522" s="223"/>
      <c r="GA2522" s="223"/>
      <c r="GB2522" s="223"/>
      <c r="GC2522" s="223"/>
      <c r="GD2522" s="223"/>
      <c r="GE2522" s="223"/>
      <c r="GF2522" s="223"/>
      <c r="GG2522" s="223"/>
      <c r="GH2522" s="223"/>
      <c r="GI2522" s="223"/>
      <c r="GJ2522" s="223"/>
      <c r="GK2522" s="223"/>
      <c r="GL2522" s="223"/>
      <c r="GM2522" s="223"/>
      <c r="GN2522" s="223"/>
      <c r="GO2522" s="223"/>
      <c r="GP2522" s="223"/>
      <c r="GQ2522" s="223"/>
      <c r="GR2522" s="223"/>
      <c r="GS2522" s="223"/>
      <c r="GT2522" s="223"/>
      <c r="GU2522" s="223"/>
      <c r="GV2522" s="223"/>
      <c r="GW2522" s="223"/>
      <c r="GX2522" s="223"/>
      <c r="GY2522" s="223"/>
      <c r="GZ2522" s="223"/>
      <c r="HA2522" s="223"/>
      <c r="HB2522" s="223"/>
      <c r="HC2522" s="223"/>
      <c r="HD2522" s="223"/>
      <c r="HE2522" s="223"/>
      <c r="HF2522" s="223"/>
      <c r="HG2522" s="223"/>
      <c r="HH2522" s="223"/>
      <c r="HI2522" s="223"/>
      <c r="HJ2522" s="223"/>
      <c r="HK2522" s="223"/>
      <c r="HL2522" s="223"/>
      <c r="HM2522" s="223"/>
      <c r="HN2522" s="223"/>
      <c r="HO2522" s="223"/>
      <c r="HP2522" s="223"/>
      <c r="HQ2522" s="223"/>
      <c r="HR2522" s="223"/>
      <c r="HS2522" s="223"/>
      <c r="HT2522" s="223"/>
      <c r="HU2522" s="223"/>
      <c r="HV2522" s="223"/>
      <c r="HW2522" s="223"/>
      <c r="HX2522" s="223"/>
      <c r="HY2522" s="223"/>
      <c r="HZ2522" s="223"/>
      <c r="IA2522" s="223"/>
      <c r="IB2522" s="223"/>
      <c r="IC2522" s="223"/>
      <c r="ID2522" s="223"/>
      <c r="IE2522" s="223"/>
      <c r="IF2522" s="223"/>
      <c r="IG2522" s="223"/>
      <c r="IH2522" s="223"/>
      <c r="II2522" s="223"/>
      <c r="IJ2522" s="223"/>
      <c r="IK2522" s="223"/>
      <c r="IL2522" s="223"/>
      <c r="IM2522" s="223"/>
      <c r="IN2522" s="223"/>
      <c r="IO2522" s="223"/>
      <c r="IP2522" s="223"/>
      <c r="IQ2522" s="223"/>
      <c r="IR2522" s="223"/>
      <c r="IS2522" s="223"/>
      <c r="IT2522" s="223"/>
      <c r="IU2522" s="223"/>
      <c r="IV2522" s="223"/>
    </row>
    <row r="2523" spans="22:256" s="221" customFormat="1" x14ac:dyDescent="0.2">
      <c r="V2523" s="223"/>
      <c r="W2523" s="223"/>
      <c r="X2523" s="223"/>
      <c r="Y2523" s="223"/>
      <c r="Z2523" s="223"/>
      <c r="AA2523" s="223"/>
      <c r="AB2523" s="223"/>
      <c r="AC2523" s="223"/>
      <c r="AD2523" s="223"/>
      <c r="AE2523" s="223"/>
      <c r="AF2523" s="223"/>
      <c r="AG2523" s="223"/>
      <c r="AH2523" s="223"/>
      <c r="AI2523" s="223"/>
      <c r="AJ2523" s="223"/>
      <c r="AK2523" s="223"/>
      <c r="AL2523" s="223"/>
      <c r="AM2523" s="223"/>
      <c r="AN2523" s="223"/>
      <c r="AO2523" s="223"/>
      <c r="AP2523" s="223"/>
      <c r="AQ2523" s="223"/>
      <c r="AR2523" s="223"/>
      <c r="AS2523" s="223"/>
      <c r="AT2523" s="324"/>
      <c r="AU2523" s="324"/>
      <c r="AV2523" s="223"/>
      <c r="AW2523" s="223"/>
      <c r="AX2523" s="223"/>
      <c r="AY2523" s="223"/>
      <c r="AZ2523" s="223"/>
      <c r="BA2523" s="223"/>
      <c r="BB2523" s="223"/>
      <c r="BC2523" s="223"/>
      <c r="BD2523" s="223"/>
      <c r="BE2523" s="223"/>
      <c r="BF2523" s="223"/>
      <c r="BG2523" s="223"/>
      <c r="BH2523" s="223"/>
      <c r="BI2523" s="223"/>
      <c r="BJ2523" s="223"/>
      <c r="BK2523" s="223"/>
      <c r="BL2523" s="223"/>
      <c r="BM2523" s="223"/>
      <c r="BN2523" s="223"/>
      <c r="BO2523" s="223"/>
      <c r="BP2523" s="223"/>
      <c r="BQ2523" s="223"/>
      <c r="BR2523" s="223"/>
      <c r="BS2523" s="223"/>
      <c r="BT2523" s="223"/>
      <c r="BU2523" s="223"/>
      <c r="BV2523" s="223"/>
      <c r="BW2523" s="223"/>
      <c r="BX2523" s="223"/>
      <c r="BY2523" s="223"/>
      <c r="BZ2523" s="223"/>
      <c r="CA2523" s="223"/>
      <c r="CB2523" s="223"/>
      <c r="CC2523" s="223"/>
      <c r="CD2523" s="223"/>
      <c r="CE2523" s="223"/>
      <c r="CF2523" s="223"/>
      <c r="CG2523" s="223"/>
      <c r="CH2523" s="223"/>
      <c r="CI2523" s="223"/>
      <c r="CJ2523" s="223"/>
      <c r="CK2523" s="223"/>
      <c r="CL2523" s="223"/>
      <c r="CM2523" s="223"/>
      <c r="CN2523" s="223"/>
      <c r="CO2523" s="223"/>
      <c r="CP2523" s="223"/>
      <c r="CQ2523" s="223"/>
      <c r="CR2523" s="223"/>
      <c r="CS2523" s="223"/>
      <c r="CT2523" s="223"/>
      <c r="CU2523" s="223"/>
      <c r="CV2523" s="223"/>
      <c r="CW2523" s="223"/>
      <c r="CX2523" s="223"/>
      <c r="CY2523" s="223"/>
      <c r="CZ2523" s="223"/>
      <c r="DA2523" s="223"/>
      <c r="DB2523" s="223"/>
      <c r="DC2523" s="223"/>
      <c r="DD2523" s="223"/>
      <c r="DE2523" s="223"/>
      <c r="DF2523" s="223"/>
      <c r="DG2523" s="223"/>
      <c r="DH2523" s="223"/>
      <c r="DI2523" s="223"/>
      <c r="DJ2523" s="223"/>
      <c r="DK2523" s="223"/>
      <c r="DL2523" s="223"/>
      <c r="DM2523" s="223"/>
      <c r="DN2523" s="223"/>
      <c r="DO2523" s="223"/>
      <c r="DP2523" s="223"/>
      <c r="DQ2523" s="223"/>
      <c r="DR2523" s="223"/>
      <c r="DS2523" s="223"/>
      <c r="DT2523" s="223"/>
      <c r="DU2523" s="223"/>
      <c r="DV2523" s="223"/>
      <c r="DW2523" s="223"/>
      <c r="DX2523" s="223"/>
      <c r="DY2523" s="223"/>
      <c r="DZ2523" s="223"/>
      <c r="EA2523" s="223"/>
      <c r="EB2523" s="223"/>
      <c r="EC2523" s="223"/>
      <c r="ED2523" s="223"/>
      <c r="EE2523" s="223"/>
      <c r="EF2523" s="223"/>
      <c r="EG2523" s="223"/>
      <c r="EH2523" s="223"/>
      <c r="EI2523" s="223"/>
      <c r="EJ2523" s="223"/>
      <c r="EK2523" s="223"/>
      <c r="EL2523" s="223"/>
      <c r="EM2523" s="223"/>
      <c r="EN2523" s="223"/>
      <c r="EO2523" s="223"/>
      <c r="EP2523" s="223"/>
      <c r="EQ2523" s="223"/>
      <c r="ER2523" s="223"/>
      <c r="ES2523" s="223"/>
      <c r="ET2523" s="223"/>
      <c r="EU2523" s="223"/>
      <c r="EV2523" s="223"/>
      <c r="EW2523" s="223"/>
      <c r="EX2523" s="223"/>
      <c r="EY2523" s="223"/>
      <c r="EZ2523" s="223"/>
      <c r="FA2523" s="223"/>
      <c r="FB2523" s="223"/>
      <c r="FC2523" s="223"/>
      <c r="FD2523" s="223"/>
      <c r="FE2523" s="223"/>
      <c r="FF2523" s="223"/>
      <c r="FG2523" s="223"/>
      <c r="FH2523" s="223"/>
      <c r="FI2523" s="223"/>
      <c r="FJ2523" s="223"/>
      <c r="FK2523" s="223"/>
      <c r="FL2523" s="223"/>
      <c r="FM2523" s="223"/>
      <c r="FN2523" s="223"/>
      <c r="FO2523" s="223"/>
      <c r="FP2523" s="223"/>
      <c r="FQ2523" s="223"/>
      <c r="FR2523" s="223"/>
      <c r="FS2523" s="223"/>
      <c r="FT2523" s="223"/>
      <c r="FU2523" s="223"/>
      <c r="FV2523" s="223"/>
      <c r="FW2523" s="223"/>
      <c r="FX2523" s="223"/>
      <c r="FY2523" s="223"/>
      <c r="FZ2523" s="223"/>
      <c r="GA2523" s="223"/>
      <c r="GB2523" s="223"/>
      <c r="GC2523" s="223"/>
      <c r="GD2523" s="223"/>
      <c r="GE2523" s="223"/>
      <c r="GF2523" s="223"/>
      <c r="GG2523" s="223"/>
      <c r="GH2523" s="223"/>
      <c r="GI2523" s="223"/>
      <c r="GJ2523" s="223"/>
      <c r="GK2523" s="223"/>
      <c r="GL2523" s="223"/>
      <c r="GM2523" s="223"/>
      <c r="GN2523" s="223"/>
      <c r="GO2523" s="223"/>
      <c r="GP2523" s="223"/>
      <c r="GQ2523" s="223"/>
      <c r="GR2523" s="223"/>
      <c r="GS2523" s="223"/>
      <c r="GT2523" s="223"/>
      <c r="GU2523" s="223"/>
      <c r="GV2523" s="223"/>
      <c r="GW2523" s="223"/>
      <c r="GX2523" s="223"/>
      <c r="GY2523" s="223"/>
      <c r="GZ2523" s="223"/>
      <c r="HA2523" s="223"/>
      <c r="HB2523" s="223"/>
      <c r="HC2523" s="223"/>
      <c r="HD2523" s="223"/>
      <c r="HE2523" s="223"/>
      <c r="HF2523" s="223"/>
      <c r="HG2523" s="223"/>
      <c r="HH2523" s="223"/>
      <c r="HI2523" s="223"/>
      <c r="HJ2523" s="223"/>
      <c r="HK2523" s="223"/>
      <c r="HL2523" s="223"/>
      <c r="HM2523" s="223"/>
      <c r="HN2523" s="223"/>
      <c r="HO2523" s="223"/>
      <c r="HP2523" s="223"/>
      <c r="HQ2523" s="223"/>
      <c r="HR2523" s="223"/>
      <c r="HS2523" s="223"/>
      <c r="HT2523" s="223"/>
      <c r="HU2523" s="223"/>
      <c r="HV2523" s="223"/>
      <c r="HW2523" s="223"/>
      <c r="HX2523" s="223"/>
      <c r="HY2523" s="223"/>
      <c r="HZ2523" s="223"/>
      <c r="IA2523" s="223"/>
      <c r="IB2523" s="223"/>
      <c r="IC2523" s="223"/>
      <c r="ID2523" s="223"/>
      <c r="IE2523" s="223"/>
      <c r="IF2523" s="223"/>
      <c r="IG2523" s="223"/>
      <c r="IH2523" s="223"/>
      <c r="II2523" s="223"/>
      <c r="IJ2523" s="223"/>
      <c r="IK2523" s="223"/>
      <c r="IL2523" s="223"/>
      <c r="IM2523" s="223"/>
      <c r="IN2523" s="223"/>
      <c r="IO2523" s="223"/>
      <c r="IP2523" s="223"/>
      <c r="IQ2523" s="223"/>
      <c r="IR2523" s="223"/>
      <c r="IS2523" s="223"/>
      <c r="IT2523" s="223"/>
      <c r="IU2523" s="223"/>
      <c r="IV2523" s="223"/>
    </row>
    <row r="2524" spans="22:256" s="221" customFormat="1" x14ac:dyDescent="0.2">
      <c r="V2524" s="223"/>
      <c r="W2524" s="223"/>
      <c r="X2524" s="223"/>
      <c r="Y2524" s="223"/>
      <c r="Z2524" s="223"/>
      <c r="AA2524" s="223"/>
      <c r="AB2524" s="223"/>
      <c r="AC2524" s="223"/>
      <c r="AD2524" s="223"/>
      <c r="AE2524" s="223"/>
      <c r="AF2524" s="223"/>
      <c r="AG2524" s="223"/>
      <c r="AH2524" s="223"/>
      <c r="AI2524" s="223"/>
      <c r="AJ2524" s="223"/>
      <c r="AK2524" s="223"/>
      <c r="AL2524" s="223"/>
      <c r="AM2524" s="223"/>
      <c r="AN2524" s="223"/>
      <c r="AO2524" s="223"/>
      <c r="AP2524" s="223"/>
      <c r="AQ2524" s="223"/>
      <c r="AR2524" s="223"/>
      <c r="AS2524" s="223"/>
      <c r="AT2524" s="324"/>
      <c r="AU2524" s="324"/>
      <c r="AV2524" s="223"/>
      <c r="AW2524" s="223"/>
      <c r="AX2524" s="223"/>
      <c r="AY2524" s="223"/>
      <c r="AZ2524" s="223"/>
      <c r="BA2524" s="223"/>
      <c r="BB2524" s="223"/>
      <c r="BC2524" s="223"/>
      <c r="BD2524" s="223"/>
      <c r="BE2524" s="223"/>
      <c r="BF2524" s="223"/>
      <c r="BG2524" s="223"/>
      <c r="BH2524" s="223"/>
      <c r="BI2524" s="223"/>
      <c r="BJ2524" s="223"/>
      <c r="BK2524" s="223"/>
      <c r="BL2524" s="223"/>
      <c r="BM2524" s="223"/>
      <c r="BN2524" s="223"/>
      <c r="BO2524" s="223"/>
      <c r="BP2524" s="223"/>
      <c r="BQ2524" s="223"/>
      <c r="BR2524" s="223"/>
      <c r="BS2524" s="223"/>
      <c r="BT2524" s="223"/>
      <c r="BU2524" s="223"/>
      <c r="BV2524" s="223"/>
      <c r="BW2524" s="223"/>
      <c r="BX2524" s="223"/>
      <c r="BY2524" s="223"/>
      <c r="BZ2524" s="223"/>
      <c r="CA2524" s="223"/>
      <c r="CB2524" s="223"/>
      <c r="CC2524" s="223"/>
      <c r="CD2524" s="223"/>
      <c r="CE2524" s="223"/>
      <c r="CF2524" s="223"/>
      <c r="CG2524" s="223"/>
      <c r="CH2524" s="223"/>
      <c r="CI2524" s="223"/>
      <c r="CJ2524" s="223"/>
      <c r="CK2524" s="223"/>
      <c r="CL2524" s="223"/>
      <c r="CM2524" s="223"/>
      <c r="CN2524" s="223"/>
      <c r="CO2524" s="223"/>
      <c r="CP2524" s="223"/>
      <c r="CQ2524" s="223"/>
      <c r="CR2524" s="223"/>
      <c r="CS2524" s="223"/>
      <c r="CT2524" s="223"/>
      <c r="CU2524" s="223"/>
      <c r="CV2524" s="223"/>
      <c r="CW2524" s="223"/>
      <c r="CX2524" s="223"/>
      <c r="CY2524" s="223"/>
      <c r="CZ2524" s="223"/>
      <c r="DA2524" s="223"/>
      <c r="DB2524" s="223"/>
      <c r="DC2524" s="223"/>
      <c r="DD2524" s="223"/>
      <c r="DE2524" s="223"/>
      <c r="DF2524" s="223"/>
      <c r="DG2524" s="223"/>
      <c r="DH2524" s="223"/>
      <c r="DI2524" s="223"/>
      <c r="DJ2524" s="223"/>
      <c r="DK2524" s="223"/>
      <c r="DL2524" s="223"/>
      <c r="DM2524" s="223"/>
      <c r="DN2524" s="223"/>
      <c r="DO2524" s="223"/>
      <c r="DP2524" s="223"/>
      <c r="DQ2524" s="223"/>
      <c r="DR2524" s="223"/>
      <c r="DS2524" s="223"/>
      <c r="DT2524" s="223"/>
      <c r="DU2524" s="223"/>
      <c r="DV2524" s="223"/>
      <c r="DW2524" s="223"/>
      <c r="DX2524" s="223"/>
      <c r="DY2524" s="223"/>
      <c r="DZ2524" s="223"/>
      <c r="EA2524" s="223"/>
      <c r="EB2524" s="223"/>
      <c r="EC2524" s="223"/>
      <c r="ED2524" s="223"/>
      <c r="EE2524" s="223"/>
      <c r="EF2524" s="223"/>
      <c r="EG2524" s="223"/>
      <c r="EH2524" s="223"/>
      <c r="EI2524" s="223"/>
      <c r="EJ2524" s="223"/>
      <c r="EK2524" s="223"/>
      <c r="EL2524" s="223"/>
      <c r="EM2524" s="223"/>
      <c r="EN2524" s="223"/>
      <c r="EO2524" s="223"/>
      <c r="EP2524" s="223"/>
      <c r="EQ2524" s="223"/>
      <c r="ER2524" s="223"/>
      <c r="ES2524" s="223"/>
      <c r="ET2524" s="223"/>
      <c r="EU2524" s="223"/>
      <c r="EV2524" s="223"/>
      <c r="EW2524" s="223"/>
      <c r="EX2524" s="223"/>
      <c r="EY2524" s="223"/>
      <c r="EZ2524" s="223"/>
      <c r="FA2524" s="223"/>
      <c r="FB2524" s="223"/>
      <c r="FC2524" s="223"/>
      <c r="FD2524" s="223"/>
      <c r="FE2524" s="223"/>
      <c r="FF2524" s="223"/>
      <c r="FG2524" s="223"/>
      <c r="FH2524" s="223"/>
      <c r="FI2524" s="223"/>
      <c r="FJ2524" s="223"/>
      <c r="FK2524" s="223"/>
      <c r="FL2524" s="223"/>
      <c r="FM2524" s="223"/>
      <c r="FN2524" s="223"/>
      <c r="FO2524" s="223"/>
      <c r="FP2524" s="223"/>
      <c r="FQ2524" s="223"/>
      <c r="FR2524" s="223"/>
      <c r="FS2524" s="223"/>
      <c r="FT2524" s="223"/>
      <c r="FU2524" s="223"/>
      <c r="FV2524" s="223"/>
      <c r="FW2524" s="223"/>
      <c r="FX2524" s="223"/>
      <c r="FY2524" s="223"/>
      <c r="FZ2524" s="223"/>
      <c r="GA2524" s="223"/>
      <c r="GB2524" s="223"/>
      <c r="GC2524" s="223"/>
      <c r="GD2524" s="223"/>
      <c r="GE2524" s="223"/>
      <c r="GF2524" s="223"/>
      <c r="GG2524" s="223"/>
      <c r="GH2524" s="223"/>
      <c r="GI2524" s="223"/>
      <c r="GJ2524" s="223"/>
      <c r="GK2524" s="223"/>
      <c r="GL2524" s="223"/>
      <c r="GM2524" s="223"/>
      <c r="GN2524" s="223"/>
      <c r="GO2524" s="223"/>
      <c r="GP2524" s="223"/>
      <c r="GQ2524" s="223"/>
      <c r="GR2524" s="223"/>
      <c r="GS2524" s="223"/>
      <c r="GT2524" s="223"/>
      <c r="GU2524" s="223"/>
      <c r="GV2524" s="223"/>
      <c r="GW2524" s="223"/>
      <c r="GX2524" s="223"/>
      <c r="GY2524" s="223"/>
      <c r="GZ2524" s="223"/>
      <c r="HA2524" s="223"/>
      <c r="HB2524" s="223"/>
      <c r="HC2524" s="223"/>
      <c r="HD2524" s="223"/>
      <c r="HE2524" s="223"/>
      <c r="HF2524" s="223"/>
      <c r="HG2524" s="223"/>
      <c r="HH2524" s="223"/>
      <c r="HI2524" s="223"/>
      <c r="HJ2524" s="223"/>
      <c r="HK2524" s="223"/>
      <c r="HL2524" s="223"/>
      <c r="HM2524" s="223"/>
      <c r="HN2524" s="223"/>
      <c r="HO2524" s="223"/>
      <c r="HP2524" s="223"/>
      <c r="HQ2524" s="223"/>
      <c r="HR2524" s="223"/>
      <c r="HS2524" s="223"/>
      <c r="HT2524" s="223"/>
      <c r="HU2524" s="223"/>
      <c r="HV2524" s="223"/>
      <c r="HW2524" s="223"/>
      <c r="HX2524" s="223"/>
      <c r="HY2524" s="223"/>
      <c r="HZ2524" s="223"/>
      <c r="IA2524" s="223"/>
      <c r="IB2524" s="223"/>
      <c r="IC2524" s="223"/>
      <c r="ID2524" s="223"/>
      <c r="IE2524" s="223"/>
      <c r="IF2524" s="223"/>
      <c r="IG2524" s="223"/>
      <c r="IH2524" s="223"/>
      <c r="II2524" s="223"/>
      <c r="IJ2524" s="223"/>
      <c r="IK2524" s="223"/>
      <c r="IL2524" s="223"/>
      <c r="IM2524" s="223"/>
      <c r="IN2524" s="223"/>
      <c r="IO2524" s="223"/>
      <c r="IP2524" s="223"/>
      <c r="IQ2524" s="223"/>
      <c r="IR2524" s="223"/>
      <c r="IS2524" s="223"/>
      <c r="IT2524" s="223"/>
      <c r="IU2524" s="223"/>
      <c r="IV2524" s="223"/>
    </row>
    <row r="2525" spans="22:256" s="221" customFormat="1" x14ac:dyDescent="0.2">
      <c r="V2525" s="223"/>
      <c r="W2525" s="223"/>
      <c r="X2525" s="223"/>
      <c r="Y2525" s="223"/>
      <c r="Z2525" s="223"/>
      <c r="AA2525" s="223"/>
      <c r="AB2525" s="223"/>
      <c r="AC2525" s="223"/>
      <c r="AD2525" s="223"/>
      <c r="AE2525" s="223"/>
      <c r="AF2525" s="223"/>
      <c r="AG2525" s="223"/>
      <c r="AH2525" s="223"/>
      <c r="AI2525" s="223"/>
      <c r="AJ2525" s="223"/>
      <c r="AK2525" s="223"/>
      <c r="AL2525" s="223"/>
      <c r="AM2525" s="223"/>
      <c r="AN2525" s="223"/>
      <c r="AO2525" s="223"/>
      <c r="AP2525" s="223"/>
      <c r="AQ2525" s="223"/>
      <c r="AR2525" s="223"/>
      <c r="AS2525" s="223"/>
      <c r="AT2525" s="324"/>
      <c r="AU2525" s="324"/>
      <c r="AV2525" s="223"/>
      <c r="AW2525" s="223"/>
      <c r="AX2525" s="223"/>
      <c r="AY2525" s="223"/>
      <c r="AZ2525" s="223"/>
      <c r="BA2525" s="223"/>
      <c r="BB2525" s="223"/>
      <c r="BC2525" s="223"/>
      <c r="BD2525" s="223"/>
      <c r="BE2525" s="223"/>
      <c r="BF2525" s="223"/>
      <c r="BG2525" s="223"/>
      <c r="BH2525" s="223"/>
      <c r="BI2525" s="223"/>
      <c r="BJ2525" s="223"/>
      <c r="BK2525" s="223"/>
      <c r="BL2525" s="223"/>
      <c r="BM2525" s="223"/>
      <c r="BN2525" s="223"/>
      <c r="BO2525" s="223"/>
      <c r="BP2525" s="223"/>
      <c r="BQ2525" s="223"/>
      <c r="BR2525" s="223"/>
      <c r="BS2525" s="223"/>
      <c r="BT2525" s="223"/>
      <c r="BU2525" s="223"/>
      <c r="BV2525" s="223"/>
      <c r="BW2525" s="223"/>
      <c r="BX2525" s="223"/>
      <c r="BY2525" s="223"/>
      <c r="BZ2525" s="223"/>
      <c r="CA2525" s="223"/>
      <c r="CB2525" s="223"/>
      <c r="CC2525" s="223"/>
      <c r="CD2525" s="223"/>
      <c r="CE2525" s="223"/>
      <c r="CF2525" s="223"/>
      <c r="CG2525" s="223"/>
      <c r="CH2525" s="223"/>
      <c r="CI2525" s="223"/>
      <c r="CJ2525" s="223"/>
      <c r="CK2525" s="223"/>
      <c r="CL2525" s="223"/>
      <c r="CM2525" s="223"/>
      <c r="CN2525" s="223"/>
      <c r="CO2525" s="223"/>
      <c r="CP2525" s="223"/>
      <c r="CQ2525" s="223"/>
      <c r="CR2525" s="223"/>
      <c r="CS2525" s="223"/>
      <c r="CT2525" s="223"/>
      <c r="CU2525" s="223"/>
      <c r="CV2525" s="223"/>
      <c r="CW2525" s="223"/>
      <c r="CX2525" s="223"/>
      <c r="CY2525" s="223"/>
      <c r="CZ2525" s="223"/>
      <c r="DA2525" s="223"/>
      <c r="DB2525" s="223"/>
      <c r="DC2525" s="223"/>
      <c r="DD2525" s="223"/>
      <c r="DE2525" s="223"/>
      <c r="DF2525" s="223"/>
      <c r="DG2525" s="223"/>
      <c r="DH2525" s="223"/>
      <c r="DI2525" s="223"/>
      <c r="DJ2525" s="223"/>
      <c r="DK2525" s="223"/>
      <c r="DL2525" s="223"/>
      <c r="DM2525" s="223"/>
      <c r="DN2525" s="223"/>
      <c r="DO2525" s="223"/>
      <c r="DP2525" s="223"/>
      <c r="DQ2525" s="223"/>
      <c r="DR2525" s="223"/>
      <c r="DS2525" s="223"/>
      <c r="DT2525" s="223"/>
      <c r="DU2525" s="223"/>
      <c r="DV2525" s="223"/>
      <c r="DW2525" s="223"/>
      <c r="DX2525" s="223"/>
      <c r="DY2525" s="223"/>
      <c r="DZ2525" s="223"/>
      <c r="EA2525" s="223"/>
      <c r="EB2525" s="223"/>
      <c r="EC2525" s="223"/>
      <c r="ED2525" s="223"/>
      <c r="EE2525" s="223"/>
      <c r="EF2525" s="223"/>
      <c r="EG2525" s="223"/>
      <c r="EH2525" s="223"/>
      <c r="EI2525" s="223"/>
      <c r="EJ2525" s="223"/>
      <c r="EK2525" s="223"/>
      <c r="EL2525" s="223"/>
      <c r="EM2525" s="223"/>
      <c r="EN2525" s="223"/>
      <c r="EO2525" s="223"/>
      <c r="EP2525" s="223"/>
      <c r="EQ2525" s="223"/>
      <c r="ER2525" s="223"/>
      <c r="ES2525" s="223"/>
      <c r="ET2525" s="223"/>
      <c r="EU2525" s="223"/>
      <c r="EV2525" s="223"/>
      <c r="EW2525" s="223"/>
      <c r="EX2525" s="223"/>
      <c r="EY2525" s="223"/>
      <c r="EZ2525" s="223"/>
      <c r="FA2525" s="223"/>
      <c r="FB2525" s="223"/>
      <c r="FC2525" s="223"/>
      <c r="FD2525" s="223"/>
      <c r="FE2525" s="223"/>
      <c r="FF2525" s="223"/>
      <c r="FG2525" s="223"/>
      <c r="FH2525" s="223"/>
      <c r="FI2525" s="223"/>
      <c r="FJ2525" s="223"/>
      <c r="FK2525" s="223"/>
      <c r="FL2525" s="223"/>
      <c r="FM2525" s="223"/>
      <c r="FN2525" s="223"/>
      <c r="FO2525" s="223"/>
      <c r="FP2525" s="223"/>
      <c r="FQ2525" s="223"/>
      <c r="FR2525" s="223"/>
      <c r="FS2525" s="223"/>
      <c r="FT2525" s="223"/>
      <c r="FU2525" s="223"/>
      <c r="FV2525" s="223"/>
      <c r="FW2525" s="223"/>
      <c r="FX2525" s="223"/>
      <c r="FY2525" s="223"/>
      <c r="FZ2525" s="223"/>
      <c r="GA2525" s="223"/>
      <c r="GB2525" s="223"/>
      <c r="GC2525" s="223"/>
      <c r="GD2525" s="223"/>
      <c r="GE2525" s="223"/>
      <c r="GF2525" s="223"/>
      <c r="GG2525" s="223"/>
      <c r="GH2525" s="223"/>
      <c r="GI2525" s="223"/>
      <c r="GJ2525" s="223"/>
      <c r="GK2525" s="223"/>
      <c r="GL2525" s="223"/>
      <c r="GM2525" s="223"/>
      <c r="GN2525" s="223"/>
      <c r="GO2525" s="223"/>
      <c r="GP2525" s="223"/>
      <c r="GQ2525" s="223"/>
      <c r="GR2525" s="223"/>
      <c r="GS2525" s="223"/>
      <c r="GT2525" s="223"/>
      <c r="GU2525" s="223"/>
      <c r="GV2525" s="223"/>
      <c r="GW2525" s="223"/>
      <c r="GX2525" s="223"/>
      <c r="GY2525" s="223"/>
      <c r="GZ2525" s="223"/>
      <c r="HA2525" s="223"/>
      <c r="HB2525" s="223"/>
      <c r="HC2525" s="223"/>
      <c r="HD2525" s="223"/>
      <c r="HE2525" s="223"/>
      <c r="HF2525" s="223"/>
      <c r="HG2525" s="223"/>
      <c r="HH2525" s="223"/>
      <c r="HI2525" s="223"/>
      <c r="HJ2525" s="223"/>
      <c r="HK2525" s="223"/>
      <c r="HL2525" s="223"/>
      <c r="HM2525" s="223"/>
      <c r="HN2525" s="223"/>
      <c r="HO2525" s="223"/>
      <c r="HP2525" s="223"/>
      <c r="HQ2525" s="223"/>
      <c r="HR2525" s="223"/>
      <c r="HS2525" s="223"/>
      <c r="HT2525" s="223"/>
      <c r="HU2525" s="223"/>
      <c r="HV2525" s="223"/>
      <c r="HW2525" s="223"/>
      <c r="HX2525" s="223"/>
      <c r="HY2525" s="223"/>
      <c r="HZ2525" s="223"/>
      <c r="IA2525" s="223"/>
      <c r="IB2525" s="223"/>
      <c r="IC2525" s="223"/>
      <c r="ID2525" s="223"/>
      <c r="IE2525" s="223"/>
      <c r="IF2525" s="223"/>
      <c r="IG2525" s="223"/>
      <c r="IH2525" s="223"/>
      <c r="II2525" s="223"/>
      <c r="IJ2525" s="223"/>
      <c r="IK2525" s="223"/>
      <c r="IL2525" s="223"/>
      <c r="IM2525" s="223"/>
      <c r="IN2525" s="223"/>
      <c r="IO2525" s="223"/>
      <c r="IP2525" s="223"/>
      <c r="IQ2525" s="223"/>
      <c r="IR2525" s="223"/>
      <c r="IS2525" s="223"/>
      <c r="IT2525" s="223"/>
      <c r="IU2525" s="223"/>
      <c r="IV2525" s="223"/>
    </row>
    <row r="2526" spans="22:256" s="221" customFormat="1" x14ac:dyDescent="0.2">
      <c r="V2526" s="223"/>
      <c r="W2526" s="223"/>
      <c r="X2526" s="223"/>
      <c r="Y2526" s="223"/>
      <c r="Z2526" s="223"/>
      <c r="AA2526" s="223"/>
      <c r="AB2526" s="223"/>
      <c r="AC2526" s="223"/>
      <c r="AD2526" s="223"/>
      <c r="AE2526" s="223"/>
      <c r="AF2526" s="223"/>
      <c r="AG2526" s="223"/>
      <c r="AH2526" s="223"/>
      <c r="AI2526" s="223"/>
      <c r="AJ2526" s="223"/>
      <c r="AK2526" s="223"/>
      <c r="AL2526" s="223"/>
      <c r="AM2526" s="223"/>
      <c r="AN2526" s="223"/>
      <c r="AO2526" s="223"/>
      <c r="AP2526" s="223"/>
      <c r="AQ2526" s="223"/>
      <c r="AR2526" s="223"/>
      <c r="AS2526" s="223"/>
      <c r="AT2526" s="324"/>
      <c r="AU2526" s="324"/>
      <c r="AV2526" s="223"/>
      <c r="AW2526" s="223"/>
      <c r="AX2526" s="223"/>
      <c r="AY2526" s="223"/>
      <c r="AZ2526" s="223"/>
      <c r="BA2526" s="223"/>
      <c r="BB2526" s="223"/>
      <c r="BC2526" s="223"/>
      <c r="BD2526" s="223"/>
      <c r="BE2526" s="223"/>
      <c r="BF2526" s="223"/>
      <c r="BG2526" s="223"/>
      <c r="BH2526" s="223"/>
      <c r="BI2526" s="223"/>
      <c r="BJ2526" s="223"/>
      <c r="BK2526" s="223"/>
      <c r="BL2526" s="223"/>
      <c r="BM2526" s="223"/>
      <c r="BN2526" s="223"/>
      <c r="BO2526" s="223"/>
      <c r="BP2526" s="223"/>
      <c r="BQ2526" s="223"/>
      <c r="BR2526" s="223"/>
      <c r="BS2526" s="223"/>
      <c r="BT2526" s="223"/>
      <c r="BU2526" s="223"/>
      <c r="BV2526" s="223"/>
      <c r="BW2526" s="223"/>
      <c r="BX2526" s="223"/>
      <c r="BY2526" s="223"/>
      <c r="BZ2526" s="223"/>
      <c r="CA2526" s="223"/>
      <c r="CB2526" s="223"/>
      <c r="CC2526" s="223"/>
      <c r="CD2526" s="223"/>
      <c r="CE2526" s="223"/>
      <c r="CF2526" s="223"/>
      <c r="CG2526" s="223"/>
      <c r="CH2526" s="223"/>
      <c r="CI2526" s="223"/>
      <c r="CJ2526" s="223"/>
      <c r="CK2526" s="223"/>
      <c r="CL2526" s="223"/>
      <c r="CM2526" s="223"/>
      <c r="CN2526" s="223"/>
      <c r="CO2526" s="223"/>
      <c r="CP2526" s="223"/>
      <c r="CQ2526" s="223"/>
      <c r="CR2526" s="223"/>
      <c r="CS2526" s="223"/>
      <c r="CT2526" s="223"/>
      <c r="CU2526" s="223"/>
      <c r="CV2526" s="223"/>
      <c r="CW2526" s="223"/>
      <c r="CX2526" s="223"/>
      <c r="CY2526" s="223"/>
      <c r="CZ2526" s="223"/>
      <c r="DA2526" s="223"/>
      <c r="DB2526" s="223"/>
      <c r="DC2526" s="223"/>
      <c r="DD2526" s="223"/>
      <c r="DE2526" s="223"/>
      <c r="DF2526" s="223"/>
      <c r="DG2526" s="223"/>
      <c r="DH2526" s="223"/>
      <c r="DI2526" s="223"/>
      <c r="DJ2526" s="223"/>
      <c r="DK2526" s="223"/>
      <c r="DL2526" s="223"/>
      <c r="DM2526" s="223"/>
      <c r="DN2526" s="223"/>
      <c r="DO2526" s="223"/>
      <c r="DP2526" s="223"/>
      <c r="DQ2526" s="223"/>
      <c r="DR2526" s="223"/>
      <c r="DS2526" s="223"/>
      <c r="DT2526" s="223"/>
      <c r="DU2526" s="223"/>
      <c r="DV2526" s="223"/>
      <c r="DW2526" s="223"/>
      <c r="DX2526" s="223"/>
      <c r="DY2526" s="223"/>
      <c r="DZ2526" s="223"/>
      <c r="EA2526" s="223"/>
      <c r="EB2526" s="223"/>
      <c r="EC2526" s="223"/>
      <c r="ED2526" s="223"/>
      <c r="EE2526" s="223"/>
      <c r="EF2526" s="223"/>
      <c r="EG2526" s="223"/>
      <c r="EH2526" s="223"/>
      <c r="EI2526" s="223"/>
      <c r="EJ2526" s="223"/>
      <c r="EK2526" s="223"/>
      <c r="EL2526" s="223"/>
      <c r="EM2526" s="223"/>
      <c r="EN2526" s="223"/>
      <c r="EO2526" s="223"/>
      <c r="EP2526" s="223"/>
      <c r="EQ2526" s="223"/>
      <c r="ER2526" s="223"/>
      <c r="ES2526" s="223"/>
      <c r="ET2526" s="223"/>
      <c r="EU2526" s="223"/>
      <c r="EV2526" s="223"/>
      <c r="EW2526" s="223"/>
      <c r="EX2526" s="223"/>
      <c r="EY2526" s="223"/>
      <c r="EZ2526" s="223"/>
      <c r="FA2526" s="223"/>
      <c r="FB2526" s="223"/>
      <c r="FC2526" s="223"/>
      <c r="FD2526" s="223"/>
      <c r="FE2526" s="223"/>
      <c r="FF2526" s="223"/>
      <c r="FG2526" s="223"/>
      <c r="FH2526" s="223"/>
      <c r="FI2526" s="223"/>
      <c r="FJ2526" s="223"/>
      <c r="FK2526" s="223"/>
      <c r="FL2526" s="223"/>
      <c r="FM2526" s="223"/>
      <c r="FN2526" s="223"/>
      <c r="FO2526" s="223"/>
      <c r="FP2526" s="223"/>
      <c r="FQ2526" s="223"/>
      <c r="FR2526" s="223"/>
      <c r="FS2526" s="223"/>
      <c r="FT2526" s="223"/>
      <c r="FU2526" s="223"/>
      <c r="FV2526" s="223"/>
      <c r="FW2526" s="223"/>
      <c r="FX2526" s="223"/>
      <c r="FY2526" s="223"/>
      <c r="FZ2526" s="223"/>
      <c r="GA2526" s="223"/>
      <c r="GB2526" s="223"/>
      <c r="GC2526" s="223"/>
      <c r="GD2526" s="223"/>
      <c r="GE2526" s="223"/>
      <c r="GF2526" s="223"/>
      <c r="GG2526" s="223"/>
      <c r="GH2526" s="223"/>
      <c r="GI2526" s="223"/>
      <c r="GJ2526" s="223"/>
      <c r="GK2526" s="223"/>
      <c r="GL2526" s="223"/>
      <c r="GM2526" s="223"/>
      <c r="GN2526" s="223"/>
      <c r="GO2526" s="223"/>
      <c r="GP2526" s="223"/>
      <c r="GQ2526" s="223"/>
      <c r="GR2526" s="223"/>
      <c r="GS2526" s="223"/>
      <c r="GT2526" s="223"/>
      <c r="GU2526" s="223"/>
      <c r="GV2526" s="223"/>
      <c r="GW2526" s="223"/>
      <c r="GX2526" s="223"/>
      <c r="GY2526" s="223"/>
      <c r="GZ2526" s="223"/>
      <c r="HA2526" s="223"/>
      <c r="HB2526" s="223"/>
      <c r="HC2526" s="223"/>
      <c r="HD2526" s="223"/>
      <c r="HE2526" s="223"/>
      <c r="HF2526" s="223"/>
      <c r="HG2526" s="223"/>
      <c r="HH2526" s="223"/>
      <c r="HI2526" s="223"/>
      <c r="HJ2526" s="223"/>
      <c r="HK2526" s="223"/>
      <c r="HL2526" s="223"/>
      <c r="HM2526" s="223"/>
      <c r="HN2526" s="223"/>
      <c r="HO2526" s="223"/>
      <c r="HP2526" s="223"/>
      <c r="HQ2526" s="223"/>
      <c r="HR2526" s="223"/>
      <c r="HS2526" s="223"/>
      <c r="HT2526" s="223"/>
      <c r="HU2526" s="223"/>
      <c r="HV2526" s="223"/>
      <c r="HW2526" s="223"/>
      <c r="HX2526" s="223"/>
      <c r="HY2526" s="223"/>
      <c r="HZ2526" s="223"/>
      <c r="IA2526" s="223"/>
      <c r="IB2526" s="223"/>
      <c r="IC2526" s="223"/>
      <c r="ID2526" s="223"/>
      <c r="IE2526" s="223"/>
      <c r="IF2526" s="223"/>
      <c r="IG2526" s="223"/>
      <c r="IH2526" s="223"/>
      <c r="II2526" s="223"/>
      <c r="IJ2526" s="223"/>
      <c r="IK2526" s="223"/>
      <c r="IL2526" s="223"/>
      <c r="IM2526" s="223"/>
      <c r="IN2526" s="223"/>
      <c r="IO2526" s="223"/>
      <c r="IP2526" s="223"/>
      <c r="IQ2526" s="223"/>
      <c r="IR2526" s="223"/>
      <c r="IS2526" s="223"/>
      <c r="IT2526" s="223"/>
      <c r="IU2526" s="223"/>
      <c r="IV2526" s="223"/>
    </row>
    <row r="2527" spans="22:256" s="221" customFormat="1" x14ac:dyDescent="0.2">
      <c r="V2527" s="223"/>
      <c r="W2527" s="223"/>
      <c r="X2527" s="223"/>
      <c r="Y2527" s="223"/>
      <c r="Z2527" s="223"/>
      <c r="AA2527" s="223"/>
      <c r="AB2527" s="223"/>
      <c r="AC2527" s="223"/>
      <c r="AD2527" s="223"/>
      <c r="AE2527" s="223"/>
      <c r="AF2527" s="223"/>
      <c r="AG2527" s="223"/>
      <c r="AH2527" s="223"/>
      <c r="AI2527" s="223"/>
      <c r="AJ2527" s="223"/>
      <c r="AK2527" s="223"/>
      <c r="AL2527" s="223"/>
      <c r="AM2527" s="223"/>
      <c r="AN2527" s="223"/>
      <c r="AO2527" s="223"/>
      <c r="AP2527" s="223"/>
      <c r="AQ2527" s="223"/>
      <c r="AR2527" s="223"/>
      <c r="AS2527" s="223"/>
      <c r="AT2527" s="324"/>
      <c r="AU2527" s="324"/>
      <c r="AV2527" s="223"/>
      <c r="AW2527" s="223"/>
      <c r="AX2527" s="223"/>
      <c r="AY2527" s="223"/>
      <c r="AZ2527" s="223"/>
      <c r="BA2527" s="223"/>
      <c r="BB2527" s="223"/>
      <c r="BC2527" s="223"/>
      <c r="BD2527" s="223"/>
      <c r="BE2527" s="223"/>
      <c r="BF2527" s="223"/>
      <c r="BG2527" s="223"/>
      <c r="BH2527" s="223"/>
      <c r="BI2527" s="223"/>
      <c r="BJ2527" s="223"/>
      <c r="BK2527" s="223"/>
      <c r="BL2527" s="223"/>
      <c r="BM2527" s="223"/>
      <c r="BN2527" s="223"/>
      <c r="BO2527" s="223"/>
      <c r="BP2527" s="223"/>
      <c r="BQ2527" s="223"/>
      <c r="BR2527" s="223"/>
      <c r="BS2527" s="223"/>
      <c r="BT2527" s="223"/>
      <c r="BU2527" s="223"/>
      <c r="BV2527" s="223"/>
      <c r="BW2527" s="223"/>
      <c r="BX2527" s="223"/>
      <c r="BY2527" s="223"/>
      <c r="BZ2527" s="223"/>
      <c r="CA2527" s="223"/>
      <c r="CB2527" s="223"/>
      <c r="CC2527" s="223"/>
      <c r="CD2527" s="223"/>
      <c r="CE2527" s="223"/>
      <c r="CF2527" s="223"/>
      <c r="CG2527" s="223"/>
      <c r="CH2527" s="223"/>
      <c r="CI2527" s="223"/>
      <c r="CJ2527" s="223"/>
      <c r="CK2527" s="223"/>
      <c r="CL2527" s="223"/>
      <c r="CM2527" s="223"/>
      <c r="CN2527" s="223"/>
      <c r="CO2527" s="223"/>
      <c r="CP2527" s="223"/>
      <c r="CQ2527" s="223"/>
      <c r="CR2527" s="223"/>
      <c r="CS2527" s="223"/>
      <c r="CT2527" s="223"/>
      <c r="CU2527" s="223"/>
      <c r="CV2527" s="223"/>
      <c r="CW2527" s="223"/>
      <c r="CX2527" s="223"/>
      <c r="CY2527" s="223"/>
      <c r="CZ2527" s="223"/>
      <c r="DA2527" s="223"/>
      <c r="DB2527" s="223"/>
      <c r="DC2527" s="223"/>
      <c r="DD2527" s="223"/>
      <c r="DE2527" s="223"/>
      <c r="DF2527" s="223"/>
      <c r="DG2527" s="223"/>
      <c r="DH2527" s="223"/>
      <c r="DI2527" s="223"/>
      <c r="DJ2527" s="223"/>
      <c r="DK2527" s="223"/>
      <c r="DL2527" s="223"/>
      <c r="DM2527" s="223"/>
      <c r="DN2527" s="223"/>
      <c r="DO2527" s="223"/>
      <c r="DP2527" s="223"/>
      <c r="DQ2527" s="223"/>
      <c r="DR2527" s="223"/>
      <c r="DS2527" s="223"/>
      <c r="DT2527" s="223"/>
      <c r="DU2527" s="223"/>
      <c r="DV2527" s="223"/>
      <c r="DW2527" s="223"/>
      <c r="DX2527" s="223"/>
      <c r="DY2527" s="223"/>
      <c r="DZ2527" s="223"/>
      <c r="EA2527" s="223"/>
      <c r="EB2527" s="223"/>
      <c r="EC2527" s="223"/>
      <c r="ED2527" s="223"/>
      <c r="EE2527" s="223"/>
      <c r="EF2527" s="223"/>
      <c r="EG2527" s="223"/>
      <c r="EH2527" s="223"/>
      <c r="EI2527" s="223"/>
      <c r="EJ2527" s="223"/>
      <c r="EK2527" s="223"/>
      <c r="EL2527" s="223"/>
      <c r="EM2527" s="223"/>
      <c r="EN2527" s="223"/>
      <c r="EO2527" s="223"/>
      <c r="EP2527" s="223"/>
      <c r="EQ2527" s="223"/>
      <c r="ER2527" s="223"/>
      <c r="ES2527" s="223"/>
      <c r="ET2527" s="223"/>
      <c r="EU2527" s="223"/>
      <c r="EV2527" s="223"/>
      <c r="EW2527" s="223"/>
      <c r="EX2527" s="223"/>
      <c r="EY2527" s="223"/>
      <c r="EZ2527" s="223"/>
      <c r="FA2527" s="223"/>
      <c r="FB2527" s="223"/>
      <c r="FC2527" s="223"/>
      <c r="FD2527" s="223"/>
      <c r="FE2527" s="223"/>
      <c r="FF2527" s="223"/>
      <c r="FG2527" s="223"/>
      <c r="FH2527" s="223"/>
      <c r="FI2527" s="223"/>
      <c r="FJ2527" s="223"/>
      <c r="FK2527" s="223"/>
      <c r="FL2527" s="223"/>
      <c r="FM2527" s="223"/>
      <c r="FN2527" s="223"/>
      <c r="FO2527" s="223"/>
      <c r="FP2527" s="223"/>
      <c r="FQ2527" s="223"/>
      <c r="FR2527" s="223"/>
      <c r="FS2527" s="223"/>
      <c r="FT2527" s="223"/>
      <c r="FU2527" s="223"/>
      <c r="FV2527" s="223"/>
      <c r="FW2527" s="223"/>
      <c r="FX2527" s="223"/>
      <c r="FY2527" s="223"/>
      <c r="FZ2527" s="223"/>
      <c r="GA2527" s="223"/>
      <c r="GB2527" s="223"/>
      <c r="GC2527" s="223"/>
      <c r="GD2527" s="223"/>
      <c r="GE2527" s="223"/>
      <c r="GF2527" s="223"/>
      <c r="GG2527" s="223"/>
      <c r="GH2527" s="223"/>
      <c r="GI2527" s="223"/>
      <c r="GJ2527" s="223"/>
      <c r="GK2527" s="223"/>
      <c r="GL2527" s="223"/>
      <c r="GM2527" s="223"/>
      <c r="GN2527" s="223"/>
      <c r="GO2527" s="223"/>
      <c r="GP2527" s="223"/>
      <c r="GQ2527" s="223"/>
      <c r="GR2527" s="223"/>
      <c r="GS2527" s="223"/>
      <c r="GT2527" s="223"/>
      <c r="GU2527" s="223"/>
      <c r="GV2527" s="223"/>
      <c r="GW2527" s="223"/>
      <c r="GX2527" s="223"/>
      <c r="GY2527" s="223"/>
      <c r="GZ2527" s="223"/>
      <c r="HA2527" s="223"/>
      <c r="HB2527" s="223"/>
      <c r="HC2527" s="223"/>
      <c r="HD2527" s="223"/>
      <c r="HE2527" s="223"/>
      <c r="HF2527" s="223"/>
      <c r="HG2527" s="223"/>
      <c r="HH2527" s="223"/>
      <c r="HI2527" s="223"/>
      <c r="HJ2527" s="223"/>
      <c r="HK2527" s="223"/>
      <c r="HL2527" s="223"/>
      <c r="HM2527" s="223"/>
      <c r="HN2527" s="223"/>
      <c r="HO2527" s="223"/>
      <c r="HP2527" s="223"/>
      <c r="HQ2527" s="223"/>
      <c r="HR2527" s="223"/>
      <c r="HS2527" s="223"/>
      <c r="HT2527" s="223"/>
      <c r="HU2527" s="223"/>
      <c r="HV2527" s="223"/>
      <c r="HW2527" s="223"/>
      <c r="HX2527" s="223"/>
      <c r="HY2527" s="223"/>
      <c r="HZ2527" s="223"/>
      <c r="IA2527" s="223"/>
      <c r="IB2527" s="223"/>
      <c r="IC2527" s="223"/>
      <c r="ID2527" s="223"/>
      <c r="IE2527" s="223"/>
      <c r="IF2527" s="223"/>
      <c r="IG2527" s="223"/>
      <c r="IH2527" s="223"/>
      <c r="II2527" s="223"/>
      <c r="IJ2527" s="223"/>
      <c r="IK2527" s="223"/>
      <c r="IL2527" s="223"/>
      <c r="IM2527" s="223"/>
      <c r="IN2527" s="223"/>
      <c r="IO2527" s="223"/>
      <c r="IP2527" s="223"/>
      <c r="IQ2527" s="223"/>
      <c r="IR2527" s="223"/>
      <c r="IS2527" s="223"/>
      <c r="IT2527" s="223"/>
      <c r="IU2527" s="223"/>
      <c r="IV2527" s="223"/>
    </row>
    <row r="2528" spans="22:256" s="221" customFormat="1" x14ac:dyDescent="0.2">
      <c r="V2528" s="223"/>
      <c r="W2528" s="223"/>
      <c r="X2528" s="223"/>
      <c r="Y2528" s="223"/>
      <c r="Z2528" s="223"/>
      <c r="AA2528" s="223"/>
      <c r="AB2528" s="223"/>
      <c r="AC2528" s="223"/>
      <c r="AD2528" s="223"/>
      <c r="AE2528" s="223"/>
      <c r="AF2528" s="223"/>
      <c r="AG2528" s="223"/>
      <c r="AH2528" s="223"/>
      <c r="AI2528" s="223"/>
      <c r="AJ2528" s="223"/>
      <c r="AK2528" s="223"/>
      <c r="AL2528" s="223"/>
      <c r="AM2528" s="223"/>
      <c r="AN2528" s="223"/>
      <c r="AO2528" s="223"/>
      <c r="AP2528" s="223"/>
      <c r="AQ2528" s="223"/>
      <c r="AR2528" s="223"/>
      <c r="AS2528" s="223"/>
      <c r="AT2528" s="324"/>
      <c r="AU2528" s="324"/>
      <c r="AV2528" s="223"/>
      <c r="AW2528" s="223"/>
      <c r="AX2528" s="223"/>
      <c r="AY2528" s="223"/>
      <c r="AZ2528" s="223"/>
      <c r="BA2528" s="223"/>
      <c r="BB2528" s="223"/>
      <c r="BC2528" s="223"/>
      <c r="BD2528" s="223"/>
      <c r="BE2528" s="223"/>
      <c r="BF2528" s="223"/>
      <c r="BG2528" s="223"/>
      <c r="BH2528" s="223"/>
      <c r="BI2528" s="223"/>
      <c r="BJ2528" s="223"/>
      <c r="BK2528" s="223"/>
      <c r="BL2528" s="223"/>
      <c r="BM2528" s="223"/>
      <c r="BN2528" s="223"/>
      <c r="BO2528" s="223"/>
      <c r="BP2528" s="223"/>
      <c r="BQ2528" s="223"/>
      <c r="BR2528" s="223"/>
      <c r="BS2528" s="223"/>
      <c r="BT2528" s="223"/>
      <c r="BU2528" s="223"/>
      <c r="BV2528" s="223"/>
      <c r="BW2528" s="223"/>
      <c r="BX2528" s="223"/>
      <c r="BY2528" s="223"/>
      <c r="BZ2528" s="223"/>
      <c r="CA2528" s="223"/>
      <c r="CB2528" s="223"/>
      <c r="CC2528" s="223"/>
      <c r="CD2528" s="223"/>
      <c r="CE2528" s="223"/>
      <c r="CF2528" s="223"/>
      <c r="CG2528" s="223"/>
      <c r="CH2528" s="223"/>
      <c r="CI2528" s="223"/>
      <c r="CJ2528" s="223"/>
      <c r="CK2528" s="223"/>
      <c r="CL2528" s="223"/>
      <c r="CM2528" s="223"/>
      <c r="CN2528" s="223"/>
      <c r="CO2528" s="223"/>
      <c r="CP2528" s="223"/>
      <c r="CQ2528" s="223"/>
      <c r="CR2528" s="223"/>
      <c r="CS2528" s="223"/>
      <c r="CT2528" s="223"/>
      <c r="CU2528" s="223"/>
      <c r="CV2528" s="223"/>
      <c r="CW2528" s="223"/>
      <c r="CX2528" s="223"/>
      <c r="CY2528" s="223"/>
      <c r="CZ2528" s="223"/>
      <c r="DA2528" s="223"/>
      <c r="DB2528" s="223"/>
      <c r="DC2528" s="223"/>
      <c r="DD2528" s="223"/>
      <c r="DE2528" s="223"/>
      <c r="DF2528" s="223"/>
      <c r="DG2528" s="223"/>
      <c r="DH2528" s="223"/>
      <c r="DI2528" s="223"/>
      <c r="DJ2528" s="223"/>
      <c r="DK2528" s="223"/>
      <c r="DL2528" s="223"/>
      <c r="DM2528" s="223"/>
      <c r="DN2528" s="223"/>
      <c r="DO2528" s="223"/>
      <c r="DP2528" s="223"/>
      <c r="DQ2528" s="223"/>
      <c r="DR2528" s="223"/>
      <c r="DS2528" s="223"/>
      <c r="DT2528" s="223"/>
      <c r="DU2528" s="223"/>
      <c r="DV2528" s="223"/>
      <c r="DW2528" s="223"/>
      <c r="DX2528" s="223"/>
      <c r="DY2528" s="223"/>
      <c r="DZ2528" s="223"/>
      <c r="EA2528" s="223"/>
      <c r="EB2528" s="223"/>
      <c r="EC2528" s="223"/>
      <c r="ED2528" s="223"/>
      <c r="EE2528" s="223"/>
      <c r="EF2528" s="223"/>
      <c r="EG2528" s="223"/>
      <c r="EH2528" s="223"/>
      <c r="EI2528" s="223"/>
      <c r="EJ2528" s="223"/>
      <c r="EK2528" s="223"/>
      <c r="EL2528" s="223"/>
      <c r="EM2528" s="223"/>
      <c r="EN2528" s="223"/>
      <c r="EO2528" s="223"/>
      <c r="EP2528" s="223"/>
      <c r="EQ2528" s="223"/>
      <c r="ER2528" s="223"/>
      <c r="ES2528" s="223"/>
      <c r="ET2528" s="223"/>
      <c r="EU2528" s="223"/>
      <c r="EV2528" s="223"/>
      <c r="EW2528" s="223"/>
      <c r="EX2528" s="223"/>
      <c r="EY2528" s="223"/>
      <c r="EZ2528" s="223"/>
      <c r="FA2528" s="223"/>
      <c r="FB2528" s="223"/>
      <c r="FC2528" s="223"/>
      <c r="FD2528" s="223"/>
      <c r="FE2528" s="223"/>
      <c r="FF2528" s="223"/>
      <c r="FG2528" s="223"/>
      <c r="FH2528" s="223"/>
      <c r="FI2528" s="223"/>
      <c r="FJ2528" s="223"/>
      <c r="FK2528" s="223"/>
      <c r="FL2528" s="223"/>
      <c r="FM2528" s="223"/>
      <c r="FN2528" s="223"/>
      <c r="FO2528" s="223"/>
      <c r="FP2528" s="223"/>
      <c r="FQ2528" s="223"/>
      <c r="FR2528" s="223"/>
      <c r="FS2528" s="223"/>
      <c r="FT2528" s="223"/>
      <c r="FU2528" s="223"/>
      <c r="FV2528" s="223"/>
      <c r="FW2528" s="223"/>
      <c r="FX2528" s="223"/>
      <c r="FY2528" s="223"/>
      <c r="FZ2528" s="223"/>
      <c r="GA2528" s="223"/>
      <c r="GB2528" s="223"/>
      <c r="GC2528" s="223"/>
      <c r="GD2528" s="223"/>
      <c r="GE2528" s="223"/>
      <c r="GF2528" s="223"/>
      <c r="GG2528" s="223"/>
      <c r="GH2528" s="223"/>
      <c r="GI2528" s="223"/>
      <c r="GJ2528" s="223"/>
      <c r="GK2528" s="223"/>
      <c r="GL2528" s="223"/>
      <c r="GM2528" s="223"/>
      <c r="GN2528" s="223"/>
      <c r="GO2528" s="223"/>
      <c r="GP2528" s="223"/>
      <c r="GQ2528" s="223"/>
      <c r="GR2528" s="223"/>
      <c r="GS2528" s="223"/>
      <c r="GT2528" s="223"/>
      <c r="GU2528" s="223"/>
      <c r="GV2528" s="223"/>
      <c r="GW2528" s="223"/>
      <c r="GX2528" s="223"/>
      <c r="GY2528" s="223"/>
      <c r="GZ2528" s="223"/>
      <c r="HA2528" s="223"/>
      <c r="HB2528" s="223"/>
      <c r="HC2528" s="223"/>
      <c r="HD2528" s="223"/>
      <c r="HE2528" s="223"/>
      <c r="HF2528" s="223"/>
      <c r="HG2528" s="223"/>
      <c r="HH2528" s="223"/>
      <c r="HI2528" s="223"/>
      <c r="HJ2528" s="223"/>
      <c r="HK2528" s="223"/>
      <c r="HL2528" s="223"/>
      <c r="HM2528" s="223"/>
      <c r="HN2528" s="223"/>
      <c r="HO2528" s="223"/>
      <c r="HP2528" s="223"/>
      <c r="HQ2528" s="223"/>
      <c r="HR2528" s="223"/>
      <c r="HS2528" s="223"/>
      <c r="HT2528" s="223"/>
      <c r="HU2528" s="223"/>
      <c r="HV2528" s="223"/>
      <c r="HW2528" s="223"/>
      <c r="HX2528" s="223"/>
      <c r="HY2528" s="223"/>
      <c r="HZ2528" s="223"/>
      <c r="IA2528" s="223"/>
      <c r="IB2528" s="223"/>
      <c r="IC2528" s="223"/>
      <c r="ID2528" s="223"/>
      <c r="IE2528" s="223"/>
      <c r="IF2528" s="223"/>
      <c r="IG2528" s="223"/>
      <c r="IH2528" s="223"/>
      <c r="II2528" s="223"/>
      <c r="IJ2528" s="223"/>
      <c r="IK2528" s="223"/>
      <c r="IL2528" s="223"/>
      <c r="IM2528" s="223"/>
      <c r="IN2528" s="223"/>
      <c r="IO2528" s="223"/>
      <c r="IP2528" s="223"/>
      <c r="IQ2528" s="223"/>
      <c r="IR2528" s="223"/>
      <c r="IS2528" s="223"/>
      <c r="IT2528" s="223"/>
      <c r="IU2528" s="223"/>
      <c r="IV2528" s="223"/>
    </row>
    <row r="2529" spans="22:256" s="221" customFormat="1" x14ac:dyDescent="0.2">
      <c r="V2529" s="223"/>
      <c r="W2529" s="223"/>
      <c r="X2529" s="223"/>
      <c r="Y2529" s="223"/>
      <c r="Z2529" s="223"/>
      <c r="AA2529" s="223"/>
      <c r="AB2529" s="223"/>
      <c r="AC2529" s="223"/>
      <c r="AD2529" s="223"/>
      <c r="AE2529" s="223"/>
      <c r="AF2529" s="223"/>
      <c r="AG2529" s="223"/>
      <c r="AH2529" s="223"/>
      <c r="AI2529" s="223"/>
      <c r="AJ2529" s="223"/>
      <c r="AK2529" s="223"/>
      <c r="AL2529" s="223"/>
      <c r="AM2529" s="223"/>
      <c r="AN2529" s="223"/>
      <c r="AO2529" s="223"/>
      <c r="AP2529" s="223"/>
      <c r="AQ2529" s="223"/>
      <c r="AR2529" s="223"/>
      <c r="AS2529" s="223"/>
      <c r="AT2529" s="324"/>
      <c r="AU2529" s="324"/>
      <c r="AV2529" s="223"/>
      <c r="AW2529" s="223"/>
      <c r="AX2529" s="223"/>
      <c r="AY2529" s="223"/>
      <c r="AZ2529" s="223"/>
      <c r="BA2529" s="223"/>
      <c r="BB2529" s="223"/>
      <c r="BC2529" s="223"/>
      <c r="BD2529" s="223"/>
      <c r="BE2529" s="223"/>
      <c r="BF2529" s="223"/>
      <c r="BG2529" s="223"/>
      <c r="BH2529" s="223"/>
      <c r="BI2529" s="223"/>
      <c r="BJ2529" s="223"/>
      <c r="BK2529" s="223"/>
      <c r="BL2529" s="223"/>
      <c r="BM2529" s="223"/>
      <c r="BN2529" s="223"/>
      <c r="BO2529" s="223"/>
      <c r="BP2529" s="223"/>
      <c r="BQ2529" s="223"/>
      <c r="BR2529" s="223"/>
      <c r="BS2529" s="223"/>
      <c r="BT2529" s="223"/>
      <c r="BU2529" s="223"/>
      <c r="BV2529" s="223"/>
      <c r="BW2529" s="223"/>
      <c r="BX2529" s="223"/>
      <c r="BY2529" s="223"/>
      <c r="BZ2529" s="223"/>
      <c r="CA2529" s="223"/>
      <c r="CB2529" s="223"/>
      <c r="CC2529" s="223"/>
      <c r="CD2529" s="223"/>
      <c r="CE2529" s="223"/>
      <c r="CF2529" s="223"/>
      <c r="CG2529" s="223"/>
      <c r="CH2529" s="223"/>
      <c r="CI2529" s="223"/>
      <c r="CJ2529" s="223"/>
      <c r="CK2529" s="223"/>
      <c r="CL2529" s="223"/>
      <c r="CM2529" s="223"/>
      <c r="CN2529" s="223"/>
      <c r="CO2529" s="223"/>
      <c r="CP2529" s="223"/>
      <c r="CQ2529" s="223"/>
      <c r="CR2529" s="223"/>
      <c r="CS2529" s="223"/>
      <c r="CT2529" s="223"/>
      <c r="CU2529" s="223"/>
      <c r="CV2529" s="223"/>
      <c r="CW2529" s="223"/>
      <c r="CX2529" s="223"/>
      <c r="CY2529" s="223"/>
      <c r="CZ2529" s="223"/>
      <c r="DA2529" s="223"/>
      <c r="DB2529" s="223"/>
      <c r="DC2529" s="223"/>
      <c r="DD2529" s="223"/>
      <c r="DE2529" s="223"/>
      <c r="DF2529" s="223"/>
      <c r="DG2529" s="223"/>
      <c r="DH2529" s="223"/>
      <c r="DI2529" s="223"/>
      <c r="DJ2529" s="223"/>
      <c r="DK2529" s="223"/>
      <c r="DL2529" s="223"/>
      <c r="DM2529" s="223"/>
      <c r="DN2529" s="223"/>
      <c r="DO2529" s="223"/>
      <c r="DP2529" s="223"/>
      <c r="DQ2529" s="223"/>
      <c r="DR2529" s="223"/>
      <c r="DS2529" s="223"/>
      <c r="DT2529" s="223"/>
      <c r="DU2529" s="223"/>
      <c r="DV2529" s="223"/>
      <c r="DW2529" s="223"/>
      <c r="DX2529" s="223"/>
      <c r="DY2529" s="223"/>
      <c r="DZ2529" s="223"/>
      <c r="EA2529" s="223"/>
      <c r="EB2529" s="223"/>
      <c r="EC2529" s="223"/>
      <c r="ED2529" s="223"/>
      <c r="EE2529" s="223"/>
      <c r="EF2529" s="223"/>
      <c r="EG2529" s="223"/>
      <c r="EH2529" s="223"/>
      <c r="EI2529" s="223"/>
      <c r="EJ2529" s="223"/>
      <c r="EK2529" s="223"/>
      <c r="EL2529" s="223"/>
      <c r="EM2529" s="223"/>
      <c r="EN2529" s="223"/>
      <c r="EO2529" s="223"/>
      <c r="EP2529" s="223"/>
      <c r="EQ2529" s="223"/>
      <c r="ER2529" s="223"/>
      <c r="ES2529" s="223"/>
      <c r="ET2529" s="223"/>
      <c r="EU2529" s="223"/>
      <c r="EV2529" s="223"/>
      <c r="EW2529" s="223"/>
      <c r="EX2529" s="223"/>
      <c r="EY2529" s="223"/>
      <c r="EZ2529" s="223"/>
      <c r="FA2529" s="223"/>
      <c r="FB2529" s="223"/>
      <c r="FC2529" s="223"/>
      <c r="FD2529" s="223"/>
      <c r="FE2529" s="223"/>
      <c r="FF2529" s="223"/>
      <c r="FG2529" s="223"/>
      <c r="FH2529" s="223"/>
      <c r="FI2529" s="223"/>
      <c r="FJ2529" s="223"/>
      <c r="FK2529" s="223"/>
      <c r="FL2529" s="223"/>
      <c r="FM2529" s="223"/>
      <c r="FN2529" s="223"/>
      <c r="FO2529" s="223"/>
      <c r="FP2529" s="223"/>
      <c r="FQ2529" s="223"/>
      <c r="FR2529" s="223"/>
      <c r="FS2529" s="223"/>
      <c r="FT2529" s="223"/>
      <c r="FU2529" s="223"/>
      <c r="FV2529" s="223"/>
      <c r="FW2529" s="223"/>
      <c r="FX2529" s="223"/>
      <c r="FY2529" s="223"/>
      <c r="FZ2529" s="223"/>
      <c r="GA2529" s="223"/>
      <c r="GB2529" s="223"/>
      <c r="GC2529" s="223"/>
      <c r="GD2529" s="223"/>
      <c r="GE2529" s="223"/>
      <c r="GF2529" s="223"/>
      <c r="GG2529" s="223"/>
      <c r="GH2529" s="223"/>
      <c r="GI2529" s="223"/>
      <c r="GJ2529" s="223"/>
      <c r="GK2529" s="223"/>
      <c r="GL2529" s="223"/>
      <c r="GM2529" s="223"/>
      <c r="GN2529" s="223"/>
      <c r="GO2529" s="223"/>
      <c r="GP2529" s="223"/>
      <c r="GQ2529" s="223"/>
      <c r="GR2529" s="223"/>
      <c r="GS2529" s="223"/>
      <c r="GT2529" s="223"/>
      <c r="GU2529" s="223"/>
      <c r="GV2529" s="223"/>
      <c r="GW2529" s="223"/>
      <c r="GX2529" s="223"/>
      <c r="GY2529" s="223"/>
      <c r="GZ2529" s="223"/>
      <c r="HA2529" s="223"/>
      <c r="HB2529" s="223"/>
      <c r="HC2529" s="223"/>
      <c r="HD2529" s="223"/>
      <c r="HE2529" s="223"/>
      <c r="HF2529" s="223"/>
      <c r="HG2529" s="223"/>
      <c r="HH2529" s="223"/>
      <c r="HI2529" s="223"/>
      <c r="HJ2529" s="223"/>
      <c r="HK2529" s="223"/>
      <c r="HL2529" s="223"/>
      <c r="HM2529" s="223"/>
      <c r="HN2529" s="223"/>
      <c r="HO2529" s="223"/>
      <c r="HP2529" s="223"/>
      <c r="HQ2529" s="223"/>
      <c r="HR2529" s="223"/>
      <c r="HS2529" s="223"/>
      <c r="HT2529" s="223"/>
      <c r="HU2529" s="223"/>
      <c r="HV2529" s="223"/>
      <c r="HW2529" s="223"/>
      <c r="HX2529" s="223"/>
      <c r="HY2529" s="223"/>
      <c r="HZ2529" s="223"/>
      <c r="IA2529" s="223"/>
      <c r="IB2529" s="223"/>
      <c r="IC2529" s="223"/>
      <c r="ID2529" s="223"/>
      <c r="IE2529" s="223"/>
      <c r="IF2529" s="223"/>
      <c r="IG2529" s="223"/>
      <c r="IH2529" s="223"/>
      <c r="II2529" s="223"/>
      <c r="IJ2529" s="223"/>
      <c r="IK2529" s="223"/>
      <c r="IL2529" s="223"/>
      <c r="IM2529" s="223"/>
      <c r="IN2529" s="223"/>
      <c r="IO2529" s="223"/>
      <c r="IP2529" s="223"/>
      <c r="IQ2529" s="223"/>
      <c r="IR2529" s="223"/>
      <c r="IS2529" s="223"/>
      <c r="IT2529" s="223"/>
      <c r="IU2529" s="223"/>
      <c r="IV2529" s="223"/>
    </row>
    <row r="2530" spans="22:256" s="221" customFormat="1" x14ac:dyDescent="0.2">
      <c r="V2530" s="223"/>
      <c r="W2530" s="223"/>
      <c r="X2530" s="223"/>
      <c r="Y2530" s="223"/>
      <c r="Z2530" s="223"/>
      <c r="AA2530" s="223"/>
      <c r="AB2530" s="223"/>
      <c r="AC2530" s="223"/>
      <c r="AD2530" s="223"/>
      <c r="AE2530" s="223"/>
      <c r="AF2530" s="223"/>
      <c r="AG2530" s="223"/>
      <c r="AH2530" s="223"/>
      <c r="AI2530" s="223"/>
      <c r="AJ2530" s="223"/>
      <c r="AK2530" s="223"/>
      <c r="AL2530" s="223"/>
      <c r="AM2530" s="223"/>
      <c r="AN2530" s="223"/>
      <c r="AO2530" s="223"/>
      <c r="AP2530" s="223"/>
      <c r="AQ2530" s="223"/>
      <c r="AR2530" s="223"/>
      <c r="AS2530" s="223"/>
      <c r="AT2530" s="324"/>
      <c r="AU2530" s="324"/>
      <c r="AV2530" s="223"/>
      <c r="AW2530" s="223"/>
      <c r="AX2530" s="223"/>
      <c r="AY2530" s="223"/>
      <c r="AZ2530" s="223"/>
      <c r="BA2530" s="223"/>
      <c r="BB2530" s="223"/>
      <c r="BC2530" s="223"/>
      <c r="BD2530" s="223"/>
      <c r="BE2530" s="223"/>
      <c r="BF2530" s="223"/>
      <c r="BG2530" s="223"/>
      <c r="BH2530" s="223"/>
      <c r="BI2530" s="223"/>
      <c r="BJ2530" s="223"/>
      <c r="BK2530" s="223"/>
      <c r="BL2530" s="223"/>
      <c r="BM2530" s="223"/>
      <c r="BN2530" s="223"/>
      <c r="BO2530" s="223"/>
      <c r="BP2530" s="223"/>
      <c r="BQ2530" s="223"/>
      <c r="BR2530" s="223"/>
      <c r="BS2530" s="223"/>
      <c r="BT2530" s="223"/>
      <c r="BU2530" s="223"/>
      <c r="BV2530" s="223"/>
      <c r="BW2530" s="223"/>
      <c r="BX2530" s="223"/>
      <c r="BY2530" s="223"/>
      <c r="BZ2530" s="223"/>
      <c r="CA2530" s="223"/>
      <c r="CB2530" s="223"/>
      <c r="CC2530" s="223"/>
      <c r="CD2530" s="223"/>
      <c r="CE2530" s="223"/>
      <c r="CF2530" s="223"/>
      <c r="CG2530" s="223"/>
      <c r="CH2530" s="223"/>
      <c r="CI2530" s="223"/>
      <c r="CJ2530" s="223"/>
      <c r="CK2530" s="223"/>
      <c r="CL2530" s="223"/>
      <c r="CM2530" s="223"/>
      <c r="CN2530" s="223"/>
      <c r="CO2530" s="223"/>
      <c r="CP2530" s="223"/>
      <c r="CQ2530" s="223"/>
      <c r="CR2530" s="223"/>
      <c r="CS2530" s="223"/>
      <c r="CT2530" s="223"/>
      <c r="CU2530" s="223"/>
      <c r="CV2530" s="223"/>
      <c r="CW2530" s="223"/>
      <c r="CX2530" s="223"/>
      <c r="CY2530" s="223"/>
      <c r="CZ2530" s="223"/>
      <c r="DA2530" s="223"/>
      <c r="DB2530" s="223"/>
      <c r="DC2530" s="223"/>
      <c r="DD2530" s="223"/>
      <c r="DE2530" s="223"/>
      <c r="DF2530" s="223"/>
      <c r="DG2530" s="223"/>
      <c r="DH2530" s="223"/>
      <c r="DI2530" s="223"/>
      <c r="DJ2530" s="223"/>
      <c r="DK2530" s="223"/>
      <c r="DL2530" s="223"/>
      <c r="DM2530" s="223"/>
      <c r="DN2530" s="223"/>
      <c r="DO2530" s="223"/>
      <c r="DP2530" s="223"/>
      <c r="DQ2530" s="223"/>
      <c r="DR2530" s="223"/>
      <c r="DS2530" s="223"/>
      <c r="DT2530" s="223"/>
      <c r="DU2530" s="223"/>
      <c r="DV2530" s="223"/>
      <c r="DW2530" s="223"/>
      <c r="DX2530" s="223"/>
      <c r="DY2530" s="223"/>
      <c r="DZ2530" s="223"/>
      <c r="EA2530" s="223"/>
      <c r="EB2530" s="223"/>
      <c r="EC2530" s="223"/>
      <c r="ED2530" s="223"/>
      <c r="EE2530" s="223"/>
      <c r="EF2530" s="223"/>
      <c r="EG2530" s="223"/>
      <c r="EH2530" s="223"/>
      <c r="EI2530" s="223"/>
      <c r="EJ2530" s="223"/>
      <c r="EK2530" s="223"/>
      <c r="EL2530" s="223"/>
      <c r="EM2530" s="223"/>
      <c r="EN2530" s="223"/>
      <c r="EO2530" s="223"/>
      <c r="EP2530" s="223"/>
      <c r="EQ2530" s="223"/>
      <c r="ER2530" s="223"/>
      <c r="ES2530" s="223"/>
      <c r="ET2530" s="223"/>
      <c r="EU2530" s="223"/>
      <c r="EV2530" s="223"/>
      <c r="EW2530" s="223"/>
      <c r="EX2530" s="223"/>
      <c r="EY2530" s="223"/>
      <c r="EZ2530" s="223"/>
      <c r="FA2530" s="223"/>
      <c r="FB2530" s="223"/>
      <c r="FC2530" s="223"/>
      <c r="FD2530" s="223"/>
      <c r="FE2530" s="223"/>
      <c r="FF2530" s="223"/>
      <c r="FG2530" s="223"/>
      <c r="FH2530" s="223"/>
      <c r="FI2530" s="223"/>
      <c r="FJ2530" s="223"/>
      <c r="FK2530" s="223"/>
      <c r="FL2530" s="223"/>
      <c r="FM2530" s="223"/>
      <c r="FN2530" s="223"/>
      <c r="FO2530" s="223"/>
      <c r="FP2530" s="223"/>
      <c r="FQ2530" s="223"/>
      <c r="FR2530" s="223"/>
      <c r="FS2530" s="223"/>
      <c r="FT2530" s="223"/>
      <c r="FU2530" s="223"/>
      <c r="FV2530" s="223"/>
      <c r="FW2530" s="223"/>
      <c r="FX2530" s="223"/>
      <c r="FY2530" s="223"/>
      <c r="FZ2530" s="223"/>
      <c r="GA2530" s="223"/>
      <c r="GB2530" s="223"/>
      <c r="GC2530" s="223"/>
      <c r="GD2530" s="223"/>
      <c r="GE2530" s="223"/>
      <c r="GF2530" s="223"/>
      <c r="GG2530" s="223"/>
      <c r="GH2530" s="223"/>
      <c r="GI2530" s="223"/>
      <c r="GJ2530" s="223"/>
      <c r="GK2530" s="223"/>
      <c r="GL2530" s="223"/>
      <c r="GM2530" s="223"/>
      <c r="GN2530" s="223"/>
      <c r="GO2530" s="223"/>
      <c r="GP2530" s="223"/>
      <c r="GQ2530" s="223"/>
      <c r="GR2530" s="223"/>
      <c r="GS2530" s="223"/>
      <c r="GT2530" s="223"/>
      <c r="GU2530" s="223"/>
      <c r="GV2530" s="223"/>
      <c r="GW2530" s="223"/>
      <c r="GX2530" s="223"/>
      <c r="GY2530" s="223"/>
      <c r="GZ2530" s="223"/>
      <c r="HA2530" s="223"/>
      <c r="HB2530" s="223"/>
      <c r="HC2530" s="223"/>
      <c r="HD2530" s="223"/>
      <c r="HE2530" s="223"/>
      <c r="HF2530" s="223"/>
      <c r="HG2530" s="223"/>
      <c r="HH2530" s="223"/>
      <c r="HI2530" s="223"/>
      <c r="HJ2530" s="223"/>
      <c r="HK2530" s="223"/>
      <c r="HL2530" s="223"/>
      <c r="HM2530" s="223"/>
      <c r="HN2530" s="223"/>
      <c r="HO2530" s="223"/>
      <c r="HP2530" s="223"/>
      <c r="HQ2530" s="223"/>
      <c r="HR2530" s="223"/>
      <c r="HS2530" s="223"/>
      <c r="HT2530" s="223"/>
      <c r="HU2530" s="223"/>
      <c r="HV2530" s="223"/>
      <c r="HW2530" s="223"/>
      <c r="HX2530" s="223"/>
      <c r="HY2530" s="223"/>
      <c r="HZ2530" s="223"/>
      <c r="IA2530" s="223"/>
      <c r="IB2530" s="223"/>
      <c r="IC2530" s="223"/>
      <c r="ID2530" s="223"/>
      <c r="IE2530" s="223"/>
      <c r="IF2530" s="223"/>
      <c r="IG2530" s="223"/>
      <c r="IH2530" s="223"/>
      <c r="II2530" s="223"/>
      <c r="IJ2530" s="223"/>
      <c r="IK2530" s="223"/>
      <c r="IL2530" s="223"/>
      <c r="IM2530" s="223"/>
      <c r="IN2530" s="223"/>
      <c r="IO2530" s="223"/>
      <c r="IP2530" s="223"/>
      <c r="IQ2530" s="223"/>
      <c r="IR2530" s="223"/>
      <c r="IS2530" s="223"/>
      <c r="IT2530" s="223"/>
      <c r="IU2530" s="223"/>
      <c r="IV2530" s="223"/>
    </row>
    <row r="2531" spans="22:256" s="221" customFormat="1" x14ac:dyDescent="0.2">
      <c r="V2531" s="223"/>
      <c r="W2531" s="223"/>
      <c r="X2531" s="223"/>
      <c r="Y2531" s="223"/>
      <c r="Z2531" s="223"/>
      <c r="AA2531" s="223"/>
      <c r="AB2531" s="223"/>
      <c r="AC2531" s="223"/>
      <c r="AD2531" s="223"/>
      <c r="AE2531" s="223"/>
      <c r="AF2531" s="223"/>
      <c r="AG2531" s="223"/>
      <c r="AH2531" s="223"/>
      <c r="AI2531" s="223"/>
      <c r="AJ2531" s="223"/>
      <c r="AK2531" s="223"/>
      <c r="AL2531" s="223"/>
      <c r="AM2531" s="223"/>
      <c r="AN2531" s="223"/>
      <c r="AO2531" s="223"/>
      <c r="AP2531" s="223"/>
      <c r="AQ2531" s="223"/>
      <c r="AR2531" s="223"/>
      <c r="AS2531" s="223"/>
      <c r="AT2531" s="324"/>
      <c r="AU2531" s="324"/>
      <c r="AV2531" s="223"/>
      <c r="AW2531" s="223"/>
      <c r="AX2531" s="223"/>
      <c r="AY2531" s="223"/>
      <c r="AZ2531" s="223"/>
      <c r="BA2531" s="223"/>
      <c r="BB2531" s="223"/>
      <c r="BC2531" s="223"/>
      <c r="BD2531" s="223"/>
      <c r="BE2531" s="223"/>
      <c r="BF2531" s="223"/>
      <c r="BG2531" s="223"/>
      <c r="BH2531" s="223"/>
      <c r="BI2531" s="223"/>
      <c r="BJ2531" s="223"/>
      <c r="BK2531" s="223"/>
      <c r="BL2531" s="223"/>
      <c r="BM2531" s="223"/>
      <c r="BN2531" s="223"/>
      <c r="BO2531" s="223"/>
      <c r="BP2531" s="223"/>
      <c r="BQ2531" s="223"/>
      <c r="BR2531" s="223"/>
      <c r="BS2531" s="223"/>
      <c r="BT2531" s="223"/>
      <c r="BU2531" s="223"/>
      <c r="BV2531" s="223"/>
      <c r="BW2531" s="223"/>
      <c r="BX2531" s="223"/>
      <c r="BY2531" s="223"/>
      <c r="BZ2531" s="223"/>
      <c r="CA2531" s="223"/>
      <c r="CB2531" s="223"/>
      <c r="CC2531" s="223"/>
      <c r="CD2531" s="223"/>
      <c r="CE2531" s="223"/>
      <c r="CF2531" s="223"/>
      <c r="CG2531" s="223"/>
      <c r="CH2531" s="223"/>
      <c r="CI2531" s="223"/>
      <c r="CJ2531" s="223"/>
      <c r="CK2531" s="223"/>
      <c r="CL2531" s="223"/>
      <c r="CM2531" s="223"/>
      <c r="CN2531" s="223"/>
      <c r="CO2531" s="223"/>
      <c r="CP2531" s="223"/>
      <c r="CQ2531" s="223"/>
      <c r="CR2531" s="223"/>
      <c r="CS2531" s="223"/>
      <c r="CT2531" s="223"/>
      <c r="CU2531" s="223"/>
      <c r="CV2531" s="223"/>
      <c r="CW2531" s="223"/>
      <c r="CX2531" s="223"/>
      <c r="CY2531" s="223"/>
      <c r="CZ2531" s="223"/>
      <c r="DA2531" s="223"/>
      <c r="DB2531" s="223"/>
      <c r="DC2531" s="223"/>
      <c r="DD2531" s="223"/>
      <c r="DE2531" s="223"/>
      <c r="DF2531" s="223"/>
      <c r="DG2531" s="223"/>
      <c r="DH2531" s="223"/>
      <c r="DI2531" s="223"/>
      <c r="DJ2531" s="223"/>
      <c r="DK2531" s="223"/>
      <c r="DL2531" s="223"/>
      <c r="DM2531" s="223"/>
      <c r="DN2531" s="223"/>
      <c r="DO2531" s="223"/>
      <c r="DP2531" s="223"/>
      <c r="DQ2531" s="223"/>
      <c r="DR2531" s="223"/>
      <c r="DS2531" s="223"/>
      <c r="DT2531" s="223"/>
      <c r="DU2531" s="223"/>
      <c r="DV2531" s="223"/>
      <c r="DW2531" s="223"/>
      <c r="DX2531" s="223"/>
      <c r="DY2531" s="223"/>
      <c r="DZ2531" s="223"/>
      <c r="EA2531" s="223"/>
      <c r="EB2531" s="223"/>
      <c r="EC2531" s="223"/>
      <c r="ED2531" s="223"/>
      <c r="EE2531" s="223"/>
      <c r="EF2531" s="223"/>
      <c r="EG2531" s="223"/>
      <c r="EH2531" s="223"/>
      <c r="EI2531" s="223"/>
      <c r="EJ2531" s="223"/>
      <c r="EK2531" s="223"/>
      <c r="EL2531" s="223"/>
      <c r="EM2531" s="223"/>
      <c r="EN2531" s="223"/>
      <c r="EO2531" s="223"/>
      <c r="EP2531" s="223"/>
      <c r="EQ2531" s="223"/>
      <c r="ER2531" s="223"/>
      <c r="ES2531" s="223"/>
      <c r="ET2531" s="223"/>
      <c r="EU2531" s="223"/>
      <c r="EV2531" s="223"/>
      <c r="EW2531" s="223"/>
      <c r="EX2531" s="223"/>
      <c r="EY2531" s="223"/>
      <c r="EZ2531" s="223"/>
      <c r="FA2531" s="223"/>
      <c r="FB2531" s="223"/>
      <c r="FC2531" s="223"/>
      <c r="FD2531" s="223"/>
      <c r="FE2531" s="223"/>
      <c r="FF2531" s="223"/>
      <c r="FG2531" s="223"/>
      <c r="FH2531" s="223"/>
      <c r="FI2531" s="223"/>
      <c r="FJ2531" s="223"/>
      <c r="FK2531" s="223"/>
      <c r="FL2531" s="223"/>
      <c r="FM2531" s="223"/>
      <c r="FN2531" s="223"/>
      <c r="FO2531" s="223"/>
      <c r="FP2531" s="223"/>
      <c r="FQ2531" s="223"/>
      <c r="FR2531" s="223"/>
      <c r="FS2531" s="223"/>
      <c r="FT2531" s="223"/>
      <c r="FU2531" s="223"/>
      <c r="FV2531" s="223"/>
      <c r="FW2531" s="223"/>
      <c r="FX2531" s="223"/>
      <c r="FY2531" s="223"/>
      <c r="FZ2531" s="223"/>
      <c r="GA2531" s="223"/>
      <c r="GB2531" s="223"/>
      <c r="GC2531" s="223"/>
      <c r="GD2531" s="223"/>
      <c r="GE2531" s="223"/>
      <c r="GF2531" s="223"/>
      <c r="GG2531" s="223"/>
      <c r="GH2531" s="223"/>
      <c r="GI2531" s="223"/>
      <c r="GJ2531" s="223"/>
      <c r="GK2531" s="223"/>
      <c r="GL2531" s="223"/>
      <c r="GM2531" s="223"/>
      <c r="GN2531" s="223"/>
      <c r="GO2531" s="223"/>
      <c r="GP2531" s="223"/>
      <c r="GQ2531" s="223"/>
      <c r="GR2531" s="223"/>
      <c r="GS2531" s="223"/>
      <c r="GT2531" s="223"/>
      <c r="GU2531" s="223"/>
      <c r="GV2531" s="223"/>
      <c r="GW2531" s="223"/>
      <c r="GX2531" s="223"/>
      <c r="GY2531" s="223"/>
      <c r="GZ2531" s="223"/>
      <c r="HA2531" s="223"/>
      <c r="HB2531" s="223"/>
      <c r="HC2531" s="223"/>
      <c r="HD2531" s="223"/>
      <c r="HE2531" s="223"/>
      <c r="HF2531" s="223"/>
      <c r="HG2531" s="223"/>
      <c r="HH2531" s="223"/>
      <c r="HI2531" s="223"/>
      <c r="HJ2531" s="223"/>
      <c r="HK2531" s="223"/>
      <c r="HL2531" s="223"/>
      <c r="HM2531" s="223"/>
      <c r="HN2531" s="223"/>
      <c r="HO2531" s="223"/>
      <c r="HP2531" s="223"/>
      <c r="HQ2531" s="223"/>
      <c r="HR2531" s="223"/>
      <c r="HS2531" s="223"/>
      <c r="HT2531" s="223"/>
      <c r="HU2531" s="223"/>
      <c r="HV2531" s="223"/>
      <c r="HW2531" s="223"/>
      <c r="HX2531" s="223"/>
      <c r="HY2531" s="223"/>
      <c r="HZ2531" s="223"/>
      <c r="IA2531" s="223"/>
      <c r="IB2531" s="223"/>
      <c r="IC2531" s="223"/>
      <c r="ID2531" s="223"/>
      <c r="IE2531" s="223"/>
      <c r="IF2531" s="223"/>
      <c r="IG2531" s="223"/>
      <c r="IH2531" s="223"/>
      <c r="II2531" s="223"/>
      <c r="IJ2531" s="223"/>
      <c r="IK2531" s="223"/>
      <c r="IL2531" s="223"/>
      <c r="IM2531" s="223"/>
      <c r="IN2531" s="223"/>
      <c r="IO2531" s="223"/>
      <c r="IP2531" s="223"/>
      <c r="IQ2531" s="223"/>
      <c r="IR2531" s="223"/>
      <c r="IS2531" s="223"/>
      <c r="IT2531" s="223"/>
      <c r="IU2531" s="223"/>
      <c r="IV2531" s="223"/>
    </row>
    <row r="2532" spans="22:256" s="221" customFormat="1" x14ac:dyDescent="0.2">
      <c r="V2532" s="223"/>
      <c r="W2532" s="223"/>
      <c r="X2532" s="223"/>
      <c r="Y2532" s="223"/>
      <c r="Z2532" s="223"/>
      <c r="AA2532" s="223"/>
      <c r="AB2532" s="223"/>
      <c r="AC2532" s="223"/>
      <c r="AD2532" s="223"/>
      <c r="AE2532" s="223"/>
      <c r="AF2532" s="223"/>
      <c r="AG2532" s="223"/>
      <c r="AH2532" s="223"/>
      <c r="AI2532" s="223"/>
      <c r="AJ2532" s="223"/>
      <c r="AK2532" s="223"/>
      <c r="AL2532" s="223"/>
      <c r="AM2532" s="223"/>
      <c r="AN2532" s="223"/>
      <c r="AO2532" s="223"/>
      <c r="AP2532" s="223"/>
      <c r="AQ2532" s="223"/>
      <c r="AR2532" s="223"/>
      <c r="AS2532" s="223"/>
      <c r="AT2532" s="324"/>
      <c r="AU2532" s="324"/>
      <c r="AV2532" s="223"/>
      <c r="AW2532" s="223"/>
      <c r="AX2532" s="223"/>
      <c r="AY2532" s="223"/>
      <c r="AZ2532" s="223"/>
      <c r="BA2532" s="223"/>
      <c r="BB2532" s="223"/>
      <c r="BC2532" s="223"/>
      <c r="BD2532" s="223"/>
      <c r="BE2532" s="223"/>
      <c r="BF2532" s="223"/>
      <c r="BG2532" s="223"/>
      <c r="BH2532" s="223"/>
      <c r="BI2532" s="223"/>
      <c r="BJ2532" s="223"/>
      <c r="BK2532" s="223"/>
      <c r="BL2532" s="223"/>
      <c r="BM2532" s="223"/>
      <c r="BN2532" s="223"/>
      <c r="BO2532" s="223"/>
      <c r="BP2532" s="223"/>
      <c r="BQ2532" s="223"/>
      <c r="BR2532" s="223"/>
      <c r="BS2532" s="223"/>
      <c r="BT2532" s="223"/>
      <c r="BU2532" s="223"/>
      <c r="BV2532" s="223"/>
      <c r="BW2532" s="223"/>
      <c r="BX2532" s="223"/>
      <c r="BY2532" s="223"/>
      <c r="BZ2532" s="223"/>
      <c r="CA2532" s="223"/>
      <c r="CB2532" s="223"/>
      <c r="CC2532" s="223"/>
      <c r="CD2532" s="223"/>
      <c r="CE2532" s="223"/>
      <c r="CF2532" s="223"/>
      <c r="CG2532" s="223"/>
      <c r="CH2532" s="223"/>
      <c r="CI2532" s="223"/>
      <c r="CJ2532" s="223"/>
      <c r="CK2532" s="223"/>
      <c r="CL2532" s="223"/>
      <c r="CM2532" s="223"/>
      <c r="CN2532" s="223"/>
      <c r="CO2532" s="223"/>
      <c r="CP2532" s="223"/>
      <c r="CQ2532" s="223"/>
      <c r="CR2532" s="223"/>
      <c r="CS2532" s="223"/>
      <c r="CT2532" s="223"/>
      <c r="CU2532" s="223"/>
      <c r="CV2532" s="223"/>
      <c r="CW2532" s="223"/>
      <c r="CX2532" s="223"/>
      <c r="CY2532" s="223"/>
      <c r="CZ2532" s="223"/>
      <c r="DA2532" s="223"/>
      <c r="DB2532" s="223"/>
      <c r="DC2532" s="223"/>
      <c r="DD2532" s="223"/>
      <c r="DE2532" s="223"/>
      <c r="DF2532" s="223"/>
      <c r="DG2532" s="223"/>
      <c r="DH2532" s="223"/>
      <c r="DI2532" s="223"/>
      <c r="DJ2532" s="223"/>
      <c r="DK2532" s="223"/>
      <c r="DL2532" s="223"/>
      <c r="DM2532" s="223"/>
      <c r="DN2532" s="223"/>
      <c r="DO2532" s="223"/>
      <c r="DP2532" s="223"/>
      <c r="DQ2532" s="223"/>
      <c r="DR2532" s="223"/>
      <c r="DS2532" s="223"/>
      <c r="DT2532" s="223"/>
      <c r="DU2532" s="223"/>
      <c r="DV2532" s="223"/>
      <c r="DW2532" s="223"/>
      <c r="DX2532" s="223"/>
      <c r="DY2532" s="223"/>
      <c r="DZ2532" s="223"/>
      <c r="EA2532" s="223"/>
      <c r="EB2532" s="223"/>
      <c r="EC2532" s="223"/>
      <c r="ED2532" s="223"/>
      <c r="EE2532" s="223"/>
      <c r="EF2532" s="223"/>
      <c r="EG2532" s="223"/>
      <c r="EH2532" s="223"/>
      <c r="EI2532" s="223"/>
      <c r="EJ2532" s="223"/>
      <c r="EK2532" s="223"/>
      <c r="EL2532" s="223"/>
      <c r="EM2532" s="223"/>
      <c r="EN2532" s="223"/>
      <c r="EO2532" s="223"/>
      <c r="EP2532" s="223"/>
      <c r="EQ2532" s="223"/>
      <c r="ER2532" s="223"/>
      <c r="ES2532" s="223"/>
      <c r="ET2532" s="223"/>
      <c r="EU2532" s="223"/>
      <c r="EV2532" s="223"/>
      <c r="EW2532" s="223"/>
      <c r="EX2532" s="223"/>
      <c r="EY2532" s="223"/>
      <c r="EZ2532" s="223"/>
      <c r="FA2532" s="223"/>
      <c r="FB2532" s="223"/>
      <c r="FC2532" s="223"/>
      <c r="FD2532" s="223"/>
      <c r="FE2532" s="223"/>
      <c r="FF2532" s="223"/>
      <c r="FG2532" s="223"/>
      <c r="FH2532" s="223"/>
      <c r="FI2532" s="223"/>
      <c r="FJ2532" s="223"/>
      <c r="FK2532" s="223"/>
      <c r="FL2532" s="223"/>
      <c r="FM2532" s="223"/>
      <c r="FN2532" s="223"/>
      <c r="FO2532" s="223"/>
      <c r="FP2532" s="223"/>
      <c r="FQ2532" s="223"/>
      <c r="FR2532" s="223"/>
      <c r="FS2532" s="223"/>
      <c r="FT2532" s="223"/>
      <c r="FU2532" s="223"/>
      <c r="FV2532" s="223"/>
      <c r="FW2532" s="223"/>
      <c r="FX2532" s="223"/>
      <c r="FY2532" s="223"/>
      <c r="FZ2532" s="223"/>
      <c r="GA2532" s="223"/>
      <c r="GB2532" s="223"/>
      <c r="GC2532" s="223"/>
      <c r="GD2532" s="223"/>
      <c r="GE2532" s="223"/>
      <c r="GF2532" s="223"/>
      <c r="GG2532" s="223"/>
      <c r="GH2532" s="223"/>
      <c r="GI2532" s="223"/>
      <c r="GJ2532" s="223"/>
      <c r="GK2532" s="223"/>
      <c r="GL2532" s="223"/>
      <c r="GM2532" s="223"/>
      <c r="GN2532" s="223"/>
      <c r="GO2532" s="223"/>
      <c r="GP2532" s="223"/>
      <c r="GQ2532" s="223"/>
      <c r="GR2532" s="223"/>
      <c r="GS2532" s="223"/>
      <c r="GT2532" s="223"/>
      <c r="GU2532" s="223"/>
      <c r="GV2532" s="223"/>
      <c r="GW2532" s="223"/>
      <c r="GX2532" s="223"/>
      <c r="GY2532" s="223"/>
      <c r="GZ2532" s="223"/>
      <c r="HA2532" s="223"/>
      <c r="HB2532" s="223"/>
      <c r="HC2532" s="223"/>
      <c r="HD2532" s="223"/>
      <c r="HE2532" s="223"/>
      <c r="HF2532" s="223"/>
      <c r="HG2532" s="223"/>
      <c r="HH2532" s="223"/>
      <c r="HI2532" s="223"/>
      <c r="HJ2532" s="223"/>
      <c r="HK2532" s="223"/>
      <c r="HL2532" s="223"/>
      <c r="HM2532" s="223"/>
      <c r="HN2532" s="223"/>
      <c r="HO2532" s="223"/>
      <c r="HP2532" s="223"/>
      <c r="HQ2532" s="223"/>
      <c r="HR2532" s="223"/>
      <c r="HS2532" s="223"/>
      <c r="HT2532" s="223"/>
      <c r="HU2532" s="223"/>
      <c r="HV2532" s="223"/>
      <c r="HW2532" s="223"/>
      <c r="HX2532" s="223"/>
      <c r="HY2532" s="223"/>
      <c r="HZ2532" s="223"/>
      <c r="IA2532" s="223"/>
      <c r="IB2532" s="223"/>
      <c r="IC2532" s="223"/>
      <c r="ID2532" s="223"/>
      <c r="IE2532" s="223"/>
      <c r="IF2532" s="223"/>
      <c r="IG2532" s="223"/>
      <c r="IH2532" s="223"/>
      <c r="II2532" s="223"/>
      <c r="IJ2532" s="223"/>
      <c r="IK2532" s="223"/>
      <c r="IL2532" s="223"/>
      <c r="IM2532" s="223"/>
      <c r="IN2532" s="223"/>
      <c r="IO2532" s="223"/>
      <c r="IP2532" s="223"/>
      <c r="IQ2532" s="223"/>
      <c r="IR2532" s="223"/>
      <c r="IS2532" s="223"/>
      <c r="IT2532" s="223"/>
      <c r="IU2532" s="223"/>
      <c r="IV2532" s="223"/>
    </row>
    <row r="2533" spans="22:256" s="221" customFormat="1" x14ac:dyDescent="0.2">
      <c r="V2533" s="223"/>
      <c r="W2533" s="223"/>
      <c r="X2533" s="223"/>
      <c r="Y2533" s="223"/>
      <c r="Z2533" s="223"/>
      <c r="AA2533" s="223"/>
      <c r="AB2533" s="223"/>
      <c r="AC2533" s="223"/>
      <c r="AD2533" s="223"/>
      <c r="AE2533" s="223"/>
      <c r="AF2533" s="223"/>
      <c r="AG2533" s="223"/>
      <c r="AH2533" s="223"/>
      <c r="AI2533" s="223"/>
      <c r="AJ2533" s="223"/>
      <c r="AK2533" s="223"/>
      <c r="AL2533" s="223"/>
      <c r="AM2533" s="223"/>
      <c r="AN2533" s="223"/>
      <c r="AO2533" s="223"/>
      <c r="AP2533" s="223"/>
      <c r="AQ2533" s="223"/>
      <c r="AR2533" s="223"/>
      <c r="AS2533" s="223"/>
      <c r="AT2533" s="324"/>
      <c r="AU2533" s="324"/>
      <c r="AV2533" s="223"/>
      <c r="AW2533" s="223"/>
      <c r="AX2533" s="223"/>
      <c r="AY2533" s="223"/>
      <c r="AZ2533" s="223"/>
      <c r="BA2533" s="223"/>
      <c r="BB2533" s="223"/>
      <c r="BC2533" s="223"/>
      <c r="BD2533" s="223"/>
      <c r="BE2533" s="223"/>
      <c r="BF2533" s="223"/>
      <c r="BG2533" s="223"/>
      <c r="BH2533" s="223"/>
      <c r="BI2533" s="223"/>
      <c r="BJ2533" s="223"/>
      <c r="BK2533" s="223"/>
      <c r="BL2533" s="223"/>
      <c r="BM2533" s="223"/>
      <c r="BN2533" s="223"/>
      <c r="BO2533" s="223"/>
      <c r="BP2533" s="223"/>
      <c r="BQ2533" s="223"/>
      <c r="BR2533" s="223"/>
      <c r="BS2533" s="223"/>
      <c r="BT2533" s="223"/>
      <c r="BU2533" s="223"/>
      <c r="BV2533" s="223"/>
      <c r="BW2533" s="223"/>
      <c r="BX2533" s="223"/>
      <c r="BY2533" s="223"/>
      <c r="BZ2533" s="223"/>
      <c r="CA2533" s="223"/>
      <c r="CB2533" s="223"/>
      <c r="CC2533" s="223"/>
      <c r="CD2533" s="223"/>
      <c r="CE2533" s="223"/>
      <c r="CF2533" s="223"/>
      <c r="CG2533" s="223"/>
      <c r="CH2533" s="223"/>
      <c r="CI2533" s="223"/>
      <c r="CJ2533" s="223"/>
      <c r="CK2533" s="223"/>
      <c r="CL2533" s="223"/>
      <c r="CM2533" s="223"/>
      <c r="CN2533" s="223"/>
      <c r="CO2533" s="223"/>
      <c r="CP2533" s="223"/>
      <c r="CQ2533" s="223"/>
      <c r="CR2533" s="223"/>
      <c r="CS2533" s="223"/>
      <c r="CT2533" s="223"/>
      <c r="CU2533" s="223"/>
      <c r="CV2533" s="223"/>
      <c r="CW2533" s="223"/>
      <c r="CX2533" s="223"/>
      <c r="CY2533" s="223"/>
      <c r="CZ2533" s="223"/>
      <c r="DA2533" s="223"/>
      <c r="DB2533" s="223"/>
      <c r="DC2533" s="223"/>
      <c r="DD2533" s="223"/>
      <c r="DE2533" s="223"/>
      <c r="DF2533" s="223"/>
      <c r="DG2533" s="223"/>
      <c r="DH2533" s="223"/>
      <c r="DI2533" s="223"/>
      <c r="DJ2533" s="223"/>
      <c r="DK2533" s="223"/>
      <c r="DL2533" s="223"/>
      <c r="DM2533" s="223"/>
      <c r="DN2533" s="223"/>
      <c r="DO2533" s="223"/>
      <c r="DP2533" s="223"/>
      <c r="DQ2533" s="223"/>
      <c r="DR2533" s="223"/>
      <c r="DS2533" s="223"/>
      <c r="DT2533" s="223"/>
      <c r="DU2533" s="223"/>
      <c r="DV2533" s="223"/>
      <c r="DW2533" s="223"/>
      <c r="DX2533" s="223"/>
      <c r="DY2533" s="223"/>
      <c r="DZ2533" s="223"/>
      <c r="EA2533" s="223"/>
      <c r="EB2533" s="223"/>
      <c r="EC2533" s="223"/>
      <c r="ED2533" s="223"/>
      <c r="EE2533" s="223"/>
      <c r="EF2533" s="223"/>
      <c r="EG2533" s="223"/>
      <c r="EH2533" s="223"/>
      <c r="EI2533" s="223"/>
      <c r="EJ2533" s="223"/>
      <c r="EK2533" s="223"/>
      <c r="EL2533" s="223"/>
      <c r="EM2533" s="223"/>
      <c r="EN2533" s="223"/>
      <c r="EO2533" s="223"/>
      <c r="EP2533" s="223"/>
      <c r="EQ2533" s="223"/>
      <c r="ER2533" s="223"/>
      <c r="ES2533" s="223"/>
      <c r="ET2533" s="223"/>
      <c r="EU2533" s="223"/>
      <c r="EV2533" s="223"/>
      <c r="EW2533" s="223"/>
      <c r="EX2533" s="223"/>
      <c r="EY2533" s="223"/>
      <c r="EZ2533" s="223"/>
      <c r="FA2533" s="223"/>
      <c r="FB2533" s="223"/>
      <c r="FC2533" s="223"/>
      <c r="FD2533" s="223"/>
      <c r="FE2533" s="223"/>
      <c r="FF2533" s="223"/>
      <c r="FG2533" s="223"/>
      <c r="FH2533" s="223"/>
      <c r="FI2533" s="223"/>
      <c r="FJ2533" s="223"/>
      <c r="FK2533" s="223"/>
      <c r="FL2533" s="223"/>
      <c r="FM2533" s="223"/>
      <c r="FN2533" s="223"/>
      <c r="FO2533" s="223"/>
      <c r="FP2533" s="223"/>
      <c r="FQ2533" s="223"/>
      <c r="FR2533" s="223"/>
      <c r="FS2533" s="223"/>
      <c r="FT2533" s="223"/>
      <c r="FU2533" s="223"/>
      <c r="FV2533" s="223"/>
      <c r="FW2533" s="223"/>
      <c r="FX2533" s="223"/>
      <c r="FY2533" s="223"/>
      <c r="FZ2533" s="223"/>
      <c r="GA2533" s="223"/>
      <c r="GB2533" s="223"/>
      <c r="GC2533" s="223"/>
      <c r="GD2533" s="223"/>
      <c r="GE2533" s="223"/>
      <c r="GF2533" s="223"/>
      <c r="GG2533" s="223"/>
      <c r="GH2533" s="223"/>
      <c r="GI2533" s="223"/>
      <c r="GJ2533" s="223"/>
      <c r="GK2533" s="223"/>
      <c r="GL2533" s="223"/>
      <c r="GM2533" s="223"/>
      <c r="GN2533" s="223"/>
      <c r="GO2533" s="223"/>
      <c r="GP2533" s="223"/>
      <c r="GQ2533" s="223"/>
      <c r="GR2533" s="223"/>
      <c r="GS2533" s="223"/>
      <c r="GT2533" s="223"/>
      <c r="GU2533" s="223"/>
      <c r="GV2533" s="223"/>
      <c r="GW2533" s="223"/>
      <c r="GX2533" s="223"/>
      <c r="GY2533" s="223"/>
      <c r="GZ2533" s="223"/>
      <c r="HA2533" s="223"/>
      <c r="HB2533" s="223"/>
      <c r="HC2533" s="223"/>
      <c r="HD2533" s="223"/>
      <c r="HE2533" s="223"/>
      <c r="HF2533" s="223"/>
      <c r="HG2533" s="223"/>
      <c r="HH2533" s="223"/>
      <c r="HI2533" s="223"/>
      <c r="HJ2533" s="223"/>
      <c r="HK2533" s="223"/>
      <c r="HL2533" s="223"/>
      <c r="HM2533" s="223"/>
      <c r="HN2533" s="223"/>
      <c r="HO2533" s="223"/>
      <c r="HP2533" s="223"/>
      <c r="HQ2533" s="223"/>
      <c r="HR2533" s="223"/>
      <c r="HS2533" s="223"/>
      <c r="HT2533" s="223"/>
      <c r="HU2533" s="223"/>
      <c r="HV2533" s="223"/>
      <c r="HW2533" s="223"/>
      <c r="HX2533" s="223"/>
      <c r="HY2533" s="223"/>
      <c r="HZ2533" s="223"/>
      <c r="IA2533" s="223"/>
      <c r="IB2533" s="223"/>
      <c r="IC2533" s="223"/>
      <c r="ID2533" s="223"/>
      <c r="IE2533" s="223"/>
      <c r="IF2533" s="223"/>
      <c r="IG2533" s="223"/>
      <c r="IH2533" s="223"/>
      <c r="II2533" s="223"/>
      <c r="IJ2533" s="223"/>
      <c r="IK2533" s="223"/>
      <c r="IL2533" s="223"/>
      <c r="IM2533" s="223"/>
      <c r="IN2533" s="223"/>
      <c r="IO2533" s="223"/>
      <c r="IP2533" s="223"/>
      <c r="IQ2533" s="223"/>
      <c r="IR2533" s="223"/>
      <c r="IS2533" s="223"/>
      <c r="IT2533" s="223"/>
      <c r="IU2533" s="223"/>
      <c r="IV2533" s="223"/>
    </row>
    <row r="2534" spans="22:256" s="221" customFormat="1" x14ac:dyDescent="0.2">
      <c r="V2534" s="223"/>
      <c r="W2534" s="223"/>
      <c r="X2534" s="223"/>
      <c r="Y2534" s="223"/>
      <c r="Z2534" s="223"/>
      <c r="AA2534" s="223"/>
      <c r="AB2534" s="223"/>
      <c r="AC2534" s="223"/>
      <c r="AD2534" s="223"/>
      <c r="AE2534" s="223"/>
      <c r="AF2534" s="223"/>
      <c r="AG2534" s="223"/>
      <c r="AH2534" s="223"/>
      <c r="AI2534" s="223"/>
      <c r="AJ2534" s="223"/>
      <c r="AK2534" s="223"/>
      <c r="AL2534" s="223"/>
      <c r="AM2534" s="223"/>
      <c r="AN2534" s="223"/>
      <c r="AO2534" s="223"/>
      <c r="AP2534" s="223"/>
      <c r="AQ2534" s="223"/>
      <c r="AR2534" s="223"/>
      <c r="AS2534" s="223"/>
      <c r="AT2534" s="324"/>
      <c r="AU2534" s="324"/>
      <c r="AV2534" s="223"/>
      <c r="AW2534" s="223"/>
      <c r="AX2534" s="223"/>
      <c r="AY2534" s="223"/>
      <c r="AZ2534" s="223"/>
      <c r="BA2534" s="223"/>
      <c r="BB2534" s="223"/>
      <c r="BC2534" s="223"/>
      <c r="BD2534" s="223"/>
      <c r="BE2534" s="223"/>
      <c r="BF2534" s="223"/>
      <c r="BG2534" s="223"/>
      <c r="BH2534" s="223"/>
      <c r="BI2534" s="223"/>
      <c r="BJ2534" s="223"/>
      <c r="BK2534" s="223"/>
      <c r="BL2534" s="223"/>
      <c r="BM2534" s="223"/>
      <c r="BN2534" s="223"/>
      <c r="BO2534" s="223"/>
      <c r="BP2534" s="223"/>
      <c r="BQ2534" s="223"/>
      <c r="BR2534" s="223"/>
      <c r="BS2534" s="223"/>
      <c r="BT2534" s="223"/>
      <c r="BU2534" s="223"/>
      <c r="BV2534" s="223"/>
      <c r="BW2534" s="223"/>
      <c r="BX2534" s="223"/>
      <c r="BY2534" s="223"/>
      <c r="BZ2534" s="223"/>
      <c r="CA2534" s="223"/>
      <c r="CB2534" s="223"/>
      <c r="CC2534" s="223"/>
      <c r="CD2534" s="223"/>
      <c r="CE2534" s="223"/>
      <c r="CF2534" s="223"/>
      <c r="CG2534" s="223"/>
      <c r="CH2534" s="223"/>
      <c r="CI2534" s="223"/>
      <c r="CJ2534" s="223"/>
      <c r="CK2534" s="223"/>
      <c r="CL2534" s="223"/>
      <c r="CM2534" s="223"/>
      <c r="CN2534" s="223"/>
      <c r="CO2534" s="223"/>
      <c r="CP2534" s="223"/>
      <c r="CQ2534" s="223"/>
      <c r="CR2534" s="223"/>
      <c r="CS2534" s="223"/>
      <c r="CT2534" s="223"/>
      <c r="CU2534" s="223"/>
      <c r="CV2534" s="223"/>
      <c r="CW2534" s="223"/>
      <c r="CX2534" s="223"/>
      <c r="CY2534" s="223"/>
      <c r="CZ2534" s="223"/>
      <c r="DA2534" s="223"/>
      <c r="DB2534" s="223"/>
      <c r="DC2534" s="223"/>
      <c r="DD2534" s="223"/>
      <c r="DE2534" s="223"/>
      <c r="DF2534" s="223"/>
      <c r="DG2534" s="223"/>
      <c r="DH2534" s="223"/>
      <c r="DI2534" s="223"/>
      <c r="DJ2534" s="223"/>
      <c r="DK2534" s="223"/>
      <c r="DL2534" s="223"/>
      <c r="DM2534" s="223"/>
      <c r="DN2534" s="223"/>
      <c r="DO2534" s="223"/>
      <c r="DP2534" s="223"/>
      <c r="DQ2534" s="223"/>
      <c r="DR2534" s="223"/>
      <c r="DS2534" s="223"/>
      <c r="DT2534" s="223"/>
      <c r="DU2534" s="223"/>
      <c r="DV2534" s="223"/>
      <c r="DW2534" s="223"/>
      <c r="DX2534" s="223"/>
      <c r="DY2534" s="223"/>
      <c r="DZ2534" s="223"/>
      <c r="EA2534" s="223"/>
      <c r="EB2534" s="223"/>
      <c r="EC2534" s="223"/>
      <c r="ED2534" s="223"/>
      <c r="EE2534" s="223"/>
      <c r="EF2534" s="223"/>
      <c r="EG2534" s="223"/>
      <c r="EH2534" s="223"/>
      <c r="EI2534" s="223"/>
      <c r="EJ2534" s="223"/>
      <c r="EK2534" s="223"/>
      <c r="EL2534" s="223"/>
      <c r="EM2534" s="223"/>
      <c r="EN2534" s="223"/>
      <c r="EO2534" s="223"/>
      <c r="EP2534" s="223"/>
      <c r="EQ2534" s="223"/>
      <c r="ER2534" s="223"/>
      <c r="ES2534" s="223"/>
      <c r="ET2534" s="223"/>
      <c r="EU2534" s="223"/>
      <c r="EV2534" s="223"/>
      <c r="EW2534" s="223"/>
      <c r="EX2534" s="223"/>
      <c r="EY2534" s="223"/>
      <c r="EZ2534" s="223"/>
      <c r="FA2534" s="223"/>
      <c r="FB2534" s="223"/>
      <c r="FC2534" s="223"/>
      <c r="FD2534" s="223"/>
      <c r="FE2534" s="223"/>
      <c r="FF2534" s="223"/>
      <c r="FG2534" s="223"/>
      <c r="FH2534" s="223"/>
      <c r="FI2534" s="223"/>
      <c r="FJ2534" s="223"/>
      <c r="FK2534" s="223"/>
      <c r="FL2534" s="223"/>
      <c r="FM2534" s="223"/>
      <c r="FN2534" s="223"/>
      <c r="FO2534" s="223"/>
      <c r="FP2534" s="223"/>
      <c r="FQ2534" s="223"/>
      <c r="FR2534" s="223"/>
      <c r="FS2534" s="223"/>
      <c r="FT2534" s="223"/>
      <c r="FU2534" s="223"/>
      <c r="FV2534" s="223"/>
      <c r="FW2534" s="223"/>
      <c r="FX2534" s="223"/>
      <c r="FY2534" s="223"/>
      <c r="FZ2534" s="223"/>
      <c r="GA2534" s="223"/>
      <c r="GB2534" s="223"/>
      <c r="GC2534" s="223"/>
      <c r="GD2534" s="223"/>
      <c r="GE2534" s="223"/>
      <c r="GF2534" s="223"/>
      <c r="GG2534" s="223"/>
      <c r="GH2534" s="223"/>
      <c r="GI2534" s="223"/>
      <c r="GJ2534" s="223"/>
      <c r="GK2534" s="223"/>
      <c r="GL2534" s="223"/>
      <c r="GM2534" s="223"/>
      <c r="GN2534" s="223"/>
      <c r="GO2534" s="223"/>
      <c r="GP2534" s="223"/>
      <c r="GQ2534" s="223"/>
      <c r="GR2534" s="223"/>
      <c r="GS2534" s="223"/>
      <c r="GT2534" s="223"/>
      <c r="GU2534" s="223"/>
      <c r="GV2534" s="223"/>
      <c r="GW2534" s="223"/>
      <c r="GX2534" s="223"/>
      <c r="GY2534" s="223"/>
      <c r="GZ2534" s="223"/>
      <c r="HA2534" s="223"/>
      <c r="HB2534" s="223"/>
      <c r="HC2534" s="223"/>
      <c r="HD2534" s="223"/>
      <c r="HE2534" s="223"/>
      <c r="HF2534" s="223"/>
      <c r="HG2534" s="223"/>
      <c r="HH2534" s="223"/>
      <c r="HI2534" s="223"/>
      <c r="HJ2534" s="223"/>
      <c r="HK2534" s="223"/>
      <c r="HL2534" s="223"/>
      <c r="HM2534" s="223"/>
      <c r="HN2534" s="223"/>
      <c r="HO2534" s="223"/>
      <c r="HP2534" s="223"/>
      <c r="HQ2534" s="223"/>
      <c r="HR2534" s="223"/>
      <c r="HS2534" s="223"/>
      <c r="HT2534" s="223"/>
      <c r="HU2534" s="223"/>
      <c r="HV2534" s="223"/>
      <c r="HW2534" s="223"/>
      <c r="HX2534" s="223"/>
      <c r="HY2534" s="223"/>
      <c r="HZ2534" s="223"/>
      <c r="IA2534" s="223"/>
      <c r="IB2534" s="223"/>
      <c r="IC2534" s="223"/>
      <c r="ID2534" s="223"/>
      <c r="IE2534" s="223"/>
      <c r="IF2534" s="223"/>
      <c r="IG2534" s="223"/>
      <c r="IH2534" s="223"/>
      <c r="II2534" s="223"/>
      <c r="IJ2534" s="223"/>
      <c r="IK2534" s="223"/>
      <c r="IL2534" s="223"/>
      <c r="IM2534" s="223"/>
      <c r="IN2534" s="223"/>
      <c r="IO2534" s="223"/>
      <c r="IP2534" s="223"/>
      <c r="IQ2534" s="223"/>
      <c r="IR2534" s="223"/>
      <c r="IS2534" s="223"/>
      <c r="IT2534" s="223"/>
      <c r="IU2534" s="223"/>
      <c r="IV2534" s="223"/>
    </row>
    <row r="2535" spans="22:256" s="221" customFormat="1" x14ac:dyDescent="0.2">
      <c r="V2535" s="223"/>
      <c r="W2535" s="223"/>
      <c r="X2535" s="223"/>
      <c r="Y2535" s="223"/>
      <c r="Z2535" s="223"/>
      <c r="AA2535" s="223"/>
      <c r="AB2535" s="223"/>
      <c r="AC2535" s="223"/>
      <c r="AD2535" s="223"/>
      <c r="AE2535" s="223"/>
      <c r="AF2535" s="223"/>
      <c r="AG2535" s="223"/>
      <c r="AH2535" s="223"/>
      <c r="AI2535" s="223"/>
      <c r="AJ2535" s="223"/>
      <c r="AK2535" s="223"/>
      <c r="AL2535" s="223"/>
      <c r="AM2535" s="223"/>
      <c r="AN2535" s="223"/>
      <c r="AO2535" s="223"/>
      <c r="AP2535" s="223"/>
      <c r="AQ2535" s="223"/>
      <c r="AR2535" s="223"/>
      <c r="AS2535" s="223"/>
      <c r="AT2535" s="324"/>
      <c r="AU2535" s="324"/>
      <c r="AV2535" s="223"/>
      <c r="AW2535" s="223"/>
      <c r="AX2535" s="223"/>
      <c r="AY2535" s="223"/>
      <c r="AZ2535" s="223"/>
      <c r="BA2535" s="223"/>
      <c r="BB2535" s="223"/>
      <c r="BC2535" s="223"/>
      <c r="BD2535" s="223"/>
      <c r="BE2535" s="223"/>
      <c r="BF2535" s="223"/>
      <c r="BG2535" s="223"/>
      <c r="BH2535" s="223"/>
      <c r="BI2535" s="223"/>
      <c r="BJ2535" s="223"/>
      <c r="BK2535" s="223"/>
      <c r="BL2535" s="223"/>
      <c r="BM2535" s="223"/>
      <c r="BN2535" s="223"/>
      <c r="BO2535" s="223"/>
      <c r="BP2535" s="223"/>
      <c r="BQ2535" s="223"/>
      <c r="BR2535" s="223"/>
      <c r="BS2535" s="223"/>
      <c r="BT2535" s="223"/>
      <c r="BU2535" s="223"/>
      <c r="BV2535" s="223"/>
      <c r="BW2535" s="223"/>
      <c r="BX2535" s="223"/>
      <c r="BY2535" s="223"/>
      <c r="BZ2535" s="223"/>
      <c r="CA2535" s="223"/>
      <c r="CB2535" s="223"/>
      <c r="CC2535" s="223"/>
      <c r="CD2535" s="223"/>
      <c r="CE2535" s="223"/>
      <c r="CF2535" s="223"/>
      <c r="CG2535" s="223"/>
      <c r="CH2535" s="223"/>
      <c r="CI2535" s="223"/>
      <c r="CJ2535" s="223"/>
      <c r="CK2535" s="223"/>
      <c r="CL2535" s="223"/>
      <c r="CM2535" s="223"/>
      <c r="CN2535" s="223"/>
      <c r="CO2535" s="223"/>
      <c r="CP2535" s="223"/>
      <c r="CQ2535" s="223"/>
      <c r="CR2535" s="223"/>
      <c r="CS2535" s="223"/>
      <c r="CT2535" s="223"/>
      <c r="CU2535" s="223"/>
      <c r="CV2535" s="223"/>
      <c r="CW2535" s="223"/>
      <c r="CX2535" s="223"/>
      <c r="CY2535" s="223"/>
      <c r="CZ2535" s="223"/>
      <c r="DA2535" s="223"/>
      <c r="DB2535" s="223"/>
      <c r="DC2535" s="223"/>
      <c r="DD2535" s="223"/>
      <c r="DE2535" s="223"/>
      <c r="DF2535" s="223"/>
      <c r="DG2535" s="223"/>
      <c r="DH2535" s="223"/>
      <c r="DI2535" s="223"/>
      <c r="DJ2535" s="223"/>
      <c r="DK2535" s="223"/>
      <c r="DL2535" s="223"/>
      <c r="DM2535" s="223"/>
      <c r="DN2535" s="223"/>
      <c r="DO2535" s="223"/>
      <c r="DP2535" s="223"/>
      <c r="DQ2535" s="223"/>
      <c r="DR2535" s="223"/>
      <c r="DS2535" s="223"/>
      <c r="DT2535" s="223"/>
      <c r="DU2535" s="223"/>
      <c r="DV2535" s="223"/>
      <c r="DW2535" s="223"/>
      <c r="DX2535" s="223"/>
      <c r="DY2535" s="223"/>
      <c r="DZ2535" s="223"/>
      <c r="EA2535" s="223"/>
      <c r="EB2535" s="223"/>
      <c r="EC2535" s="223"/>
      <c r="ED2535" s="223"/>
      <c r="EE2535" s="223"/>
      <c r="EF2535" s="223"/>
      <c r="EG2535" s="223"/>
      <c r="EH2535" s="223"/>
      <c r="EI2535" s="223"/>
      <c r="EJ2535" s="223"/>
      <c r="EK2535" s="223"/>
      <c r="EL2535" s="223"/>
      <c r="EM2535" s="223"/>
      <c r="EN2535" s="223"/>
      <c r="EO2535" s="223"/>
      <c r="EP2535" s="223"/>
      <c r="EQ2535" s="223"/>
      <c r="ER2535" s="223"/>
      <c r="ES2535" s="223"/>
      <c r="ET2535" s="223"/>
      <c r="EU2535" s="223"/>
      <c r="EV2535" s="223"/>
      <c r="EW2535" s="223"/>
      <c r="EX2535" s="223"/>
      <c r="EY2535" s="223"/>
      <c r="EZ2535" s="223"/>
      <c r="FA2535" s="223"/>
      <c r="FB2535" s="223"/>
      <c r="FC2535" s="223"/>
      <c r="FD2535" s="223"/>
      <c r="FE2535" s="223"/>
      <c r="FF2535" s="223"/>
      <c r="FG2535" s="223"/>
      <c r="FH2535" s="223"/>
      <c r="FI2535" s="223"/>
      <c r="FJ2535" s="223"/>
      <c r="FK2535" s="223"/>
      <c r="FL2535" s="223"/>
      <c r="FM2535" s="223"/>
      <c r="FN2535" s="223"/>
      <c r="FO2535" s="223"/>
      <c r="FP2535" s="223"/>
      <c r="FQ2535" s="223"/>
      <c r="FR2535" s="223"/>
      <c r="FS2535" s="223"/>
      <c r="FT2535" s="223"/>
      <c r="FU2535" s="223"/>
      <c r="FV2535" s="223"/>
      <c r="FW2535" s="223"/>
      <c r="FX2535" s="223"/>
      <c r="FY2535" s="223"/>
      <c r="FZ2535" s="223"/>
      <c r="GA2535" s="223"/>
      <c r="GB2535" s="223"/>
      <c r="GC2535" s="223"/>
      <c r="GD2535" s="223"/>
      <c r="GE2535" s="223"/>
      <c r="GF2535" s="223"/>
      <c r="GG2535" s="223"/>
      <c r="GH2535" s="223"/>
      <c r="GI2535" s="223"/>
      <c r="GJ2535" s="223"/>
      <c r="GK2535" s="223"/>
      <c r="GL2535" s="223"/>
      <c r="GM2535" s="223"/>
      <c r="GN2535" s="223"/>
      <c r="GO2535" s="223"/>
      <c r="GP2535" s="223"/>
      <c r="GQ2535" s="223"/>
      <c r="GR2535" s="223"/>
      <c r="GS2535" s="223"/>
      <c r="GT2535" s="223"/>
      <c r="GU2535" s="223"/>
      <c r="GV2535" s="223"/>
      <c r="GW2535" s="223"/>
      <c r="GX2535" s="223"/>
      <c r="GY2535" s="223"/>
      <c r="GZ2535" s="223"/>
      <c r="HA2535" s="223"/>
      <c r="HB2535" s="223"/>
      <c r="HC2535" s="223"/>
      <c r="HD2535" s="223"/>
      <c r="HE2535" s="223"/>
      <c r="HF2535" s="223"/>
      <c r="HG2535" s="223"/>
      <c r="HH2535" s="223"/>
      <c r="HI2535" s="223"/>
      <c r="HJ2535" s="223"/>
      <c r="HK2535" s="223"/>
      <c r="HL2535" s="223"/>
      <c r="HM2535" s="223"/>
      <c r="HN2535" s="223"/>
      <c r="HO2535" s="223"/>
      <c r="HP2535" s="223"/>
      <c r="HQ2535" s="223"/>
      <c r="HR2535" s="223"/>
      <c r="HS2535" s="223"/>
      <c r="HT2535" s="223"/>
      <c r="HU2535" s="223"/>
      <c r="HV2535" s="223"/>
      <c r="HW2535" s="223"/>
      <c r="HX2535" s="223"/>
      <c r="HY2535" s="223"/>
      <c r="HZ2535" s="223"/>
      <c r="IA2535" s="223"/>
      <c r="IB2535" s="223"/>
      <c r="IC2535" s="223"/>
      <c r="ID2535" s="223"/>
      <c r="IE2535" s="223"/>
      <c r="IF2535" s="223"/>
      <c r="IG2535" s="223"/>
      <c r="IH2535" s="223"/>
      <c r="II2535" s="223"/>
      <c r="IJ2535" s="223"/>
      <c r="IK2535" s="223"/>
      <c r="IL2535" s="223"/>
      <c r="IM2535" s="223"/>
      <c r="IN2535" s="223"/>
      <c r="IO2535" s="223"/>
      <c r="IP2535" s="223"/>
      <c r="IQ2535" s="223"/>
      <c r="IR2535" s="223"/>
      <c r="IS2535" s="223"/>
      <c r="IT2535" s="223"/>
      <c r="IU2535" s="223"/>
      <c r="IV2535" s="223"/>
    </row>
    <row r="2536" spans="22:256" s="221" customFormat="1" x14ac:dyDescent="0.2">
      <c r="V2536" s="223"/>
      <c r="W2536" s="223"/>
      <c r="X2536" s="223"/>
      <c r="Y2536" s="223"/>
      <c r="Z2536" s="223"/>
      <c r="AA2536" s="223"/>
      <c r="AB2536" s="223"/>
      <c r="AC2536" s="223"/>
      <c r="AD2536" s="223"/>
      <c r="AE2536" s="223"/>
      <c r="AF2536" s="223"/>
      <c r="AG2536" s="223"/>
      <c r="AH2536" s="223"/>
      <c r="AI2536" s="223"/>
      <c r="AJ2536" s="223"/>
      <c r="AK2536" s="223"/>
      <c r="AL2536" s="223"/>
      <c r="AM2536" s="223"/>
      <c r="AN2536" s="223"/>
      <c r="AO2536" s="223"/>
      <c r="AP2536" s="223"/>
      <c r="AQ2536" s="223"/>
      <c r="AR2536" s="223"/>
      <c r="AS2536" s="223"/>
      <c r="AT2536" s="324"/>
      <c r="AU2536" s="324"/>
      <c r="AV2536" s="223"/>
      <c r="AW2536" s="223"/>
      <c r="AX2536" s="223"/>
      <c r="AY2536" s="223"/>
      <c r="AZ2536" s="223"/>
      <c r="BA2536" s="223"/>
      <c r="BB2536" s="223"/>
      <c r="BC2536" s="223"/>
      <c r="BD2536" s="223"/>
      <c r="BE2536" s="223"/>
      <c r="BF2536" s="223"/>
      <c r="BG2536" s="223"/>
      <c r="BH2536" s="223"/>
      <c r="BI2536" s="223"/>
      <c r="BJ2536" s="223"/>
      <c r="BK2536" s="223"/>
      <c r="BL2536" s="223"/>
      <c r="BM2536" s="223"/>
      <c r="BN2536" s="223"/>
      <c r="BO2536" s="223"/>
      <c r="BP2536" s="223"/>
      <c r="BQ2536" s="223"/>
      <c r="BR2536" s="223"/>
      <c r="BS2536" s="223"/>
      <c r="BT2536" s="223"/>
      <c r="BU2536" s="223"/>
      <c r="BV2536" s="223"/>
      <c r="BW2536" s="223"/>
      <c r="BX2536" s="223"/>
      <c r="BY2536" s="223"/>
      <c r="BZ2536" s="223"/>
      <c r="CA2536" s="223"/>
      <c r="CB2536" s="223"/>
      <c r="CC2536" s="223"/>
      <c r="CD2536" s="223"/>
      <c r="CE2536" s="223"/>
      <c r="CF2536" s="223"/>
      <c r="CG2536" s="223"/>
      <c r="CH2536" s="223"/>
      <c r="CI2536" s="223"/>
      <c r="CJ2536" s="223"/>
      <c r="CK2536" s="223"/>
      <c r="CL2536" s="223"/>
      <c r="CM2536" s="223"/>
      <c r="CN2536" s="223"/>
      <c r="CO2536" s="223"/>
      <c r="CP2536" s="223"/>
      <c r="CQ2536" s="223"/>
      <c r="CR2536" s="223"/>
      <c r="CS2536" s="223"/>
      <c r="CT2536" s="223"/>
      <c r="CU2536" s="223"/>
      <c r="CV2536" s="223"/>
      <c r="CW2536" s="223"/>
      <c r="CX2536" s="223"/>
      <c r="CY2536" s="223"/>
      <c r="CZ2536" s="223"/>
      <c r="DA2536" s="223"/>
      <c r="DB2536" s="223"/>
      <c r="DC2536" s="223"/>
      <c r="DD2536" s="223"/>
      <c r="DE2536" s="223"/>
      <c r="DF2536" s="223"/>
      <c r="DG2536" s="223"/>
      <c r="DH2536" s="223"/>
      <c r="DI2536" s="223"/>
      <c r="DJ2536" s="223"/>
      <c r="DK2536" s="223"/>
      <c r="DL2536" s="223"/>
      <c r="DM2536" s="223"/>
      <c r="DN2536" s="223"/>
      <c r="DO2536" s="223"/>
      <c r="DP2536" s="223"/>
      <c r="DQ2536" s="223"/>
      <c r="DR2536" s="223"/>
      <c r="DS2536" s="223"/>
      <c r="DT2536" s="223"/>
      <c r="DU2536" s="223"/>
      <c r="DV2536" s="223"/>
      <c r="DW2536" s="223"/>
      <c r="DX2536" s="223"/>
      <c r="DY2536" s="223"/>
      <c r="DZ2536" s="223"/>
      <c r="EA2536" s="223"/>
      <c r="EB2536" s="223"/>
      <c r="EC2536" s="223"/>
      <c r="ED2536" s="223"/>
      <c r="EE2536" s="223"/>
      <c r="EF2536" s="223"/>
      <c r="EG2536" s="223"/>
      <c r="EH2536" s="223"/>
      <c r="EI2536" s="223"/>
      <c r="EJ2536" s="223"/>
      <c r="EK2536" s="223"/>
      <c r="EL2536" s="223"/>
      <c r="EM2536" s="223"/>
      <c r="EN2536" s="223"/>
      <c r="EO2536" s="223"/>
      <c r="EP2536" s="223"/>
      <c r="EQ2536" s="223"/>
      <c r="ER2536" s="223"/>
      <c r="ES2536" s="223"/>
      <c r="ET2536" s="223"/>
      <c r="EU2536" s="223"/>
      <c r="EV2536" s="223"/>
      <c r="EW2536" s="223"/>
      <c r="EX2536" s="223"/>
      <c r="EY2536" s="223"/>
      <c r="EZ2536" s="223"/>
      <c r="FA2536" s="223"/>
      <c r="FB2536" s="223"/>
      <c r="FC2536" s="223"/>
      <c r="FD2536" s="223"/>
      <c r="FE2536" s="223"/>
      <c r="FF2536" s="223"/>
      <c r="FG2536" s="223"/>
      <c r="FH2536" s="223"/>
      <c r="FI2536" s="223"/>
      <c r="FJ2536" s="223"/>
      <c r="FK2536" s="223"/>
      <c r="FL2536" s="223"/>
      <c r="FM2536" s="223"/>
      <c r="FN2536" s="223"/>
      <c r="FO2536" s="223"/>
      <c r="FP2536" s="223"/>
      <c r="FQ2536" s="223"/>
      <c r="FR2536" s="223"/>
      <c r="FS2536" s="223"/>
      <c r="FT2536" s="223"/>
      <c r="FU2536" s="223"/>
      <c r="FV2536" s="223"/>
      <c r="FW2536" s="223"/>
      <c r="FX2536" s="223"/>
      <c r="FY2536" s="223"/>
      <c r="FZ2536" s="223"/>
      <c r="GA2536" s="223"/>
      <c r="GB2536" s="223"/>
      <c r="GC2536" s="223"/>
      <c r="GD2536" s="223"/>
      <c r="GE2536" s="223"/>
      <c r="GF2536" s="223"/>
      <c r="GG2536" s="223"/>
      <c r="GH2536" s="223"/>
      <c r="GI2536" s="223"/>
      <c r="GJ2536" s="223"/>
      <c r="GK2536" s="223"/>
      <c r="GL2536" s="223"/>
      <c r="GM2536" s="223"/>
      <c r="GN2536" s="223"/>
      <c r="GO2536" s="223"/>
      <c r="GP2536" s="223"/>
      <c r="GQ2536" s="223"/>
      <c r="GR2536" s="223"/>
      <c r="GS2536" s="223"/>
      <c r="GT2536" s="223"/>
      <c r="GU2536" s="223"/>
      <c r="GV2536" s="223"/>
      <c r="GW2536" s="223"/>
      <c r="GX2536" s="223"/>
      <c r="GY2536" s="223"/>
      <c r="GZ2536" s="223"/>
      <c r="HA2536" s="223"/>
      <c r="HB2536" s="223"/>
      <c r="HC2536" s="223"/>
      <c r="HD2536" s="223"/>
      <c r="HE2536" s="223"/>
      <c r="HF2536" s="223"/>
      <c r="HG2536" s="223"/>
      <c r="HH2536" s="223"/>
      <c r="HI2536" s="223"/>
      <c r="HJ2536" s="223"/>
      <c r="HK2536" s="223"/>
      <c r="HL2536" s="223"/>
      <c r="HM2536" s="223"/>
      <c r="HN2536" s="223"/>
      <c r="HO2536" s="223"/>
      <c r="HP2536" s="223"/>
      <c r="HQ2536" s="223"/>
      <c r="HR2536" s="223"/>
      <c r="HS2536" s="223"/>
      <c r="HT2536" s="223"/>
      <c r="HU2536" s="223"/>
      <c r="HV2536" s="223"/>
      <c r="HW2536" s="223"/>
      <c r="HX2536" s="223"/>
      <c r="HY2536" s="223"/>
      <c r="HZ2536" s="223"/>
      <c r="IA2536" s="223"/>
      <c r="IB2536" s="223"/>
      <c r="IC2536" s="223"/>
      <c r="ID2536" s="223"/>
      <c r="IE2536" s="223"/>
      <c r="IF2536" s="223"/>
      <c r="IG2536" s="223"/>
      <c r="IH2536" s="223"/>
      <c r="II2536" s="223"/>
      <c r="IJ2536" s="223"/>
      <c r="IK2536" s="223"/>
      <c r="IL2536" s="223"/>
      <c r="IM2536" s="223"/>
      <c r="IN2536" s="223"/>
      <c r="IO2536" s="223"/>
      <c r="IP2536" s="223"/>
      <c r="IQ2536" s="223"/>
      <c r="IR2536" s="223"/>
      <c r="IS2536" s="223"/>
      <c r="IT2536" s="223"/>
      <c r="IU2536" s="223"/>
      <c r="IV2536" s="223"/>
    </row>
    <row r="2537" spans="22:256" s="221" customFormat="1" x14ac:dyDescent="0.2">
      <c r="V2537" s="223"/>
      <c r="W2537" s="223"/>
      <c r="X2537" s="223"/>
      <c r="Y2537" s="223"/>
      <c r="Z2537" s="223"/>
      <c r="AA2537" s="223"/>
      <c r="AB2537" s="223"/>
      <c r="AC2537" s="223"/>
      <c r="AD2537" s="223"/>
      <c r="AE2537" s="223"/>
      <c r="AF2537" s="223"/>
      <c r="AG2537" s="223"/>
      <c r="AH2537" s="223"/>
      <c r="AI2537" s="223"/>
      <c r="AJ2537" s="223"/>
      <c r="AK2537" s="223"/>
      <c r="AL2537" s="223"/>
      <c r="AM2537" s="223"/>
      <c r="AN2537" s="223"/>
      <c r="AO2537" s="223"/>
      <c r="AP2537" s="223"/>
      <c r="AQ2537" s="223"/>
      <c r="AR2537" s="223"/>
      <c r="AS2537" s="223"/>
      <c r="AT2537" s="324"/>
      <c r="AU2537" s="324"/>
      <c r="AV2537" s="223"/>
      <c r="AW2537" s="223"/>
      <c r="AX2537" s="223"/>
      <c r="AY2537" s="223"/>
      <c r="AZ2537" s="223"/>
      <c r="BA2537" s="223"/>
      <c r="BB2537" s="223"/>
      <c r="BC2537" s="223"/>
      <c r="BD2537" s="223"/>
      <c r="BE2537" s="223"/>
      <c r="BF2537" s="223"/>
      <c r="BG2537" s="223"/>
      <c r="BH2537" s="223"/>
      <c r="BI2537" s="223"/>
      <c r="BJ2537" s="223"/>
      <c r="BK2537" s="223"/>
      <c r="BL2537" s="223"/>
      <c r="BM2537" s="223"/>
      <c r="BN2537" s="223"/>
      <c r="BO2537" s="223"/>
      <c r="BP2537" s="223"/>
      <c r="BQ2537" s="223"/>
      <c r="BR2537" s="223"/>
      <c r="BS2537" s="223"/>
      <c r="BT2537" s="223"/>
      <c r="BU2537" s="223"/>
      <c r="BV2537" s="223"/>
      <c r="BW2537" s="223"/>
      <c r="BX2537" s="223"/>
      <c r="BY2537" s="223"/>
      <c r="BZ2537" s="223"/>
      <c r="CA2537" s="223"/>
      <c r="CB2537" s="223"/>
      <c r="CC2537" s="223"/>
      <c r="CD2537" s="223"/>
      <c r="CE2537" s="223"/>
      <c r="CF2537" s="223"/>
      <c r="CG2537" s="223"/>
      <c r="CH2537" s="223"/>
      <c r="CI2537" s="223"/>
      <c r="CJ2537" s="223"/>
      <c r="CK2537" s="223"/>
      <c r="CL2537" s="223"/>
      <c r="CM2537" s="223"/>
      <c r="CN2537" s="223"/>
      <c r="CO2537" s="223"/>
      <c r="CP2537" s="223"/>
      <c r="CQ2537" s="223"/>
      <c r="CR2537" s="223"/>
      <c r="CS2537" s="223"/>
      <c r="CT2537" s="223"/>
      <c r="CU2537" s="223"/>
      <c r="CV2537" s="223"/>
      <c r="CW2537" s="223"/>
      <c r="CX2537" s="223"/>
      <c r="CY2537" s="223"/>
      <c r="CZ2537" s="223"/>
      <c r="DA2537" s="223"/>
      <c r="DB2537" s="223"/>
      <c r="DC2537" s="223"/>
      <c r="DD2537" s="223"/>
      <c r="DE2537" s="223"/>
      <c r="DF2537" s="223"/>
      <c r="DG2537" s="223"/>
      <c r="DH2537" s="223"/>
      <c r="DI2537" s="223"/>
      <c r="DJ2537" s="223"/>
      <c r="DK2537" s="223"/>
      <c r="DL2537" s="223"/>
      <c r="DM2537" s="223"/>
      <c r="DN2537" s="223"/>
      <c r="DO2537" s="223"/>
      <c r="DP2537" s="223"/>
      <c r="DQ2537" s="223"/>
      <c r="DR2537" s="223"/>
      <c r="DS2537" s="223"/>
      <c r="DT2537" s="223"/>
      <c r="DU2537" s="223"/>
      <c r="DV2537" s="223"/>
      <c r="DW2537" s="223"/>
      <c r="DX2537" s="223"/>
      <c r="DY2537" s="223"/>
      <c r="DZ2537" s="223"/>
      <c r="EA2537" s="223"/>
      <c r="EB2537" s="223"/>
      <c r="EC2537" s="223"/>
      <c r="ED2537" s="223"/>
      <c r="EE2537" s="223"/>
      <c r="EF2537" s="223"/>
      <c r="EG2537" s="223"/>
      <c r="EH2537" s="223"/>
      <c r="EI2537" s="223"/>
      <c r="EJ2537" s="223"/>
      <c r="EK2537" s="223"/>
      <c r="EL2537" s="223"/>
      <c r="EM2537" s="223"/>
      <c r="EN2537" s="223"/>
      <c r="EO2537" s="223"/>
      <c r="EP2537" s="223"/>
      <c r="EQ2537" s="223"/>
      <c r="ER2537" s="223"/>
      <c r="ES2537" s="223"/>
      <c r="ET2537" s="223"/>
      <c r="EU2537" s="223"/>
      <c r="EV2537" s="223"/>
      <c r="EW2537" s="223"/>
      <c r="EX2537" s="223"/>
      <c r="EY2537" s="223"/>
      <c r="EZ2537" s="223"/>
      <c r="FA2537" s="223"/>
      <c r="FB2537" s="223"/>
      <c r="FC2537" s="223"/>
      <c r="FD2537" s="223"/>
      <c r="FE2537" s="223"/>
      <c r="FF2537" s="223"/>
      <c r="FG2537" s="223"/>
      <c r="FH2537" s="223"/>
      <c r="FI2537" s="223"/>
      <c r="FJ2537" s="223"/>
      <c r="FK2537" s="223"/>
      <c r="FL2537" s="223"/>
      <c r="FM2537" s="223"/>
      <c r="FN2537" s="223"/>
      <c r="FO2537" s="223"/>
      <c r="FP2537" s="223"/>
      <c r="FQ2537" s="223"/>
      <c r="FR2537" s="223"/>
      <c r="FS2537" s="223"/>
      <c r="FT2537" s="223"/>
      <c r="FU2537" s="223"/>
      <c r="FV2537" s="223"/>
      <c r="FW2537" s="223"/>
      <c r="FX2537" s="223"/>
      <c r="FY2537" s="223"/>
      <c r="FZ2537" s="223"/>
      <c r="GA2537" s="223"/>
      <c r="GB2537" s="223"/>
      <c r="GC2537" s="223"/>
      <c r="GD2537" s="223"/>
      <c r="GE2537" s="223"/>
      <c r="GF2537" s="223"/>
      <c r="GG2537" s="223"/>
      <c r="GH2537" s="223"/>
      <c r="GI2537" s="223"/>
      <c r="GJ2537" s="223"/>
      <c r="GK2537" s="223"/>
      <c r="GL2537" s="223"/>
      <c r="GM2537" s="223"/>
      <c r="GN2537" s="223"/>
      <c r="GO2537" s="223"/>
      <c r="GP2537" s="223"/>
      <c r="GQ2537" s="223"/>
      <c r="GR2537" s="223"/>
      <c r="GS2537" s="223"/>
      <c r="GT2537" s="223"/>
      <c r="GU2537" s="223"/>
      <c r="GV2537" s="223"/>
      <c r="GW2537" s="223"/>
      <c r="GX2537" s="223"/>
      <c r="GY2537" s="223"/>
      <c r="GZ2537" s="223"/>
      <c r="HA2537" s="223"/>
      <c r="HB2537" s="223"/>
      <c r="HC2537" s="223"/>
      <c r="HD2537" s="223"/>
      <c r="HE2537" s="223"/>
      <c r="HF2537" s="223"/>
      <c r="HG2537" s="223"/>
      <c r="HH2537" s="223"/>
      <c r="HI2537" s="223"/>
      <c r="HJ2537" s="223"/>
      <c r="HK2537" s="223"/>
      <c r="HL2537" s="223"/>
      <c r="HM2537" s="223"/>
      <c r="HN2537" s="223"/>
      <c r="HO2537" s="223"/>
      <c r="HP2537" s="223"/>
      <c r="HQ2537" s="223"/>
      <c r="HR2537" s="223"/>
      <c r="HS2537" s="223"/>
      <c r="HT2537" s="223"/>
      <c r="HU2537" s="223"/>
      <c r="HV2537" s="223"/>
      <c r="HW2537" s="223"/>
      <c r="HX2537" s="223"/>
      <c r="HY2537" s="223"/>
      <c r="HZ2537" s="223"/>
      <c r="IA2537" s="223"/>
      <c r="IB2537" s="223"/>
      <c r="IC2537" s="223"/>
      <c r="ID2537" s="223"/>
      <c r="IE2537" s="223"/>
      <c r="IF2537" s="223"/>
      <c r="IG2537" s="223"/>
      <c r="IH2537" s="223"/>
      <c r="II2537" s="223"/>
      <c r="IJ2537" s="223"/>
      <c r="IK2537" s="223"/>
      <c r="IL2537" s="223"/>
      <c r="IM2537" s="223"/>
      <c r="IN2537" s="223"/>
      <c r="IO2537" s="223"/>
      <c r="IP2537" s="223"/>
      <c r="IQ2537" s="223"/>
      <c r="IR2537" s="223"/>
      <c r="IS2537" s="223"/>
      <c r="IT2537" s="223"/>
      <c r="IU2537" s="223"/>
      <c r="IV2537" s="223"/>
    </row>
    <row r="2538" spans="22:256" s="221" customFormat="1" x14ac:dyDescent="0.2">
      <c r="V2538" s="223"/>
      <c r="W2538" s="223"/>
      <c r="X2538" s="223"/>
      <c r="Y2538" s="223"/>
      <c r="Z2538" s="223"/>
      <c r="AA2538" s="223"/>
      <c r="AB2538" s="223"/>
      <c r="AC2538" s="223"/>
      <c r="AD2538" s="223"/>
      <c r="AE2538" s="223"/>
      <c r="AF2538" s="223"/>
      <c r="AG2538" s="223"/>
      <c r="AH2538" s="223"/>
      <c r="AI2538" s="223"/>
      <c r="AJ2538" s="223"/>
      <c r="AK2538" s="223"/>
      <c r="AL2538" s="223"/>
      <c r="AM2538" s="223"/>
      <c r="AN2538" s="223"/>
      <c r="AO2538" s="223"/>
      <c r="AP2538" s="223"/>
      <c r="AQ2538" s="223"/>
      <c r="AR2538" s="223"/>
      <c r="AS2538" s="223"/>
      <c r="AT2538" s="324"/>
      <c r="AU2538" s="324"/>
      <c r="AV2538" s="223"/>
      <c r="AW2538" s="223"/>
      <c r="AX2538" s="223"/>
      <c r="AY2538" s="223"/>
      <c r="AZ2538" s="223"/>
      <c r="BA2538" s="223"/>
      <c r="BB2538" s="223"/>
      <c r="BC2538" s="223"/>
      <c r="BD2538" s="223"/>
      <c r="BE2538" s="223"/>
      <c r="BF2538" s="223"/>
      <c r="BG2538" s="223"/>
      <c r="BH2538" s="223"/>
      <c r="BI2538" s="223"/>
      <c r="BJ2538" s="223"/>
      <c r="BK2538" s="223"/>
      <c r="BL2538" s="223"/>
      <c r="BM2538" s="223"/>
      <c r="BN2538" s="223"/>
      <c r="BO2538" s="223"/>
      <c r="BP2538" s="223"/>
      <c r="BQ2538" s="223"/>
      <c r="BR2538" s="223"/>
      <c r="BS2538" s="223"/>
      <c r="BT2538" s="223"/>
      <c r="BU2538" s="223"/>
      <c r="BV2538" s="223"/>
      <c r="BW2538" s="223"/>
      <c r="BX2538" s="223"/>
      <c r="BY2538" s="223"/>
      <c r="BZ2538" s="223"/>
      <c r="CA2538" s="223"/>
      <c r="CB2538" s="223"/>
      <c r="CC2538" s="223"/>
      <c r="CD2538" s="223"/>
      <c r="CE2538" s="223"/>
      <c r="CF2538" s="223"/>
      <c r="CG2538" s="223"/>
      <c r="CH2538" s="223"/>
      <c r="CI2538" s="223"/>
      <c r="CJ2538" s="223"/>
      <c r="CK2538" s="223"/>
      <c r="CL2538" s="223"/>
      <c r="CM2538" s="223"/>
      <c r="CN2538" s="223"/>
      <c r="CO2538" s="223"/>
      <c r="CP2538" s="223"/>
      <c r="CQ2538" s="223"/>
      <c r="CR2538" s="223"/>
      <c r="CS2538" s="223"/>
      <c r="CT2538" s="223"/>
      <c r="CU2538" s="223"/>
      <c r="CV2538" s="223"/>
      <c r="CW2538" s="223"/>
      <c r="CX2538" s="223"/>
      <c r="CY2538" s="223"/>
      <c r="CZ2538" s="223"/>
      <c r="DA2538" s="223"/>
      <c r="DB2538" s="223"/>
      <c r="DC2538" s="223"/>
      <c r="DD2538" s="223"/>
      <c r="DE2538" s="223"/>
      <c r="DF2538" s="223"/>
      <c r="DG2538" s="223"/>
      <c r="DH2538" s="223"/>
      <c r="DI2538" s="223"/>
      <c r="DJ2538" s="223"/>
      <c r="DK2538" s="223"/>
      <c r="DL2538" s="223"/>
      <c r="DM2538" s="223"/>
      <c r="DN2538" s="223"/>
      <c r="DO2538" s="223"/>
      <c r="DP2538" s="223"/>
      <c r="DQ2538" s="223"/>
      <c r="DR2538" s="223"/>
      <c r="DS2538" s="223"/>
      <c r="DT2538" s="223"/>
      <c r="DU2538" s="223"/>
      <c r="DV2538" s="223"/>
      <c r="DW2538" s="223"/>
      <c r="DX2538" s="223"/>
      <c r="DY2538" s="223"/>
      <c r="DZ2538" s="223"/>
      <c r="EA2538" s="223"/>
      <c r="EB2538" s="223"/>
      <c r="EC2538" s="223"/>
      <c r="ED2538" s="223"/>
      <c r="EE2538" s="223"/>
      <c r="EF2538" s="223"/>
      <c r="EG2538" s="223"/>
      <c r="EH2538" s="223"/>
      <c r="EI2538" s="223"/>
      <c r="EJ2538" s="223"/>
      <c r="EK2538" s="223"/>
      <c r="EL2538" s="223"/>
      <c r="EM2538" s="223"/>
      <c r="EN2538" s="223"/>
      <c r="EO2538" s="223"/>
      <c r="EP2538" s="223"/>
      <c r="EQ2538" s="223"/>
      <c r="ER2538" s="223"/>
      <c r="ES2538" s="223"/>
      <c r="ET2538" s="223"/>
      <c r="EU2538" s="223"/>
      <c r="EV2538" s="223"/>
      <c r="EW2538" s="223"/>
      <c r="EX2538" s="223"/>
      <c r="EY2538" s="223"/>
      <c r="EZ2538" s="223"/>
      <c r="FA2538" s="223"/>
      <c r="FB2538" s="223"/>
      <c r="FC2538" s="223"/>
      <c r="FD2538" s="223"/>
      <c r="FE2538" s="223"/>
      <c r="FF2538" s="223"/>
      <c r="FG2538" s="223"/>
      <c r="FH2538" s="223"/>
      <c r="FI2538" s="223"/>
      <c r="FJ2538" s="223"/>
      <c r="FK2538" s="223"/>
      <c r="FL2538" s="223"/>
      <c r="FM2538" s="223"/>
      <c r="FN2538" s="223"/>
      <c r="FO2538" s="223"/>
      <c r="FP2538" s="223"/>
      <c r="FQ2538" s="223"/>
      <c r="FR2538" s="223"/>
      <c r="FS2538" s="223"/>
      <c r="FT2538" s="223"/>
      <c r="FU2538" s="223"/>
      <c r="FV2538" s="223"/>
      <c r="FW2538" s="223"/>
      <c r="FX2538" s="223"/>
      <c r="FY2538" s="223"/>
      <c r="FZ2538" s="223"/>
      <c r="GA2538" s="223"/>
      <c r="GB2538" s="223"/>
      <c r="GC2538" s="223"/>
      <c r="GD2538" s="223"/>
      <c r="GE2538" s="223"/>
      <c r="GF2538" s="223"/>
      <c r="GG2538" s="223"/>
      <c r="GH2538" s="223"/>
      <c r="GI2538" s="223"/>
      <c r="GJ2538" s="223"/>
      <c r="GK2538" s="223"/>
      <c r="GL2538" s="223"/>
      <c r="GM2538" s="223"/>
      <c r="GN2538" s="223"/>
      <c r="GO2538" s="223"/>
      <c r="GP2538" s="223"/>
      <c r="GQ2538" s="223"/>
      <c r="GR2538" s="223"/>
      <c r="GS2538" s="223"/>
      <c r="GT2538" s="223"/>
      <c r="GU2538" s="223"/>
      <c r="GV2538" s="223"/>
      <c r="GW2538" s="223"/>
      <c r="GX2538" s="223"/>
      <c r="GY2538" s="223"/>
      <c r="GZ2538" s="223"/>
      <c r="HA2538" s="223"/>
      <c r="HB2538" s="223"/>
      <c r="HC2538" s="223"/>
      <c r="HD2538" s="223"/>
      <c r="HE2538" s="223"/>
      <c r="HF2538" s="223"/>
      <c r="HG2538" s="223"/>
      <c r="HH2538" s="223"/>
      <c r="HI2538" s="223"/>
      <c r="HJ2538" s="223"/>
      <c r="HK2538" s="223"/>
      <c r="HL2538" s="223"/>
      <c r="HM2538" s="223"/>
      <c r="HN2538" s="223"/>
      <c r="HO2538" s="223"/>
      <c r="HP2538" s="223"/>
      <c r="HQ2538" s="223"/>
      <c r="HR2538" s="223"/>
      <c r="HS2538" s="223"/>
      <c r="HT2538" s="223"/>
      <c r="HU2538" s="223"/>
      <c r="HV2538" s="223"/>
      <c r="HW2538" s="223"/>
      <c r="HX2538" s="223"/>
      <c r="HY2538" s="223"/>
      <c r="HZ2538" s="223"/>
      <c r="IA2538" s="223"/>
      <c r="IB2538" s="223"/>
      <c r="IC2538" s="223"/>
      <c r="ID2538" s="223"/>
      <c r="IE2538" s="223"/>
      <c r="IF2538" s="223"/>
      <c r="IG2538" s="223"/>
      <c r="IH2538" s="223"/>
      <c r="II2538" s="223"/>
      <c r="IJ2538" s="223"/>
      <c r="IK2538" s="223"/>
      <c r="IL2538" s="223"/>
      <c r="IM2538" s="223"/>
      <c r="IN2538" s="223"/>
      <c r="IO2538" s="223"/>
      <c r="IP2538" s="223"/>
      <c r="IQ2538" s="223"/>
      <c r="IR2538" s="223"/>
      <c r="IS2538" s="223"/>
      <c r="IT2538" s="223"/>
      <c r="IU2538" s="223"/>
      <c r="IV2538" s="223"/>
    </row>
    <row r="2539" spans="22:256" s="221" customFormat="1" x14ac:dyDescent="0.2">
      <c r="V2539" s="223"/>
      <c r="W2539" s="223"/>
      <c r="X2539" s="223"/>
      <c r="Y2539" s="223"/>
      <c r="Z2539" s="223"/>
      <c r="AA2539" s="223"/>
      <c r="AB2539" s="223"/>
      <c r="AC2539" s="223"/>
      <c r="AD2539" s="223"/>
      <c r="AE2539" s="223"/>
      <c r="AF2539" s="223"/>
      <c r="AG2539" s="223"/>
      <c r="AH2539" s="223"/>
      <c r="AI2539" s="223"/>
      <c r="AJ2539" s="223"/>
      <c r="AK2539" s="223"/>
      <c r="AL2539" s="223"/>
      <c r="AM2539" s="223"/>
      <c r="AN2539" s="223"/>
      <c r="AO2539" s="223"/>
      <c r="AP2539" s="223"/>
      <c r="AQ2539" s="223"/>
      <c r="AR2539" s="223"/>
      <c r="AS2539" s="223"/>
      <c r="AT2539" s="324"/>
      <c r="AU2539" s="324"/>
      <c r="AV2539" s="223"/>
      <c r="AW2539" s="223"/>
      <c r="AX2539" s="223"/>
      <c r="AY2539" s="223"/>
      <c r="AZ2539" s="223"/>
      <c r="BA2539" s="223"/>
      <c r="BB2539" s="223"/>
      <c r="BC2539" s="223"/>
      <c r="BD2539" s="223"/>
      <c r="BE2539" s="223"/>
      <c r="BF2539" s="223"/>
      <c r="BG2539" s="223"/>
      <c r="BH2539" s="223"/>
      <c r="BI2539" s="223"/>
      <c r="BJ2539" s="223"/>
      <c r="BK2539" s="223"/>
      <c r="BL2539" s="223"/>
      <c r="BM2539" s="223"/>
      <c r="BN2539" s="223"/>
      <c r="BO2539" s="223"/>
      <c r="BP2539" s="223"/>
      <c r="BQ2539" s="223"/>
      <c r="BR2539" s="223"/>
      <c r="BS2539" s="223"/>
      <c r="BT2539" s="223"/>
      <c r="BU2539" s="223"/>
      <c r="BV2539" s="223"/>
      <c r="BW2539" s="223"/>
      <c r="BX2539" s="223"/>
      <c r="BY2539" s="223"/>
      <c r="BZ2539" s="223"/>
      <c r="CA2539" s="223"/>
      <c r="CB2539" s="223"/>
      <c r="CC2539" s="223"/>
      <c r="CD2539" s="223"/>
      <c r="CE2539" s="223"/>
      <c r="CF2539" s="223"/>
      <c r="CG2539" s="223"/>
      <c r="CH2539" s="223"/>
      <c r="CI2539" s="223"/>
      <c r="CJ2539" s="223"/>
      <c r="CK2539" s="223"/>
      <c r="CL2539" s="223"/>
      <c r="CM2539" s="223"/>
      <c r="CN2539" s="223"/>
      <c r="CO2539" s="223"/>
      <c r="CP2539" s="223"/>
      <c r="CQ2539" s="223"/>
      <c r="CR2539" s="223"/>
      <c r="CS2539" s="223"/>
      <c r="CT2539" s="223"/>
      <c r="CU2539" s="223"/>
      <c r="CV2539" s="223"/>
      <c r="CW2539" s="223"/>
      <c r="CX2539" s="223"/>
      <c r="CY2539" s="223"/>
      <c r="CZ2539" s="223"/>
      <c r="DA2539" s="223"/>
      <c r="DB2539" s="223"/>
      <c r="DC2539" s="223"/>
      <c r="DD2539" s="223"/>
      <c r="DE2539" s="223"/>
      <c r="DF2539" s="223"/>
      <c r="DG2539" s="223"/>
      <c r="DH2539" s="223"/>
      <c r="DI2539" s="223"/>
      <c r="DJ2539" s="223"/>
      <c r="DK2539" s="223"/>
      <c r="DL2539" s="223"/>
      <c r="DM2539" s="223"/>
      <c r="DN2539" s="223"/>
      <c r="DO2539" s="223"/>
      <c r="DP2539" s="223"/>
      <c r="DQ2539" s="223"/>
      <c r="DR2539" s="223"/>
      <c r="DS2539" s="223"/>
      <c r="DT2539" s="223"/>
      <c r="DU2539" s="223"/>
      <c r="DV2539" s="223"/>
      <c r="DW2539" s="223"/>
      <c r="DX2539" s="223"/>
      <c r="DY2539" s="223"/>
      <c r="DZ2539" s="223"/>
      <c r="EA2539" s="223"/>
      <c r="EB2539" s="223"/>
      <c r="EC2539" s="223"/>
      <c r="ED2539" s="223"/>
      <c r="EE2539" s="223"/>
      <c r="EF2539" s="223"/>
      <c r="EG2539" s="223"/>
      <c r="EH2539" s="223"/>
      <c r="EI2539" s="223"/>
      <c r="EJ2539" s="223"/>
      <c r="EK2539" s="223"/>
      <c r="EL2539" s="223"/>
      <c r="EM2539" s="223"/>
      <c r="EN2539" s="223"/>
      <c r="EO2539" s="223"/>
      <c r="EP2539" s="223"/>
      <c r="EQ2539" s="223"/>
      <c r="ER2539" s="223"/>
      <c r="ES2539" s="223"/>
      <c r="ET2539" s="223"/>
      <c r="EU2539" s="223"/>
      <c r="EV2539" s="223"/>
      <c r="EW2539" s="223"/>
      <c r="EX2539" s="223"/>
      <c r="EY2539" s="223"/>
      <c r="EZ2539" s="223"/>
      <c r="FA2539" s="223"/>
      <c r="FB2539" s="223"/>
      <c r="FC2539" s="223"/>
      <c r="FD2539" s="223"/>
      <c r="FE2539" s="223"/>
      <c r="FF2539" s="223"/>
      <c r="FG2539" s="223"/>
      <c r="FH2539" s="223"/>
      <c r="FI2539" s="223"/>
      <c r="FJ2539" s="223"/>
      <c r="FK2539" s="223"/>
      <c r="FL2539" s="223"/>
      <c r="FM2539" s="223"/>
      <c r="FN2539" s="223"/>
      <c r="FO2539" s="223"/>
      <c r="FP2539" s="223"/>
      <c r="FQ2539" s="223"/>
      <c r="FR2539" s="223"/>
      <c r="FS2539" s="223"/>
      <c r="FT2539" s="223"/>
      <c r="FU2539" s="223"/>
      <c r="FV2539" s="223"/>
      <c r="FW2539" s="223"/>
      <c r="FX2539" s="223"/>
      <c r="FY2539" s="223"/>
      <c r="FZ2539" s="223"/>
      <c r="GA2539" s="223"/>
      <c r="GB2539" s="223"/>
      <c r="GC2539" s="223"/>
      <c r="GD2539" s="223"/>
      <c r="GE2539" s="223"/>
      <c r="GF2539" s="223"/>
      <c r="GG2539" s="223"/>
      <c r="GH2539" s="223"/>
      <c r="GI2539" s="223"/>
      <c r="GJ2539" s="223"/>
      <c r="GK2539" s="223"/>
      <c r="GL2539" s="223"/>
      <c r="GM2539" s="223"/>
      <c r="GN2539" s="223"/>
      <c r="GO2539" s="223"/>
      <c r="GP2539" s="223"/>
      <c r="GQ2539" s="223"/>
      <c r="GR2539" s="223"/>
      <c r="GS2539" s="223"/>
      <c r="GT2539" s="223"/>
      <c r="GU2539" s="223"/>
      <c r="GV2539" s="223"/>
      <c r="GW2539" s="223"/>
      <c r="GX2539" s="223"/>
      <c r="GY2539" s="223"/>
      <c r="GZ2539" s="223"/>
      <c r="HA2539" s="223"/>
      <c r="HB2539" s="223"/>
      <c r="HC2539" s="223"/>
      <c r="HD2539" s="223"/>
      <c r="HE2539" s="223"/>
      <c r="HF2539" s="223"/>
      <c r="HG2539" s="223"/>
      <c r="HH2539" s="223"/>
      <c r="HI2539" s="223"/>
      <c r="HJ2539" s="223"/>
      <c r="HK2539" s="223"/>
      <c r="HL2539" s="223"/>
      <c r="HM2539" s="223"/>
      <c r="HN2539" s="223"/>
      <c r="HO2539" s="223"/>
      <c r="HP2539" s="223"/>
      <c r="HQ2539" s="223"/>
      <c r="HR2539" s="223"/>
      <c r="HS2539" s="223"/>
      <c r="HT2539" s="223"/>
      <c r="HU2539" s="223"/>
      <c r="HV2539" s="223"/>
      <c r="HW2539" s="223"/>
      <c r="HX2539" s="223"/>
      <c r="HY2539" s="223"/>
      <c r="HZ2539" s="223"/>
      <c r="IA2539" s="223"/>
      <c r="IB2539" s="223"/>
      <c r="IC2539" s="223"/>
      <c r="ID2539" s="223"/>
      <c r="IE2539" s="223"/>
      <c r="IF2539" s="223"/>
      <c r="IG2539" s="223"/>
      <c r="IH2539" s="223"/>
      <c r="II2539" s="223"/>
      <c r="IJ2539" s="223"/>
      <c r="IK2539" s="223"/>
      <c r="IL2539" s="223"/>
      <c r="IM2539" s="223"/>
      <c r="IN2539" s="223"/>
      <c r="IO2539" s="223"/>
      <c r="IP2539" s="223"/>
      <c r="IQ2539" s="223"/>
      <c r="IR2539" s="223"/>
      <c r="IS2539" s="223"/>
      <c r="IT2539" s="223"/>
      <c r="IU2539" s="223"/>
      <c r="IV2539" s="223"/>
    </row>
    <row r="2540" spans="22:256" s="221" customFormat="1" x14ac:dyDescent="0.2">
      <c r="V2540" s="223"/>
      <c r="W2540" s="223"/>
      <c r="X2540" s="223"/>
      <c r="Y2540" s="223"/>
      <c r="Z2540" s="223"/>
      <c r="AA2540" s="223"/>
      <c r="AB2540" s="223"/>
      <c r="AC2540" s="223"/>
      <c r="AD2540" s="223"/>
      <c r="AE2540" s="223"/>
      <c r="AF2540" s="223"/>
      <c r="AG2540" s="223"/>
      <c r="AH2540" s="223"/>
      <c r="AI2540" s="223"/>
      <c r="AJ2540" s="223"/>
      <c r="AK2540" s="223"/>
      <c r="AL2540" s="223"/>
      <c r="AM2540" s="223"/>
      <c r="AN2540" s="223"/>
      <c r="AO2540" s="223"/>
      <c r="AP2540" s="223"/>
      <c r="AQ2540" s="223"/>
      <c r="AR2540" s="223"/>
      <c r="AS2540" s="223"/>
      <c r="AT2540" s="324"/>
      <c r="AU2540" s="324"/>
      <c r="AV2540" s="223"/>
      <c r="AW2540" s="223"/>
      <c r="AX2540" s="223"/>
      <c r="AY2540" s="223"/>
      <c r="AZ2540" s="223"/>
      <c r="BA2540" s="223"/>
      <c r="BB2540" s="223"/>
      <c r="BC2540" s="223"/>
      <c r="BD2540" s="223"/>
      <c r="BE2540" s="223"/>
      <c r="BF2540" s="223"/>
      <c r="BG2540" s="223"/>
      <c r="BH2540" s="223"/>
      <c r="BI2540" s="223"/>
      <c r="BJ2540" s="223"/>
      <c r="BK2540" s="223"/>
      <c r="BL2540" s="223"/>
      <c r="BM2540" s="223"/>
      <c r="BN2540" s="223"/>
      <c r="BO2540" s="223"/>
      <c r="BP2540" s="223"/>
      <c r="BQ2540" s="223"/>
      <c r="BR2540" s="223"/>
      <c r="BS2540" s="223"/>
      <c r="BT2540" s="223"/>
      <c r="BU2540" s="223"/>
      <c r="BV2540" s="223"/>
      <c r="BW2540" s="223"/>
      <c r="BX2540" s="223"/>
      <c r="BY2540" s="223"/>
      <c r="BZ2540" s="223"/>
      <c r="CA2540" s="223"/>
      <c r="CB2540" s="223"/>
      <c r="CC2540" s="223"/>
      <c r="CD2540" s="223"/>
      <c r="CE2540" s="223"/>
      <c r="CF2540" s="223"/>
      <c r="CG2540" s="223"/>
      <c r="CH2540" s="223"/>
      <c r="CI2540" s="223"/>
      <c r="CJ2540" s="223"/>
      <c r="CK2540" s="223"/>
      <c r="CL2540" s="223"/>
      <c r="CM2540" s="223"/>
      <c r="CN2540" s="223"/>
      <c r="CO2540" s="223"/>
      <c r="CP2540" s="223"/>
      <c r="CQ2540" s="223"/>
      <c r="CR2540" s="223"/>
      <c r="CS2540" s="223"/>
      <c r="CT2540" s="223"/>
      <c r="CU2540" s="223"/>
      <c r="CV2540" s="223"/>
      <c r="CW2540" s="223"/>
      <c r="CX2540" s="223"/>
      <c r="CY2540" s="223"/>
      <c r="CZ2540" s="223"/>
      <c r="DA2540" s="223"/>
      <c r="DB2540" s="223"/>
      <c r="DC2540" s="223"/>
      <c r="DD2540" s="223"/>
      <c r="DE2540" s="223"/>
      <c r="DF2540" s="223"/>
      <c r="DG2540" s="223"/>
      <c r="DH2540" s="223"/>
      <c r="DI2540" s="223"/>
      <c r="DJ2540" s="223"/>
      <c r="DK2540" s="223"/>
      <c r="DL2540" s="223"/>
      <c r="DM2540" s="223"/>
      <c r="DN2540" s="223"/>
      <c r="DO2540" s="223"/>
      <c r="DP2540" s="223"/>
      <c r="DQ2540" s="223"/>
      <c r="DR2540" s="223"/>
      <c r="DS2540" s="223"/>
      <c r="DT2540" s="223"/>
      <c r="DU2540" s="223"/>
      <c r="DV2540" s="223"/>
      <c r="DW2540" s="223"/>
      <c r="DX2540" s="223"/>
      <c r="DY2540" s="223"/>
      <c r="DZ2540" s="223"/>
      <c r="EA2540" s="223"/>
      <c r="EB2540" s="223"/>
      <c r="EC2540" s="223"/>
      <c r="ED2540" s="223"/>
      <c r="EE2540" s="223"/>
      <c r="EF2540" s="223"/>
      <c r="EG2540" s="223"/>
      <c r="EH2540" s="223"/>
      <c r="EI2540" s="223"/>
      <c r="EJ2540" s="223"/>
      <c r="EK2540" s="223"/>
      <c r="EL2540" s="223"/>
      <c r="EM2540" s="223"/>
      <c r="EN2540" s="223"/>
      <c r="EO2540" s="223"/>
      <c r="EP2540" s="223"/>
      <c r="EQ2540" s="223"/>
      <c r="ER2540" s="223"/>
      <c r="ES2540" s="223"/>
      <c r="ET2540" s="223"/>
      <c r="EU2540" s="223"/>
      <c r="EV2540" s="223"/>
      <c r="EW2540" s="223"/>
      <c r="EX2540" s="223"/>
      <c r="EY2540" s="223"/>
      <c r="EZ2540" s="223"/>
      <c r="FA2540" s="223"/>
      <c r="FB2540" s="223"/>
      <c r="FC2540" s="223"/>
      <c r="FD2540" s="223"/>
      <c r="FE2540" s="223"/>
      <c r="FF2540" s="223"/>
      <c r="FG2540" s="223"/>
      <c r="FH2540" s="223"/>
      <c r="FI2540" s="223"/>
      <c r="FJ2540" s="223"/>
      <c r="FK2540" s="223"/>
      <c r="FL2540" s="223"/>
      <c r="FM2540" s="223"/>
      <c r="FN2540" s="223"/>
      <c r="FO2540" s="223"/>
      <c r="FP2540" s="223"/>
      <c r="FQ2540" s="223"/>
      <c r="FR2540" s="223"/>
      <c r="FS2540" s="223"/>
      <c r="FT2540" s="223"/>
      <c r="FU2540" s="223"/>
      <c r="FV2540" s="223"/>
      <c r="FW2540" s="223"/>
      <c r="FX2540" s="223"/>
      <c r="FY2540" s="223"/>
      <c r="FZ2540" s="223"/>
      <c r="GA2540" s="223"/>
      <c r="GB2540" s="223"/>
      <c r="GC2540" s="223"/>
      <c r="GD2540" s="223"/>
      <c r="GE2540" s="223"/>
      <c r="GF2540" s="223"/>
      <c r="GG2540" s="223"/>
      <c r="GH2540" s="223"/>
      <c r="GI2540" s="223"/>
      <c r="GJ2540" s="223"/>
      <c r="GK2540" s="223"/>
      <c r="GL2540" s="223"/>
      <c r="GM2540" s="223"/>
      <c r="GN2540" s="223"/>
      <c r="GO2540" s="223"/>
      <c r="GP2540" s="223"/>
      <c r="GQ2540" s="223"/>
      <c r="GR2540" s="223"/>
      <c r="GS2540" s="223"/>
      <c r="GT2540" s="223"/>
      <c r="GU2540" s="223"/>
      <c r="GV2540" s="223"/>
      <c r="GW2540" s="223"/>
      <c r="GX2540" s="223"/>
      <c r="GY2540" s="223"/>
      <c r="GZ2540" s="223"/>
      <c r="HA2540" s="223"/>
      <c r="HB2540" s="223"/>
      <c r="HC2540" s="223"/>
      <c r="HD2540" s="223"/>
      <c r="HE2540" s="223"/>
      <c r="HF2540" s="223"/>
      <c r="HG2540" s="223"/>
      <c r="HH2540" s="223"/>
      <c r="HI2540" s="223"/>
      <c r="HJ2540" s="223"/>
      <c r="HK2540" s="223"/>
      <c r="HL2540" s="223"/>
      <c r="HM2540" s="223"/>
      <c r="HN2540" s="223"/>
      <c r="HO2540" s="223"/>
      <c r="HP2540" s="223"/>
      <c r="HQ2540" s="223"/>
      <c r="HR2540" s="223"/>
      <c r="HS2540" s="223"/>
      <c r="HT2540" s="223"/>
      <c r="HU2540" s="223"/>
      <c r="HV2540" s="223"/>
      <c r="HW2540" s="223"/>
      <c r="HX2540" s="223"/>
      <c r="HY2540" s="223"/>
      <c r="HZ2540" s="223"/>
      <c r="IA2540" s="223"/>
      <c r="IB2540" s="223"/>
      <c r="IC2540" s="223"/>
      <c r="ID2540" s="223"/>
      <c r="IE2540" s="223"/>
      <c r="IF2540" s="223"/>
      <c r="IG2540" s="223"/>
      <c r="IH2540" s="223"/>
      <c r="II2540" s="223"/>
      <c r="IJ2540" s="223"/>
      <c r="IK2540" s="223"/>
      <c r="IL2540" s="223"/>
      <c r="IM2540" s="223"/>
      <c r="IN2540" s="223"/>
      <c r="IO2540" s="223"/>
      <c r="IP2540" s="223"/>
      <c r="IQ2540" s="223"/>
      <c r="IR2540" s="223"/>
      <c r="IS2540" s="223"/>
      <c r="IT2540" s="223"/>
      <c r="IU2540" s="223"/>
      <c r="IV2540" s="223"/>
    </row>
    <row r="2541" spans="22:256" s="221" customFormat="1" x14ac:dyDescent="0.2">
      <c r="V2541" s="223"/>
      <c r="W2541" s="223"/>
      <c r="X2541" s="223"/>
      <c r="Y2541" s="223"/>
      <c r="Z2541" s="223"/>
      <c r="AA2541" s="223"/>
      <c r="AB2541" s="223"/>
      <c r="AC2541" s="223"/>
      <c r="AD2541" s="223"/>
      <c r="AE2541" s="223"/>
      <c r="AF2541" s="223"/>
      <c r="AG2541" s="223"/>
      <c r="AH2541" s="223"/>
      <c r="AI2541" s="223"/>
      <c r="AJ2541" s="223"/>
      <c r="AK2541" s="223"/>
      <c r="AL2541" s="223"/>
      <c r="AM2541" s="223"/>
      <c r="AN2541" s="223"/>
      <c r="AO2541" s="223"/>
      <c r="AP2541" s="223"/>
      <c r="AQ2541" s="223"/>
      <c r="AR2541" s="223"/>
      <c r="AS2541" s="223"/>
      <c r="AT2541" s="324"/>
      <c r="AU2541" s="324"/>
      <c r="AV2541" s="223"/>
      <c r="AW2541" s="223"/>
      <c r="AX2541" s="223"/>
      <c r="AY2541" s="223"/>
      <c r="AZ2541" s="223"/>
      <c r="BA2541" s="223"/>
      <c r="BB2541" s="223"/>
      <c r="BC2541" s="223"/>
      <c r="BD2541" s="223"/>
      <c r="BE2541" s="223"/>
      <c r="BF2541" s="223"/>
      <c r="BG2541" s="223"/>
      <c r="BH2541" s="223"/>
      <c r="BI2541" s="223"/>
      <c r="BJ2541" s="223"/>
      <c r="BK2541" s="223"/>
      <c r="BL2541" s="223"/>
      <c r="BM2541" s="223"/>
      <c r="BN2541" s="223"/>
      <c r="BO2541" s="223"/>
      <c r="BP2541" s="223"/>
      <c r="BQ2541" s="223"/>
      <c r="BR2541" s="223"/>
      <c r="BS2541" s="223"/>
      <c r="BT2541" s="223"/>
      <c r="BU2541" s="223"/>
      <c r="BV2541" s="223"/>
      <c r="BW2541" s="223"/>
      <c r="BX2541" s="223"/>
      <c r="BY2541" s="223"/>
      <c r="BZ2541" s="223"/>
      <c r="CA2541" s="223"/>
      <c r="CB2541" s="223"/>
      <c r="CC2541" s="223"/>
      <c r="CD2541" s="223"/>
      <c r="CE2541" s="223"/>
      <c r="CF2541" s="223"/>
      <c r="CG2541" s="223"/>
      <c r="CH2541" s="223"/>
      <c r="CI2541" s="223"/>
      <c r="CJ2541" s="223"/>
      <c r="CK2541" s="223"/>
      <c r="CL2541" s="223"/>
      <c r="CM2541" s="223"/>
      <c r="CN2541" s="223"/>
      <c r="CO2541" s="223"/>
      <c r="CP2541" s="223"/>
      <c r="CQ2541" s="223"/>
      <c r="CR2541" s="223"/>
      <c r="CS2541" s="223"/>
      <c r="CT2541" s="223"/>
      <c r="CU2541" s="223"/>
      <c r="CV2541" s="223"/>
      <c r="CW2541" s="223"/>
      <c r="CX2541" s="223"/>
      <c r="CY2541" s="223"/>
      <c r="CZ2541" s="223"/>
      <c r="DA2541" s="223"/>
      <c r="DB2541" s="223"/>
      <c r="DC2541" s="223"/>
      <c r="DD2541" s="223"/>
      <c r="DE2541" s="223"/>
      <c r="DF2541" s="223"/>
      <c r="DG2541" s="223"/>
      <c r="DH2541" s="223"/>
      <c r="DI2541" s="223"/>
      <c r="DJ2541" s="223"/>
      <c r="DK2541" s="223"/>
      <c r="DL2541" s="223"/>
      <c r="DM2541" s="223"/>
      <c r="DN2541" s="223"/>
      <c r="DO2541" s="223"/>
      <c r="DP2541" s="223"/>
      <c r="DQ2541" s="223"/>
      <c r="DR2541" s="223"/>
      <c r="DS2541" s="223"/>
      <c r="DT2541" s="223"/>
      <c r="DU2541" s="223"/>
      <c r="DV2541" s="223"/>
      <c r="DW2541" s="223"/>
      <c r="DX2541" s="223"/>
      <c r="DY2541" s="223"/>
      <c r="DZ2541" s="223"/>
      <c r="EA2541" s="223"/>
      <c r="EB2541" s="223"/>
      <c r="EC2541" s="223"/>
      <c r="ED2541" s="223"/>
      <c r="EE2541" s="223"/>
      <c r="EF2541" s="223"/>
      <c r="EG2541" s="223"/>
      <c r="EH2541" s="223"/>
      <c r="EI2541" s="223"/>
      <c r="EJ2541" s="223"/>
      <c r="EK2541" s="223"/>
      <c r="EL2541" s="223"/>
      <c r="EM2541" s="223"/>
      <c r="EN2541" s="223"/>
      <c r="EO2541" s="223"/>
      <c r="EP2541" s="223"/>
      <c r="EQ2541" s="223"/>
      <c r="ER2541" s="223"/>
      <c r="ES2541" s="223"/>
      <c r="ET2541" s="223"/>
      <c r="EU2541" s="223"/>
      <c r="EV2541" s="223"/>
      <c r="EW2541" s="223"/>
      <c r="EX2541" s="223"/>
      <c r="EY2541" s="223"/>
      <c r="EZ2541" s="223"/>
      <c r="FA2541" s="223"/>
      <c r="FB2541" s="223"/>
      <c r="FC2541" s="223"/>
      <c r="FD2541" s="223"/>
      <c r="FE2541" s="223"/>
      <c r="FF2541" s="223"/>
      <c r="FG2541" s="223"/>
      <c r="FH2541" s="223"/>
      <c r="FI2541" s="223"/>
      <c r="FJ2541" s="223"/>
      <c r="FK2541" s="223"/>
      <c r="FL2541" s="223"/>
      <c r="FM2541" s="223"/>
      <c r="FN2541" s="223"/>
      <c r="FO2541" s="223"/>
      <c r="FP2541" s="223"/>
      <c r="FQ2541" s="223"/>
      <c r="FR2541" s="223"/>
      <c r="FS2541" s="223"/>
      <c r="FT2541" s="223"/>
      <c r="FU2541" s="223"/>
      <c r="FV2541" s="223"/>
      <c r="FW2541" s="223"/>
      <c r="FX2541" s="223"/>
      <c r="FY2541" s="223"/>
      <c r="FZ2541" s="223"/>
      <c r="GA2541" s="223"/>
      <c r="GB2541" s="223"/>
      <c r="GC2541" s="223"/>
      <c r="GD2541" s="223"/>
      <c r="GE2541" s="223"/>
      <c r="GF2541" s="223"/>
      <c r="GG2541" s="223"/>
      <c r="GH2541" s="223"/>
      <c r="GI2541" s="223"/>
      <c r="GJ2541" s="223"/>
      <c r="GK2541" s="223"/>
      <c r="GL2541" s="223"/>
      <c r="GM2541" s="223"/>
      <c r="GN2541" s="223"/>
      <c r="GO2541" s="223"/>
      <c r="GP2541" s="223"/>
      <c r="GQ2541" s="223"/>
      <c r="GR2541" s="223"/>
      <c r="GS2541" s="223"/>
      <c r="GT2541" s="223"/>
      <c r="GU2541" s="223"/>
      <c r="GV2541" s="223"/>
      <c r="GW2541" s="223"/>
      <c r="GX2541" s="223"/>
      <c r="GY2541" s="223"/>
      <c r="GZ2541" s="223"/>
      <c r="HA2541" s="223"/>
      <c r="HB2541" s="223"/>
      <c r="HC2541" s="223"/>
      <c r="HD2541" s="223"/>
      <c r="HE2541" s="223"/>
      <c r="HF2541" s="223"/>
      <c r="HG2541" s="223"/>
      <c r="HH2541" s="223"/>
      <c r="HI2541" s="223"/>
      <c r="HJ2541" s="223"/>
      <c r="HK2541" s="223"/>
      <c r="HL2541" s="223"/>
      <c r="HM2541" s="223"/>
      <c r="HN2541" s="223"/>
      <c r="HO2541" s="223"/>
      <c r="HP2541" s="223"/>
      <c r="HQ2541" s="223"/>
      <c r="HR2541" s="223"/>
      <c r="HS2541" s="223"/>
      <c r="HT2541" s="223"/>
      <c r="HU2541" s="223"/>
      <c r="HV2541" s="223"/>
      <c r="HW2541" s="223"/>
      <c r="HX2541" s="223"/>
      <c r="HY2541" s="223"/>
      <c r="HZ2541" s="223"/>
      <c r="IA2541" s="223"/>
      <c r="IB2541" s="223"/>
      <c r="IC2541" s="223"/>
      <c r="ID2541" s="223"/>
      <c r="IE2541" s="223"/>
      <c r="IF2541" s="223"/>
      <c r="IG2541" s="223"/>
      <c r="IH2541" s="223"/>
      <c r="II2541" s="223"/>
      <c r="IJ2541" s="223"/>
      <c r="IK2541" s="223"/>
      <c r="IL2541" s="223"/>
      <c r="IM2541" s="223"/>
      <c r="IN2541" s="223"/>
      <c r="IO2541" s="223"/>
      <c r="IP2541" s="223"/>
      <c r="IQ2541" s="223"/>
      <c r="IR2541" s="223"/>
      <c r="IS2541" s="223"/>
      <c r="IT2541" s="223"/>
      <c r="IU2541" s="223"/>
      <c r="IV2541" s="223"/>
    </row>
    <row r="2542" spans="22:256" s="221" customFormat="1" x14ac:dyDescent="0.2">
      <c r="V2542" s="223"/>
      <c r="W2542" s="223"/>
      <c r="X2542" s="223"/>
      <c r="Y2542" s="223"/>
      <c r="Z2542" s="223"/>
      <c r="AA2542" s="223"/>
      <c r="AB2542" s="223"/>
      <c r="AC2542" s="223"/>
      <c r="AD2542" s="223"/>
      <c r="AE2542" s="223"/>
      <c r="AF2542" s="223"/>
      <c r="AG2542" s="223"/>
      <c r="AH2542" s="223"/>
      <c r="AI2542" s="223"/>
      <c r="AJ2542" s="223"/>
      <c r="AK2542" s="223"/>
      <c r="AL2542" s="223"/>
      <c r="AM2542" s="223"/>
      <c r="AN2542" s="223"/>
      <c r="AO2542" s="223"/>
      <c r="AP2542" s="223"/>
      <c r="AQ2542" s="223"/>
      <c r="AR2542" s="223"/>
      <c r="AS2542" s="223"/>
      <c r="AT2542" s="324"/>
      <c r="AU2542" s="324"/>
      <c r="AV2542" s="223"/>
      <c r="AW2542" s="223"/>
      <c r="AX2542" s="223"/>
      <c r="AY2542" s="223"/>
      <c r="AZ2542" s="223"/>
      <c r="BA2542" s="223"/>
      <c r="BB2542" s="223"/>
      <c r="BC2542" s="223"/>
      <c r="BD2542" s="223"/>
      <c r="BE2542" s="223"/>
      <c r="BF2542" s="223"/>
      <c r="BG2542" s="223"/>
      <c r="BH2542" s="223"/>
      <c r="BI2542" s="223"/>
      <c r="BJ2542" s="223"/>
      <c r="BK2542" s="223"/>
      <c r="BL2542" s="223"/>
      <c r="BM2542" s="223"/>
      <c r="BN2542" s="223"/>
      <c r="BO2542" s="223"/>
      <c r="BP2542" s="223"/>
      <c r="BQ2542" s="223"/>
      <c r="BR2542" s="223"/>
      <c r="BS2542" s="223"/>
      <c r="BT2542" s="223"/>
      <c r="BU2542" s="223"/>
      <c r="BV2542" s="223"/>
      <c r="BW2542" s="223"/>
      <c r="BX2542" s="223"/>
      <c r="BY2542" s="223"/>
      <c r="BZ2542" s="223"/>
      <c r="CA2542" s="223"/>
      <c r="CB2542" s="223"/>
      <c r="CC2542" s="223"/>
      <c r="CD2542" s="223"/>
      <c r="CE2542" s="223"/>
      <c r="CF2542" s="223"/>
      <c r="CG2542" s="223"/>
      <c r="CH2542" s="223"/>
      <c r="CI2542" s="223"/>
      <c r="CJ2542" s="223"/>
      <c r="CK2542" s="223"/>
      <c r="CL2542" s="223"/>
      <c r="CM2542" s="223"/>
      <c r="CN2542" s="223"/>
      <c r="CO2542" s="223"/>
      <c r="CP2542" s="223"/>
      <c r="CQ2542" s="223"/>
      <c r="CR2542" s="223"/>
      <c r="CS2542" s="223"/>
      <c r="CT2542" s="223"/>
      <c r="CU2542" s="223"/>
      <c r="CV2542" s="223"/>
      <c r="CW2542" s="223"/>
      <c r="CX2542" s="223"/>
      <c r="CY2542" s="223"/>
      <c r="CZ2542" s="223"/>
      <c r="DA2542" s="223"/>
      <c r="DB2542" s="223"/>
      <c r="DC2542" s="223"/>
      <c r="DD2542" s="223"/>
      <c r="DE2542" s="223"/>
      <c r="DF2542" s="223"/>
      <c r="DG2542" s="223"/>
      <c r="DH2542" s="223"/>
      <c r="DI2542" s="223"/>
      <c r="DJ2542" s="223"/>
      <c r="DK2542" s="223"/>
      <c r="DL2542" s="223"/>
      <c r="DM2542" s="223"/>
      <c r="DN2542" s="223"/>
      <c r="DO2542" s="223"/>
      <c r="DP2542" s="223"/>
      <c r="DQ2542" s="223"/>
      <c r="DR2542" s="223"/>
      <c r="DS2542" s="223"/>
      <c r="DT2542" s="223"/>
      <c r="DU2542" s="223"/>
      <c r="DV2542" s="223"/>
      <c r="DW2542" s="223"/>
      <c r="DX2542" s="223"/>
      <c r="DY2542" s="223"/>
      <c r="DZ2542" s="223"/>
      <c r="EA2542" s="223"/>
      <c r="EB2542" s="223"/>
      <c r="EC2542" s="223"/>
      <c r="ED2542" s="223"/>
      <c r="EE2542" s="223"/>
      <c r="EF2542" s="223"/>
      <c r="EG2542" s="223"/>
      <c r="EH2542" s="223"/>
      <c r="EI2542" s="223"/>
      <c r="EJ2542" s="223"/>
      <c r="EK2542" s="223"/>
      <c r="EL2542" s="223"/>
      <c r="EM2542" s="223"/>
      <c r="EN2542" s="223"/>
      <c r="EO2542" s="223"/>
      <c r="EP2542" s="223"/>
      <c r="EQ2542" s="223"/>
      <c r="ER2542" s="223"/>
      <c r="ES2542" s="223"/>
      <c r="ET2542" s="223"/>
      <c r="EU2542" s="223"/>
      <c r="EV2542" s="223"/>
      <c r="EW2542" s="223"/>
      <c r="EX2542" s="223"/>
      <c r="EY2542" s="223"/>
      <c r="EZ2542" s="223"/>
      <c r="FA2542" s="223"/>
      <c r="FB2542" s="223"/>
      <c r="FC2542" s="223"/>
      <c r="FD2542" s="223"/>
      <c r="FE2542" s="223"/>
      <c r="FF2542" s="223"/>
      <c r="FG2542" s="223"/>
      <c r="FH2542" s="223"/>
      <c r="FI2542" s="223"/>
      <c r="FJ2542" s="223"/>
      <c r="FK2542" s="223"/>
      <c r="FL2542" s="223"/>
      <c r="FM2542" s="223"/>
      <c r="FN2542" s="223"/>
      <c r="FO2542" s="223"/>
      <c r="FP2542" s="223"/>
      <c r="FQ2542" s="223"/>
      <c r="FR2542" s="223"/>
      <c r="FS2542" s="223"/>
      <c r="FT2542" s="223"/>
      <c r="FU2542" s="223"/>
      <c r="FV2542" s="223"/>
      <c r="FW2542" s="223"/>
      <c r="FX2542" s="223"/>
      <c r="FY2542" s="223"/>
      <c r="FZ2542" s="223"/>
      <c r="GA2542" s="223"/>
      <c r="GB2542" s="223"/>
      <c r="GC2542" s="223"/>
      <c r="GD2542" s="223"/>
      <c r="GE2542" s="223"/>
      <c r="GF2542" s="223"/>
      <c r="GG2542" s="223"/>
      <c r="GH2542" s="223"/>
      <c r="GI2542" s="223"/>
      <c r="GJ2542" s="223"/>
      <c r="GK2542" s="223"/>
      <c r="GL2542" s="223"/>
      <c r="GM2542" s="223"/>
      <c r="GN2542" s="223"/>
      <c r="GO2542" s="223"/>
      <c r="GP2542" s="223"/>
      <c r="GQ2542" s="223"/>
      <c r="GR2542" s="223"/>
      <c r="GS2542" s="223"/>
      <c r="GT2542" s="223"/>
      <c r="GU2542" s="223"/>
      <c r="GV2542" s="223"/>
      <c r="GW2542" s="223"/>
      <c r="GX2542" s="223"/>
      <c r="GY2542" s="223"/>
      <c r="GZ2542" s="223"/>
      <c r="HA2542" s="223"/>
      <c r="HB2542" s="223"/>
      <c r="HC2542" s="223"/>
      <c r="HD2542" s="223"/>
      <c r="HE2542" s="223"/>
      <c r="HF2542" s="223"/>
      <c r="HG2542" s="223"/>
      <c r="HH2542" s="223"/>
      <c r="HI2542" s="223"/>
      <c r="HJ2542" s="223"/>
      <c r="HK2542" s="223"/>
      <c r="HL2542" s="223"/>
      <c r="HM2542" s="223"/>
      <c r="HN2542" s="223"/>
      <c r="HO2542" s="223"/>
      <c r="HP2542" s="223"/>
      <c r="HQ2542" s="223"/>
      <c r="HR2542" s="223"/>
      <c r="HS2542" s="223"/>
      <c r="HT2542" s="223"/>
      <c r="HU2542" s="223"/>
      <c r="HV2542" s="223"/>
      <c r="HW2542" s="223"/>
      <c r="HX2542" s="223"/>
      <c r="HY2542" s="223"/>
      <c r="HZ2542" s="223"/>
      <c r="IA2542" s="223"/>
      <c r="IB2542" s="223"/>
      <c r="IC2542" s="223"/>
      <c r="ID2542" s="223"/>
      <c r="IE2542" s="223"/>
      <c r="IF2542" s="223"/>
      <c r="IG2542" s="223"/>
      <c r="IH2542" s="223"/>
      <c r="II2542" s="223"/>
      <c r="IJ2542" s="223"/>
      <c r="IK2542" s="223"/>
      <c r="IL2542" s="223"/>
      <c r="IM2542" s="223"/>
      <c r="IN2542" s="223"/>
      <c r="IO2542" s="223"/>
      <c r="IP2542" s="223"/>
      <c r="IQ2542" s="223"/>
      <c r="IR2542" s="223"/>
      <c r="IS2542" s="223"/>
      <c r="IT2542" s="223"/>
      <c r="IU2542" s="223"/>
      <c r="IV2542" s="223"/>
    </row>
    <row r="2543" spans="22:256" s="221" customFormat="1" x14ac:dyDescent="0.2">
      <c r="V2543" s="223"/>
      <c r="W2543" s="223"/>
      <c r="X2543" s="223"/>
      <c r="Y2543" s="223"/>
      <c r="Z2543" s="223"/>
      <c r="AA2543" s="223"/>
      <c r="AB2543" s="223"/>
      <c r="AC2543" s="223"/>
      <c r="AD2543" s="223"/>
      <c r="AE2543" s="223"/>
      <c r="AF2543" s="223"/>
      <c r="AG2543" s="223"/>
      <c r="AH2543" s="223"/>
      <c r="AI2543" s="223"/>
      <c r="AJ2543" s="223"/>
      <c r="AK2543" s="223"/>
      <c r="AL2543" s="223"/>
      <c r="AM2543" s="223"/>
      <c r="AN2543" s="223"/>
      <c r="AO2543" s="223"/>
      <c r="AP2543" s="223"/>
      <c r="AQ2543" s="223"/>
      <c r="AR2543" s="223"/>
      <c r="AS2543" s="223"/>
      <c r="AT2543" s="324"/>
      <c r="AU2543" s="324"/>
      <c r="AV2543" s="223"/>
      <c r="AW2543" s="223"/>
      <c r="AX2543" s="223"/>
      <c r="AY2543" s="223"/>
      <c r="AZ2543" s="223"/>
      <c r="BA2543" s="223"/>
      <c r="BB2543" s="223"/>
      <c r="BC2543" s="223"/>
      <c r="BD2543" s="223"/>
      <c r="BE2543" s="223"/>
      <c r="BF2543" s="223"/>
      <c r="BG2543" s="223"/>
      <c r="BH2543" s="223"/>
      <c r="BI2543" s="223"/>
      <c r="BJ2543" s="223"/>
      <c r="BK2543" s="223"/>
      <c r="BL2543" s="223"/>
      <c r="BM2543" s="223"/>
      <c r="BN2543" s="223"/>
      <c r="BO2543" s="223"/>
      <c r="BP2543" s="223"/>
      <c r="BQ2543" s="223"/>
      <c r="BR2543" s="223"/>
      <c r="BS2543" s="223"/>
      <c r="BT2543" s="223"/>
      <c r="BU2543" s="223"/>
      <c r="BV2543" s="223"/>
      <c r="BW2543" s="223"/>
      <c r="BX2543" s="223"/>
      <c r="BY2543" s="223"/>
      <c r="BZ2543" s="223"/>
      <c r="CA2543" s="223"/>
      <c r="CB2543" s="223"/>
      <c r="CC2543" s="223"/>
      <c r="CD2543" s="223"/>
      <c r="CE2543" s="223"/>
      <c r="CF2543" s="223"/>
      <c r="CG2543" s="223"/>
      <c r="CH2543" s="223"/>
      <c r="CI2543" s="223"/>
      <c r="CJ2543" s="223"/>
      <c r="CK2543" s="223"/>
      <c r="CL2543" s="223"/>
      <c r="CM2543" s="223"/>
      <c r="CN2543" s="223"/>
      <c r="CO2543" s="223"/>
      <c r="CP2543" s="223"/>
      <c r="CQ2543" s="223"/>
      <c r="CR2543" s="223"/>
      <c r="CS2543" s="223"/>
      <c r="CT2543" s="223"/>
      <c r="CU2543" s="223"/>
      <c r="CV2543" s="223"/>
      <c r="CW2543" s="223"/>
      <c r="CX2543" s="223"/>
      <c r="CY2543" s="223"/>
      <c r="CZ2543" s="223"/>
      <c r="DA2543" s="223"/>
      <c r="DB2543" s="223"/>
      <c r="DC2543" s="223"/>
      <c r="DD2543" s="223"/>
      <c r="DE2543" s="223"/>
      <c r="DF2543" s="223"/>
      <c r="DG2543" s="223"/>
      <c r="DH2543" s="223"/>
      <c r="DI2543" s="223"/>
      <c r="DJ2543" s="223"/>
      <c r="DK2543" s="223"/>
      <c r="DL2543" s="223"/>
      <c r="DM2543" s="223"/>
      <c r="DN2543" s="223"/>
      <c r="DO2543" s="223"/>
      <c r="DP2543" s="223"/>
      <c r="DQ2543" s="223"/>
      <c r="DR2543" s="223"/>
      <c r="DS2543" s="223"/>
      <c r="DT2543" s="223"/>
      <c r="DU2543" s="223"/>
      <c r="DV2543" s="223"/>
      <c r="DW2543" s="223"/>
      <c r="DX2543" s="223"/>
      <c r="DY2543" s="223"/>
      <c r="DZ2543" s="223"/>
      <c r="EA2543" s="223"/>
      <c r="EB2543" s="223"/>
      <c r="EC2543" s="223"/>
      <c r="ED2543" s="223"/>
      <c r="EE2543" s="223"/>
      <c r="EF2543" s="223"/>
      <c r="EG2543" s="223"/>
      <c r="EH2543" s="223"/>
      <c r="EI2543" s="223"/>
      <c r="EJ2543" s="223"/>
      <c r="EK2543" s="223"/>
      <c r="EL2543" s="223"/>
      <c r="EM2543" s="223"/>
      <c r="EN2543" s="223"/>
      <c r="EO2543" s="223"/>
      <c r="EP2543" s="223"/>
      <c r="EQ2543" s="223"/>
      <c r="ER2543" s="223"/>
      <c r="ES2543" s="223"/>
      <c r="ET2543" s="223"/>
      <c r="EU2543" s="223"/>
      <c r="EV2543" s="223"/>
      <c r="EW2543" s="223"/>
      <c r="EX2543" s="223"/>
      <c r="EY2543" s="223"/>
      <c r="EZ2543" s="223"/>
      <c r="FA2543" s="223"/>
      <c r="FB2543" s="223"/>
      <c r="FC2543" s="223"/>
      <c r="FD2543" s="223"/>
      <c r="FE2543" s="223"/>
      <c r="FF2543" s="223"/>
      <c r="FG2543" s="223"/>
      <c r="FH2543" s="223"/>
      <c r="FI2543" s="223"/>
      <c r="FJ2543" s="223"/>
      <c r="FK2543" s="223"/>
      <c r="FL2543" s="223"/>
      <c r="FM2543" s="223"/>
      <c r="FN2543" s="223"/>
      <c r="FO2543" s="223"/>
      <c r="FP2543" s="223"/>
      <c r="FQ2543" s="223"/>
      <c r="FR2543" s="223"/>
      <c r="FS2543" s="223"/>
      <c r="FT2543" s="223"/>
      <c r="FU2543" s="223"/>
      <c r="FV2543" s="223"/>
      <c r="FW2543" s="223"/>
      <c r="FX2543" s="223"/>
      <c r="FY2543" s="223"/>
      <c r="FZ2543" s="223"/>
      <c r="GA2543" s="223"/>
      <c r="GB2543" s="223"/>
      <c r="GC2543" s="223"/>
      <c r="GD2543" s="223"/>
      <c r="GE2543" s="223"/>
      <c r="GF2543" s="223"/>
      <c r="GG2543" s="223"/>
      <c r="GH2543" s="223"/>
      <c r="GI2543" s="223"/>
      <c r="GJ2543" s="223"/>
      <c r="GK2543" s="223"/>
      <c r="GL2543" s="223"/>
      <c r="GM2543" s="223"/>
      <c r="GN2543" s="223"/>
      <c r="GO2543" s="223"/>
      <c r="GP2543" s="223"/>
      <c r="GQ2543" s="223"/>
      <c r="GR2543" s="223"/>
      <c r="GS2543" s="223"/>
      <c r="GT2543" s="223"/>
      <c r="GU2543" s="223"/>
      <c r="GV2543" s="223"/>
      <c r="GW2543" s="223"/>
      <c r="GX2543" s="223"/>
      <c r="GY2543" s="223"/>
      <c r="GZ2543" s="223"/>
      <c r="HA2543" s="223"/>
      <c r="HB2543" s="223"/>
      <c r="HC2543" s="223"/>
      <c r="HD2543" s="223"/>
      <c r="HE2543" s="223"/>
      <c r="HF2543" s="223"/>
      <c r="HG2543" s="223"/>
      <c r="HH2543" s="223"/>
      <c r="HI2543" s="223"/>
      <c r="HJ2543" s="223"/>
      <c r="HK2543" s="223"/>
      <c r="HL2543" s="223"/>
      <c r="HM2543" s="223"/>
      <c r="HN2543" s="223"/>
      <c r="HO2543" s="223"/>
      <c r="HP2543" s="223"/>
      <c r="HQ2543" s="223"/>
      <c r="HR2543" s="223"/>
      <c r="HS2543" s="223"/>
      <c r="HT2543" s="223"/>
      <c r="HU2543" s="223"/>
      <c r="HV2543" s="223"/>
      <c r="HW2543" s="223"/>
      <c r="HX2543" s="223"/>
      <c r="HY2543" s="223"/>
      <c r="HZ2543" s="223"/>
      <c r="IA2543" s="223"/>
      <c r="IB2543" s="223"/>
      <c r="IC2543" s="223"/>
      <c r="ID2543" s="223"/>
      <c r="IE2543" s="223"/>
      <c r="IF2543" s="223"/>
      <c r="IG2543" s="223"/>
      <c r="IH2543" s="223"/>
      <c r="II2543" s="223"/>
      <c r="IJ2543" s="223"/>
      <c r="IK2543" s="223"/>
      <c r="IL2543" s="223"/>
      <c r="IM2543" s="223"/>
      <c r="IN2543" s="223"/>
      <c r="IO2543" s="223"/>
      <c r="IP2543" s="223"/>
      <c r="IQ2543" s="223"/>
      <c r="IR2543" s="223"/>
      <c r="IS2543" s="223"/>
      <c r="IT2543" s="223"/>
      <c r="IU2543" s="223"/>
      <c r="IV2543" s="223"/>
    </row>
    <row r="2544" spans="22:256" s="221" customFormat="1" x14ac:dyDescent="0.2">
      <c r="V2544" s="223"/>
      <c r="W2544" s="223"/>
      <c r="X2544" s="223"/>
      <c r="Y2544" s="223"/>
      <c r="Z2544" s="223"/>
      <c r="AA2544" s="223"/>
      <c r="AB2544" s="223"/>
      <c r="AC2544" s="223"/>
      <c r="AD2544" s="223"/>
      <c r="AE2544" s="223"/>
      <c r="AF2544" s="223"/>
      <c r="AG2544" s="223"/>
      <c r="AH2544" s="223"/>
      <c r="AI2544" s="223"/>
      <c r="AJ2544" s="223"/>
      <c r="AK2544" s="223"/>
      <c r="AL2544" s="223"/>
      <c r="AM2544" s="223"/>
      <c r="AN2544" s="223"/>
      <c r="AO2544" s="223"/>
      <c r="AP2544" s="223"/>
      <c r="AQ2544" s="223"/>
      <c r="AR2544" s="223"/>
      <c r="AS2544" s="223"/>
      <c r="AT2544" s="324"/>
      <c r="AU2544" s="324"/>
      <c r="AV2544" s="223"/>
      <c r="AW2544" s="223"/>
      <c r="AX2544" s="223"/>
      <c r="AY2544" s="223"/>
      <c r="AZ2544" s="223"/>
      <c r="BA2544" s="223"/>
      <c r="BB2544" s="223"/>
      <c r="BC2544" s="223"/>
      <c r="BD2544" s="223"/>
      <c r="BE2544" s="223"/>
      <c r="BF2544" s="223"/>
      <c r="BG2544" s="223"/>
      <c r="BH2544" s="223"/>
      <c r="BI2544" s="223"/>
      <c r="BJ2544" s="223"/>
      <c r="BK2544" s="223"/>
      <c r="BL2544" s="223"/>
      <c r="BM2544" s="223"/>
      <c r="BN2544" s="223"/>
      <c r="BO2544" s="223"/>
      <c r="BP2544" s="223"/>
      <c r="BQ2544" s="223"/>
      <c r="BR2544" s="223"/>
      <c r="BS2544" s="223"/>
      <c r="BT2544" s="223"/>
      <c r="BU2544" s="223"/>
      <c r="BV2544" s="223"/>
      <c r="BW2544" s="223"/>
      <c r="BX2544" s="223"/>
      <c r="BY2544" s="223"/>
      <c r="BZ2544" s="223"/>
      <c r="CA2544" s="223"/>
      <c r="CB2544" s="223"/>
      <c r="CC2544" s="223"/>
      <c r="CD2544" s="223"/>
      <c r="CE2544" s="223"/>
      <c r="CF2544" s="223"/>
      <c r="CG2544" s="223"/>
      <c r="CH2544" s="223"/>
      <c r="CI2544" s="223"/>
      <c r="CJ2544" s="223"/>
      <c r="CK2544" s="223"/>
      <c r="CL2544" s="223"/>
      <c r="CM2544" s="223"/>
      <c r="CN2544" s="223"/>
      <c r="CO2544" s="223"/>
      <c r="CP2544" s="223"/>
      <c r="CQ2544" s="223"/>
      <c r="CR2544" s="223"/>
      <c r="CS2544" s="223"/>
      <c r="CT2544" s="223"/>
      <c r="CU2544" s="223"/>
      <c r="CV2544" s="223"/>
      <c r="CW2544" s="223"/>
      <c r="CX2544" s="223"/>
      <c r="CY2544" s="223"/>
      <c r="CZ2544" s="223"/>
      <c r="DA2544" s="223"/>
      <c r="DB2544" s="223"/>
      <c r="DC2544" s="223"/>
      <c r="DD2544" s="223"/>
      <c r="DE2544" s="223"/>
      <c r="DF2544" s="223"/>
      <c r="DG2544" s="223"/>
      <c r="DH2544" s="223"/>
      <c r="DI2544" s="223"/>
      <c r="DJ2544" s="223"/>
      <c r="DK2544" s="223"/>
      <c r="DL2544" s="223"/>
      <c r="DM2544" s="223"/>
      <c r="DN2544" s="223"/>
      <c r="DO2544" s="223"/>
      <c r="DP2544" s="223"/>
      <c r="DQ2544" s="223"/>
      <c r="DR2544" s="223"/>
      <c r="DS2544" s="223"/>
      <c r="DT2544" s="223"/>
      <c r="DU2544" s="223"/>
      <c r="DV2544" s="223"/>
      <c r="DW2544" s="223"/>
      <c r="DX2544" s="223"/>
      <c r="DY2544" s="223"/>
      <c r="DZ2544" s="223"/>
      <c r="EA2544" s="223"/>
      <c r="EB2544" s="223"/>
      <c r="EC2544" s="223"/>
      <c r="ED2544" s="223"/>
      <c r="EE2544" s="223"/>
      <c r="EF2544" s="223"/>
      <c r="EG2544" s="223"/>
      <c r="EH2544" s="223"/>
      <c r="EI2544" s="223"/>
      <c r="EJ2544" s="223"/>
      <c r="EK2544" s="223"/>
      <c r="EL2544" s="223"/>
      <c r="EM2544" s="223"/>
      <c r="EN2544" s="223"/>
      <c r="EO2544" s="223"/>
      <c r="EP2544" s="223"/>
      <c r="EQ2544" s="223"/>
      <c r="ER2544" s="223"/>
      <c r="ES2544" s="223"/>
      <c r="ET2544" s="223"/>
      <c r="EU2544" s="223"/>
      <c r="EV2544" s="223"/>
      <c r="EW2544" s="223"/>
      <c r="EX2544" s="223"/>
      <c r="EY2544" s="223"/>
      <c r="EZ2544" s="223"/>
      <c r="FA2544" s="223"/>
      <c r="FB2544" s="223"/>
      <c r="FC2544" s="223"/>
      <c r="FD2544" s="223"/>
      <c r="FE2544" s="223"/>
      <c r="FF2544" s="223"/>
      <c r="FG2544" s="223"/>
      <c r="FH2544" s="223"/>
      <c r="FI2544" s="223"/>
      <c r="FJ2544" s="223"/>
      <c r="FK2544" s="223"/>
      <c r="FL2544" s="223"/>
      <c r="FM2544" s="223"/>
      <c r="FN2544" s="223"/>
      <c r="FO2544" s="223"/>
      <c r="FP2544" s="223"/>
      <c r="FQ2544" s="223"/>
      <c r="FR2544" s="223"/>
      <c r="FS2544" s="223"/>
      <c r="FT2544" s="223"/>
      <c r="FU2544" s="223"/>
      <c r="FV2544" s="223"/>
      <c r="FW2544" s="223"/>
      <c r="FX2544" s="223"/>
      <c r="FY2544" s="223"/>
      <c r="FZ2544" s="223"/>
      <c r="GA2544" s="223"/>
      <c r="GB2544" s="223"/>
      <c r="GC2544" s="223"/>
      <c r="GD2544" s="223"/>
      <c r="GE2544" s="223"/>
      <c r="GF2544" s="223"/>
      <c r="GG2544" s="223"/>
      <c r="GH2544" s="223"/>
      <c r="GI2544" s="223"/>
      <c r="GJ2544" s="223"/>
      <c r="GK2544" s="223"/>
      <c r="GL2544" s="223"/>
      <c r="GM2544" s="223"/>
      <c r="GN2544" s="223"/>
      <c r="GO2544" s="223"/>
      <c r="GP2544" s="223"/>
      <c r="GQ2544" s="223"/>
      <c r="GR2544" s="223"/>
      <c r="GS2544" s="223"/>
      <c r="GT2544" s="223"/>
      <c r="GU2544" s="223"/>
      <c r="GV2544" s="223"/>
      <c r="GW2544" s="223"/>
      <c r="GX2544" s="223"/>
      <c r="GY2544" s="223"/>
      <c r="GZ2544" s="223"/>
      <c r="HA2544" s="223"/>
      <c r="HB2544" s="223"/>
      <c r="HC2544" s="223"/>
      <c r="HD2544" s="223"/>
      <c r="HE2544" s="223"/>
      <c r="HF2544" s="223"/>
      <c r="HG2544" s="223"/>
      <c r="HH2544" s="223"/>
      <c r="HI2544" s="223"/>
      <c r="HJ2544" s="223"/>
      <c r="HK2544" s="223"/>
      <c r="HL2544" s="223"/>
      <c r="HM2544" s="223"/>
      <c r="HN2544" s="223"/>
      <c r="HO2544" s="223"/>
      <c r="HP2544" s="223"/>
      <c r="HQ2544" s="223"/>
      <c r="HR2544" s="223"/>
      <c r="HS2544" s="223"/>
      <c r="HT2544" s="223"/>
      <c r="HU2544" s="223"/>
      <c r="HV2544" s="223"/>
      <c r="HW2544" s="223"/>
      <c r="HX2544" s="223"/>
      <c r="HY2544" s="223"/>
      <c r="HZ2544" s="223"/>
      <c r="IA2544" s="223"/>
      <c r="IB2544" s="223"/>
      <c r="IC2544" s="223"/>
      <c r="ID2544" s="223"/>
      <c r="IE2544" s="223"/>
      <c r="IF2544" s="223"/>
      <c r="IG2544" s="223"/>
      <c r="IH2544" s="223"/>
      <c r="II2544" s="223"/>
      <c r="IJ2544" s="223"/>
      <c r="IK2544" s="223"/>
      <c r="IL2544" s="223"/>
      <c r="IM2544" s="223"/>
      <c r="IN2544" s="223"/>
      <c r="IO2544" s="223"/>
      <c r="IP2544" s="223"/>
      <c r="IQ2544" s="223"/>
      <c r="IR2544" s="223"/>
      <c r="IS2544" s="223"/>
      <c r="IT2544" s="223"/>
      <c r="IU2544" s="223"/>
      <c r="IV2544" s="223"/>
    </row>
    <row r="2545" spans="22:256" s="221" customFormat="1" x14ac:dyDescent="0.2">
      <c r="V2545" s="223"/>
      <c r="W2545" s="223"/>
      <c r="X2545" s="223"/>
      <c r="Y2545" s="223"/>
      <c r="Z2545" s="223"/>
      <c r="AA2545" s="223"/>
      <c r="AB2545" s="223"/>
      <c r="AC2545" s="223"/>
      <c r="AD2545" s="223"/>
      <c r="AE2545" s="223"/>
      <c r="AF2545" s="223"/>
      <c r="AG2545" s="223"/>
      <c r="AH2545" s="223"/>
      <c r="AI2545" s="223"/>
      <c r="AJ2545" s="223"/>
      <c r="AK2545" s="223"/>
      <c r="AL2545" s="223"/>
      <c r="AM2545" s="223"/>
      <c r="AN2545" s="223"/>
      <c r="AO2545" s="223"/>
      <c r="AP2545" s="223"/>
      <c r="AQ2545" s="223"/>
      <c r="AR2545" s="223"/>
      <c r="AS2545" s="223"/>
      <c r="AT2545" s="324"/>
      <c r="AU2545" s="324"/>
      <c r="AV2545" s="223"/>
      <c r="AW2545" s="223"/>
      <c r="AX2545" s="223"/>
      <c r="AY2545" s="223"/>
      <c r="AZ2545" s="223"/>
      <c r="BA2545" s="223"/>
      <c r="BB2545" s="223"/>
      <c r="BC2545" s="223"/>
      <c r="BD2545" s="223"/>
      <c r="BE2545" s="223"/>
      <c r="BF2545" s="223"/>
      <c r="BG2545" s="223"/>
      <c r="BH2545" s="223"/>
      <c r="BI2545" s="223"/>
      <c r="BJ2545" s="223"/>
      <c r="BK2545" s="223"/>
      <c r="BL2545" s="223"/>
      <c r="BM2545" s="223"/>
      <c r="BN2545" s="223"/>
      <c r="BO2545" s="223"/>
      <c r="BP2545" s="223"/>
      <c r="BQ2545" s="223"/>
      <c r="BR2545" s="223"/>
      <c r="BS2545" s="223"/>
      <c r="BT2545" s="223"/>
      <c r="BU2545" s="223"/>
      <c r="BV2545" s="223"/>
      <c r="BW2545" s="223"/>
      <c r="BX2545" s="223"/>
      <c r="BY2545" s="223"/>
      <c r="BZ2545" s="223"/>
      <c r="CA2545" s="223"/>
      <c r="CB2545" s="223"/>
      <c r="CC2545" s="223"/>
      <c r="CD2545" s="223"/>
      <c r="CE2545" s="223"/>
      <c r="CF2545" s="223"/>
      <c r="CG2545" s="223"/>
      <c r="CH2545" s="223"/>
      <c r="CI2545" s="223"/>
      <c r="CJ2545" s="223"/>
      <c r="CK2545" s="223"/>
      <c r="CL2545" s="223"/>
      <c r="CM2545" s="223"/>
      <c r="CN2545" s="223"/>
      <c r="CO2545" s="223"/>
      <c r="CP2545" s="223"/>
      <c r="CQ2545" s="223"/>
      <c r="CR2545" s="223"/>
      <c r="CS2545" s="223"/>
      <c r="CT2545" s="223"/>
      <c r="CU2545" s="223"/>
      <c r="CV2545" s="223"/>
      <c r="CW2545" s="223"/>
      <c r="CX2545" s="223"/>
      <c r="CY2545" s="223"/>
      <c r="CZ2545" s="223"/>
      <c r="DA2545" s="223"/>
      <c r="DB2545" s="223"/>
      <c r="DC2545" s="223"/>
      <c r="DD2545" s="223"/>
      <c r="DE2545" s="223"/>
      <c r="DF2545" s="223"/>
      <c r="DG2545" s="223"/>
      <c r="DH2545" s="223"/>
      <c r="DI2545" s="223"/>
      <c r="DJ2545" s="223"/>
      <c r="DK2545" s="223"/>
      <c r="DL2545" s="223"/>
      <c r="DM2545" s="223"/>
      <c r="DN2545" s="223"/>
      <c r="DO2545" s="223"/>
      <c r="DP2545" s="223"/>
      <c r="DQ2545" s="223"/>
      <c r="DR2545" s="223"/>
      <c r="DS2545" s="223"/>
      <c r="DT2545" s="223"/>
      <c r="DU2545" s="223"/>
      <c r="DV2545" s="223"/>
      <c r="DW2545" s="223"/>
      <c r="DX2545" s="223"/>
      <c r="DY2545" s="223"/>
      <c r="DZ2545" s="223"/>
      <c r="EA2545" s="223"/>
      <c r="EB2545" s="223"/>
      <c r="EC2545" s="223"/>
      <c r="ED2545" s="223"/>
      <c r="EE2545" s="223"/>
      <c r="EF2545" s="223"/>
      <c r="EG2545" s="223"/>
      <c r="EH2545" s="223"/>
      <c r="EI2545" s="223"/>
      <c r="EJ2545" s="223"/>
      <c r="EK2545" s="223"/>
      <c r="EL2545" s="223"/>
      <c r="EM2545" s="223"/>
      <c r="EN2545" s="223"/>
      <c r="EO2545" s="223"/>
      <c r="EP2545" s="223"/>
      <c r="EQ2545" s="223"/>
      <c r="ER2545" s="223"/>
      <c r="ES2545" s="223"/>
      <c r="ET2545" s="223"/>
      <c r="EU2545" s="223"/>
      <c r="EV2545" s="223"/>
      <c r="EW2545" s="223"/>
      <c r="EX2545" s="223"/>
      <c r="EY2545" s="223"/>
      <c r="EZ2545" s="223"/>
      <c r="FA2545" s="223"/>
      <c r="FB2545" s="223"/>
      <c r="FC2545" s="223"/>
      <c r="FD2545" s="223"/>
      <c r="FE2545" s="223"/>
      <c r="FF2545" s="223"/>
      <c r="FG2545" s="223"/>
      <c r="FH2545" s="223"/>
      <c r="FI2545" s="223"/>
      <c r="FJ2545" s="223"/>
      <c r="FK2545" s="223"/>
      <c r="FL2545" s="223"/>
      <c r="FM2545" s="223"/>
      <c r="FN2545" s="223"/>
      <c r="FO2545" s="223"/>
      <c r="FP2545" s="223"/>
      <c r="FQ2545" s="223"/>
      <c r="FR2545" s="223"/>
      <c r="FS2545" s="223"/>
      <c r="FT2545" s="223"/>
      <c r="FU2545" s="223"/>
      <c r="FV2545" s="223"/>
      <c r="FW2545" s="223"/>
      <c r="FX2545" s="223"/>
      <c r="FY2545" s="223"/>
      <c r="FZ2545" s="223"/>
      <c r="GA2545" s="223"/>
      <c r="GB2545" s="223"/>
      <c r="GC2545" s="223"/>
      <c r="GD2545" s="223"/>
      <c r="GE2545" s="223"/>
      <c r="GF2545" s="223"/>
      <c r="GG2545" s="223"/>
      <c r="GH2545" s="223"/>
      <c r="GI2545" s="223"/>
      <c r="GJ2545" s="223"/>
      <c r="GK2545" s="223"/>
      <c r="GL2545" s="223"/>
      <c r="GM2545" s="223"/>
      <c r="GN2545" s="223"/>
      <c r="GO2545" s="223"/>
      <c r="GP2545" s="223"/>
      <c r="GQ2545" s="223"/>
      <c r="GR2545" s="223"/>
      <c r="GS2545" s="223"/>
      <c r="GT2545" s="223"/>
      <c r="GU2545" s="223"/>
      <c r="GV2545" s="223"/>
      <c r="GW2545" s="223"/>
      <c r="GX2545" s="223"/>
      <c r="GY2545" s="223"/>
      <c r="GZ2545" s="223"/>
      <c r="HA2545" s="223"/>
      <c r="HB2545" s="223"/>
      <c r="HC2545" s="223"/>
      <c r="HD2545" s="223"/>
      <c r="HE2545" s="223"/>
      <c r="HF2545" s="223"/>
      <c r="HG2545" s="223"/>
      <c r="HH2545" s="223"/>
      <c r="HI2545" s="223"/>
      <c r="HJ2545" s="223"/>
      <c r="HK2545" s="223"/>
      <c r="HL2545" s="223"/>
      <c r="HM2545" s="223"/>
      <c r="HN2545" s="223"/>
      <c r="HO2545" s="223"/>
      <c r="HP2545" s="223"/>
      <c r="HQ2545" s="223"/>
      <c r="HR2545" s="223"/>
      <c r="HS2545" s="223"/>
      <c r="HT2545" s="223"/>
      <c r="HU2545" s="223"/>
      <c r="HV2545" s="223"/>
      <c r="HW2545" s="223"/>
      <c r="HX2545" s="223"/>
      <c r="HY2545" s="223"/>
      <c r="HZ2545" s="223"/>
      <c r="IA2545" s="223"/>
      <c r="IB2545" s="223"/>
      <c r="IC2545" s="223"/>
      <c r="ID2545" s="223"/>
      <c r="IE2545" s="223"/>
      <c r="IF2545" s="223"/>
      <c r="IG2545" s="223"/>
      <c r="IH2545" s="223"/>
      <c r="II2545" s="223"/>
      <c r="IJ2545" s="223"/>
      <c r="IK2545" s="223"/>
      <c r="IL2545" s="223"/>
      <c r="IM2545" s="223"/>
      <c r="IN2545" s="223"/>
      <c r="IO2545" s="223"/>
      <c r="IP2545" s="223"/>
      <c r="IQ2545" s="223"/>
      <c r="IR2545" s="223"/>
      <c r="IS2545" s="223"/>
      <c r="IT2545" s="223"/>
      <c r="IU2545" s="223"/>
      <c r="IV2545" s="223"/>
    </row>
    <row r="2546" spans="22:256" s="221" customFormat="1" x14ac:dyDescent="0.2">
      <c r="V2546" s="223"/>
      <c r="W2546" s="223"/>
      <c r="X2546" s="223"/>
      <c r="Y2546" s="223"/>
      <c r="Z2546" s="223"/>
      <c r="AA2546" s="223"/>
      <c r="AB2546" s="223"/>
      <c r="AC2546" s="223"/>
      <c r="AD2546" s="223"/>
      <c r="AE2546" s="223"/>
      <c r="AF2546" s="223"/>
      <c r="AG2546" s="223"/>
      <c r="AH2546" s="223"/>
      <c r="AI2546" s="223"/>
      <c r="AJ2546" s="223"/>
      <c r="AK2546" s="223"/>
      <c r="AL2546" s="223"/>
      <c r="AM2546" s="223"/>
      <c r="AN2546" s="223"/>
      <c r="AO2546" s="223"/>
      <c r="AP2546" s="223"/>
      <c r="AQ2546" s="223"/>
      <c r="AR2546" s="223"/>
      <c r="AS2546" s="223"/>
      <c r="AT2546" s="324"/>
      <c r="AU2546" s="324"/>
      <c r="AV2546" s="223"/>
      <c r="AW2546" s="223"/>
      <c r="AX2546" s="223"/>
      <c r="AY2546" s="223"/>
      <c r="AZ2546" s="223"/>
      <c r="BA2546" s="223"/>
      <c r="BB2546" s="223"/>
      <c r="BC2546" s="223"/>
      <c r="BD2546" s="223"/>
      <c r="BE2546" s="223"/>
      <c r="BF2546" s="223"/>
      <c r="BG2546" s="223"/>
      <c r="BH2546" s="223"/>
      <c r="BI2546" s="223"/>
      <c r="BJ2546" s="223"/>
      <c r="BK2546" s="223"/>
      <c r="BL2546" s="223"/>
      <c r="BM2546" s="223"/>
      <c r="BN2546" s="223"/>
      <c r="BO2546" s="223"/>
      <c r="BP2546" s="223"/>
      <c r="BQ2546" s="223"/>
      <c r="BR2546" s="223"/>
      <c r="BS2546" s="223"/>
      <c r="BT2546" s="223"/>
      <c r="BU2546" s="223"/>
      <c r="BV2546" s="223"/>
      <c r="BW2546" s="223"/>
      <c r="BX2546" s="223"/>
      <c r="BY2546" s="223"/>
      <c r="BZ2546" s="223"/>
      <c r="CA2546" s="223"/>
      <c r="CB2546" s="223"/>
      <c r="CC2546" s="223"/>
      <c r="CD2546" s="223"/>
      <c r="CE2546" s="223"/>
      <c r="CF2546" s="223"/>
      <c r="CG2546" s="223"/>
      <c r="CH2546" s="223"/>
      <c r="CI2546" s="223"/>
      <c r="CJ2546" s="223"/>
      <c r="CK2546" s="223"/>
      <c r="CL2546" s="223"/>
      <c r="CM2546" s="223"/>
      <c r="CN2546" s="223"/>
      <c r="CO2546" s="223"/>
      <c r="CP2546" s="223"/>
      <c r="CQ2546" s="223"/>
      <c r="CR2546" s="223"/>
      <c r="CS2546" s="223"/>
      <c r="CT2546" s="223"/>
      <c r="CU2546" s="223"/>
      <c r="CV2546" s="223"/>
      <c r="CW2546" s="223"/>
      <c r="CX2546" s="223"/>
      <c r="CY2546" s="223"/>
      <c r="CZ2546" s="223"/>
      <c r="DA2546" s="223"/>
      <c r="DB2546" s="223"/>
      <c r="DC2546" s="223"/>
      <c r="DD2546" s="223"/>
      <c r="DE2546" s="223"/>
      <c r="DF2546" s="223"/>
      <c r="DG2546" s="223"/>
      <c r="DH2546" s="223"/>
      <c r="DI2546" s="223"/>
      <c r="DJ2546" s="223"/>
      <c r="DK2546" s="223"/>
      <c r="DL2546" s="223"/>
      <c r="DM2546" s="223"/>
      <c r="DN2546" s="223"/>
      <c r="DO2546" s="223"/>
      <c r="DP2546" s="223"/>
      <c r="DQ2546" s="223"/>
      <c r="DR2546" s="223"/>
      <c r="DS2546" s="223"/>
      <c r="DT2546" s="223"/>
      <c r="DU2546" s="223"/>
      <c r="DV2546" s="223"/>
      <c r="DW2546" s="223"/>
      <c r="DX2546" s="223"/>
      <c r="DY2546" s="223"/>
      <c r="DZ2546" s="223"/>
      <c r="EA2546" s="223"/>
      <c r="EB2546" s="223"/>
      <c r="EC2546" s="223"/>
      <c r="ED2546" s="223"/>
      <c r="EE2546" s="223"/>
      <c r="EF2546" s="223"/>
      <c r="EG2546" s="223"/>
      <c r="EH2546" s="223"/>
      <c r="EI2546" s="223"/>
      <c r="EJ2546" s="223"/>
      <c r="EK2546" s="223"/>
      <c r="EL2546" s="223"/>
      <c r="EM2546" s="223"/>
      <c r="EN2546" s="223"/>
      <c r="EO2546" s="223"/>
      <c r="EP2546" s="223"/>
      <c r="EQ2546" s="223"/>
      <c r="ER2546" s="223"/>
      <c r="ES2546" s="223"/>
      <c r="ET2546" s="223"/>
      <c r="EU2546" s="223"/>
      <c r="EV2546" s="223"/>
      <c r="EW2546" s="223"/>
      <c r="EX2546" s="223"/>
      <c r="EY2546" s="223"/>
      <c r="EZ2546" s="223"/>
      <c r="FA2546" s="223"/>
      <c r="FB2546" s="223"/>
      <c r="FC2546" s="223"/>
      <c r="FD2546" s="223"/>
      <c r="FE2546" s="223"/>
      <c r="FF2546" s="223"/>
      <c r="FG2546" s="223"/>
      <c r="FH2546" s="223"/>
      <c r="FI2546" s="223"/>
      <c r="FJ2546" s="223"/>
      <c r="FK2546" s="223"/>
      <c r="FL2546" s="223"/>
      <c r="FM2546" s="223"/>
      <c r="FN2546" s="223"/>
      <c r="FO2546" s="223"/>
      <c r="FP2546" s="223"/>
      <c r="FQ2546" s="223"/>
      <c r="FR2546" s="223"/>
      <c r="FS2546" s="223"/>
      <c r="FT2546" s="223"/>
      <c r="FU2546" s="223"/>
      <c r="FV2546" s="223"/>
      <c r="FW2546" s="223"/>
      <c r="FX2546" s="223"/>
      <c r="FY2546" s="223"/>
      <c r="FZ2546" s="223"/>
      <c r="GA2546" s="223"/>
      <c r="GB2546" s="223"/>
      <c r="GC2546" s="223"/>
      <c r="GD2546" s="223"/>
      <c r="GE2546" s="223"/>
      <c r="GF2546" s="223"/>
      <c r="GG2546" s="223"/>
      <c r="GH2546" s="223"/>
      <c r="GI2546" s="223"/>
      <c r="GJ2546" s="223"/>
      <c r="GK2546" s="223"/>
      <c r="GL2546" s="223"/>
      <c r="GM2546" s="223"/>
      <c r="GN2546" s="223"/>
      <c r="GO2546" s="223"/>
      <c r="GP2546" s="223"/>
      <c r="GQ2546" s="223"/>
      <c r="GR2546" s="223"/>
      <c r="GS2546" s="223"/>
      <c r="GT2546" s="223"/>
      <c r="GU2546" s="223"/>
      <c r="GV2546" s="223"/>
      <c r="GW2546" s="223"/>
      <c r="GX2546" s="223"/>
      <c r="GY2546" s="223"/>
      <c r="GZ2546" s="223"/>
      <c r="HA2546" s="223"/>
      <c r="HB2546" s="223"/>
      <c r="HC2546" s="223"/>
      <c r="HD2546" s="223"/>
      <c r="HE2546" s="223"/>
      <c r="HF2546" s="223"/>
      <c r="HG2546" s="223"/>
      <c r="HH2546" s="223"/>
      <c r="HI2546" s="223"/>
      <c r="HJ2546" s="223"/>
      <c r="HK2546" s="223"/>
      <c r="HL2546" s="223"/>
      <c r="HM2546" s="223"/>
      <c r="HN2546" s="223"/>
      <c r="HO2546" s="223"/>
      <c r="HP2546" s="223"/>
      <c r="HQ2546" s="223"/>
      <c r="HR2546" s="223"/>
      <c r="HS2546" s="223"/>
      <c r="HT2546" s="223"/>
      <c r="HU2546" s="223"/>
      <c r="HV2546" s="223"/>
      <c r="HW2546" s="223"/>
      <c r="HX2546" s="223"/>
      <c r="HY2546" s="223"/>
      <c r="HZ2546" s="223"/>
      <c r="IA2546" s="223"/>
      <c r="IB2546" s="223"/>
      <c r="IC2546" s="223"/>
      <c r="ID2546" s="223"/>
      <c r="IE2546" s="223"/>
      <c r="IF2546" s="223"/>
      <c r="IG2546" s="223"/>
      <c r="IH2546" s="223"/>
      <c r="II2546" s="223"/>
      <c r="IJ2546" s="223"/>
      <c r="IK2546" s="223"/>
      <c r="IL2546" s="223"/>
      <c r="IM2546" s="223"/>
      <c r="IN2546" s="223"/>
      <c r="IO2546" s="223"/>
      <c r="IP2546" s="223"/>
      <c r="IQ2546" s="223"/>
      <c r="IR2546" s="223"/>
      <c r="IS2546" s="223"/>
      <c r="IT2546" s="223"/>
      <c r="IU2546" s="223"/>
      <c r="IV2546" s="223"/>
    </row>
    <row r="2547" spans="22:256" s="221" customFormat="1" x14ac:dyDescent="0.2">
      <c r="V2547" s="223"/>
      <c r="W2547" s="223"/>
      <c r="X2547" s="223"/>
      <c r="Y2547" s="223"/>
      <c r="Z2547" s="223"/>
      <c r="AA2547" s="223"/>
      <c r="AB2547" s="223"/>
      <c r="AC2547" s="223"/>
      <c r="AD2547" s="223"/>
      <c r="AE2547" s="223"/>
      <c r="AF2547" s="223"/>
      <c r="AG2547" s="223"/>
      <c r="AH2547" s="223"/>
      <c r="AI2547" s="223"/>
      <c r="AJ2547" s="223"/>
      <c r="AK2547" s="223"/>
      <c r="AL2547" s="223"/>
      <c r="AM2547" s="223"/>
      <c r="AN2547" s="223"/>
      <c r="AO2547" s="223"/>
      <c r="AP2547" s="223"/>
      <c r="AQ2547" s="223"/>
      <c r="AR2547" s="223"/>
      <c r="AS2547" s="223"/>
      <c r="AT2547" s="324"/>
      <c r="AU2547" s="324"/>
      <c r="AV2547" s="223"/>
      <c r="AW2547" s="223"/>
      <c r="AX2547" s="223"/>
      <c r="AY2547" s="223"/>
      <c r="AZ2547" s="223"/>
      <c r="BA2547" s="223"/>
      <c r="BB2547" s="223"/>
      <c r="BC2547" s="223"/>
      <c r="BD2547" s="223"/>
      <c r="BE2547" s="223"/>
      <c r="BF2547" s="223"/>
      <c r="BG2547" s="223"/>
      <c r="BH2547" s="223"/>
      <c r="BI2547" s="223"/>
      <c r="BJ2547" s="223"/>
      <c r="BK2547" s="223"/>
      <c r="BL2547" s="223"/>
      <c r="BM2547" s="223"/>
      <c r="BN2547" s="223"/>
      <c r="BO2547" s="223"/>
      <c r="BP2547" s="223"/>
      <c r="BQ2547" s="223"/>
      <c r="BR2547" s="223"/>
      <c r="BS2547" s="223"/>
      <c r="BT2547" s="223"/>
      <c r="BU2547" s="223"/>
      <c r="BV2547" s="223"/>
      <c r="BW2547" s="223"/>
      <c r="BX2547" s="223"/>
      <c r="BY2547" s="223"/>
      <c r="BZ2547" s="223"/>
      <c r="CA2547" s="223"/>
      <c r="CB2547" s="223"/>
      <c r="CC2547" s="223"/>
      <c r="CD2547" s="223"/>
      <c r="CE2547" s="223"/>
      <c r="CF2547" s="223"/>
      <c r="CG2547" s="223"/>
      <c r="CH2547" s="223"/>
      <c r="CI2547" s="223"/>
      <c r="CJ2547" s="223"/>
      <c r="CK2547" s="223"/>
      <c r="CL2547" s="223"/>
      <c r="CM2547" s="223"/>
      <c r="CN2547" s="223"/>
      <c r="CO2547" s="223"/>
      <c r="CP2547" s="223"/>
      <c r="CQ2547" s="223"/>
      <c r="CR2547" s="223"/>
      <c r="CS2547" s="223"/>
      <c r="CT2547" s="223"/>
      <c r="CU2547" s="223"/>
      <c r="CV2547" s="223"/>
      <c r="CW2547" s="223"/>
      <c r="CX2547" s="223"/>
      <c r="CY2547" s="223"/>
      <c r="CZ2547" s="223"/>
      <c r="DA2547" s="223"/>
      <c r="DB2547" s="223"/>
      <c r="DC2547" s="223"/>
      <c r="DD2547" s="223"/>
      <c r="DE2547" s="223"/>
      <c r="DF2547" s="223"/>
      <c r="DG2547" s="223"/>
      <c r="DH2547" s="223"/>
      <c r="DI2547" s="223"/>
      <c r="DJ2547" s="223"/>
      <c r="DK2547" s="223"/>
      <c r="DL2547" s="223"/>
      <c r="DM2547" s="223"/>
      <c r="DN2547" s="223"/>
      <c r="DO2547" s="223"/>
      <c r="DP2547" s="223"/>
      <c r="DQ2547" s="223"/>
      <c r="DR2547" s="223"/>
      <c r="DS2547" s="223"/>
      <c r="DT2547" s="223"/>
      <c r="DU2547" s="223"/>
      <c r="DV2547" s="223"/>
      <c r="DW2547" s="223"/>
      <c r="DX2547" s="223"/>
      <c r="DY2547" s="223"/>
      <c r="DZ2547" s="223"/>
      <c r="EA2547" s="223"/>
      <c r="EB2547" s="223"/>
      <c r="EC2547" s="223"/>
      <c r="ED2547" s="223"/>
      <c r="EE2547" s="223"/>
      <c r="EF2547" s="223"/>
      <c r="EG2547" s="223"/>
      <c r="EH2547" s="223"/>
      <c r="EI2547" s="223"/>
      <c r="EJ2547" s="223"/>
      <c r="EK2547" s="223"/>
      <c r="EL2547" s="223"/>
      <c r="EM2547" s="223"/>
      <c r="EN2547" s="223"/>
      <c r="EO2547" s="223"/>
      <c r="EP2547" s="223"/>
      <c r="EQ2547" s="223"/>
      <c r="ER2547" s="223"/>
      <c r="ES2547" s="223"/>
      <c r="ET2547" s="223"/>
      <c r="EU2547" s="223"/>
      <c r="EV2547" s="223"/>
      <c r="EW2547" s="223"/>
      <c r="EX2547" s="223"/>
      <c r="EY2547" s="223"/>
      <c r="EZ2547" s="223"/>
      <c r="FA2547" s="223"/>
      <c r="FB2547" s="223"/>
      <c r="FC2547" s="223"/>
      <c r="FD2547" s="223"/>
      <c r="FE2547" s="223"/>
      <c r="FF2547" s="223"/>
      <c r="FG2547" s="223"/>
      <c r="FH2547" s="223"/>
      <c r="FI2547" s="223"/>
      <c r="FJ2547" s="223"/>
      <c r="FK2547" s="223"/>
      <c r="FL2547" s="223"/>
      <c r="FM2547" s="223"/>
      <c r="FN2547" s="223"/>
      <c r="FO2547" s="223"/>
      <c r="FP2547" s="223"/>
      <c r="FQ2547" s="223"/>
      <c r="FR2547" s="223"/>
      <c r="FS2547" s="223"/>
      <c r="FT2547" s="223"/>
      <c r="FU2547" s="223"/>
      <c r="FV2547" s="223"/>
      <c r="FW2547" s="223"/>
      <c r="FX2547" s="223"/>
      <c r="FY2547" s="223"/>
      <c r="FZ2547" s="223"/>
      <c r="GA2547" s="223"/>
      <c r="GB2547" s="223"/>
      <c r="GC2547" s="223"/>
      <c r="GD2547" s="223"/>
      <c r="GE2547" s="223"/>
      <c r="GF2547" s="223"/>
      <c r="GG2547" s="223"/>
      <c r="GH2547" s="223"/>
      <c r="GI2547" s="223"/>
      <c r="GJ2547" s="223"/>
      <c r="GK2547" s="223"/>
      <c r="GL2547" s="223"/>
      <c r="GM2547" s="223"/>
      <c r="GN2547" s="223"/>
      <c r="GO2547" s="223"/>
      <c r="GP2547" s="223"/>
      <c r="GQ2547" s="223"/>
      <c r="GR2547" s="223"/>
      <c r="GS2547" s="223"/>
      <c r="GT2547" s="223"/>
      <c r="GU2547" s="223"/>
      <c r="GV2547" s="223"/>
      <c r="GW2547" s="223"/>
      <c r="GX2547" s="223"/>
      <c r="GY2547" s="223"/>
      <c r="GZ2547" s="223"/>
      <c r="HA2547" s="223"/>
      <c r="HB2547" s="223"/>
      <c r="HC2547" s="223"/>
      <c r="HD2547" s="223"/>
      <c r="HE2547" s="223"/>
      <c r="HF2547" s="223"/>
      <c r="HG2547" s="223"/>
      <c r="HH2547" s="223"/>
      <c r="HI2547" s="223"/>
      <c r="HJ2547" s="223"/>
      <c r="HK2547" s="223"/>
      <c r="HL2547" s="223"/>
      <c r="HM2547" s="223"/>
      <c r="HN2547" s="223"/>
      <c r="HO2547" s="223"/>
      <c r="HP2547" s="223"/>
      <c r="HQ2547" s="223"/>
      <c r="HR2547" s="223"/>
      <c r="HS2547" s="223"/>
      <c r="HT2547" s="223"/>
      <c r="HU2547" s="223"/>
      <c r="HV2547" s="223"/>
      <c r="HW2547" s="223"/>
      <c r="HX2547" s="223"/>
      <c r="HY2547" s="223"/>
      <c r="HZ2547" s="223"/>
      <c r="IA2547" s="223"/>
      <c r="IB2547" s="223"/>
      <c r="IC2547" s="223"/>
      <c r="ID2547" s="223"/>
      <c r="IE2547" s="223"/>
      <c r="IF2547" s="223"/>
      <c r="IG2547" s="223"/>
      <c r="IH2547" s="223"/>
      <c r="II2547" s="223"/>
      <c r="IJ2547" s="223"/>
      <c r="IK2547" s="223"/>
      <c r="IL2547" s="223"/>
      <c r="IM2547" s="223"/>
      <c r="IN2547" s="223"/>
      <c r="IO2547" s="223"/>
      <c r="IP2547" s="223"/>
      <c r="IQ2547" s="223"/>
      <c r="IR2547" s="223"/>
      <c r="IS2547" s="223"/>
      <c r="IT2547" s="223"/>
      <c r="IU2547" s="223"/>
      <c r="IV2547" s="223"/>
    </row>
    <row r="2548" spans="22:256" s="221" customFormat="1" x14ac:dyDescent="0.2">
      <c r="V2548" s="223"/>
      <c r="W2548" s="223"/>
      <c r="X2548" s="223"/>
      <c r="Y2548" s="223"/>
      <c r="Z2548" s="223"/>
      <c r="AA2548" s="223"/>
      <c r="AB2548" s="223"/>
      <c r="AC2548" s="223"/>
      <c r="AD2548" s="223"/>
      <c r="AE2548" s="223"/>
      <c r="AF2548" s="223"/>
      <c r="AG2548" s="223"/>
      <c r="AH2548" s="223"/>
      <c r="AI2548" s="223"/>
      <c r="AJ2548" s="223"/>
      <c r="AK2548" s="223"/>
      <c r="AL2548" s="223"/>
      <c r="AM2548" s="223"/>
      <c r="AN2548" s="223"/>
      <c r="AO2548" s="223"/>
      <c r="AP2548" s="223"/>
      <c r="AQ2548" s="223"/>
      <c r="AR2548" s="223"/>
      <c r="AS2548" s="223"/>
      <c r="AT2548" s="324"/>
      <c r="AU2548" s="324"/>
      <c r="AV2548" s="223"/>
      <c r="AW2548" s="223"/>
      <c r="AX2548" s="223"/>
      <c r="AY2548" s="223"/>
      <c r="AZ2548" s="223"/>
      <c r="BA2548" s="223"/>
      <c r="BB2548" s="223"/>
      <c r="BC2548" s="223"/>
      <c r="BD2548" s="223"/>
      <c r="BE2548" s="223"/>
      <c r="BF2548" s="223"/>
      <c r="BG2548" s="223"/>
      <c r="BH2548" s="223"/>
      <c r="BI2548" s="223"/>
      <c r="BJ2548" s="223"/>
      <c r="BK2548" s="223"/>
      <c r="BL2548" s="223"/>
      <c r="BM2548" s="223"/>
      <c r="BN2548" s="223"/>
      <c r="BO2548" s="223"/>
      <c r="BP2548" s="223"/>
      <c r="BQ2548" s="223"/>
      <c r="BR2548" s="223"/>
      <c r="BS2548" s="223"/>
      <c r="BT2548" s="223"/>
      <c r="BU2548" s="223"/>
      <c r="BV2548" s="223"/>
      <c r="BW2548" s="223"/>
      <c r="BX2548" s="223"/>
      <c r="BY2548" s="223"/>
      <c r="BZ2548" s="223"/>
      <c r="CA2548" s="223"/>
      <c r="CB2548" s="223"/>
      <c r="CC2548" s="223"/>
      <c r="CD2548" s="223"/>
      <c r="CE2548" s="223"/>
      <c r="CF2548" s="223"/>
      <c r="CG2548" s="223"/>
      <c r="CH2548" s="223"/>
      <c r="CI2548" s="223"/>
      <c r="CJ2548" s="223"/>
      <c r="CK2548" s="223"/>
      <c r="CL2548" s="223"/>
      <c r="CM2548" s="223"/>
      <c r="CN2548" s="223"/>
      <c r="CO2548" s="223"/>
      <c r="CP2548" s="223"/>
      <c r="CQ2548" s="223"/>
      <c r="CR2548" s="223"/>
      <c r="CS2548" s="223"/>
      <c r="CT2548" s="223"/>
      <c r="CU2548" s="223"/>
      <c r="CV2548" s="223"/>
      <c r="CW2548" s="223"/>
      <c r="CX2548" s="223"/>
      <c r="CY2548" s="223"/>
      <c r="CZ2548" s="223"/>
      <c r="DA2548" s="223"/>
      <c r="DB2548" s="223"/>
      <c r="DC2548" s="223"/>
      <c r="DD2548" s="223"/>
      <c r="DE2548" s="223"/>
      <c r="DF2548" s="223"/>
      <c r="DG2548" s="223"/>
      <c r="DH2548" s="223"/>
      <c r="DI2548" s="223"/>
      <c r="DJ2548" s="223"/>
      <c r="DK2548" s="223"/>
      <c r="DL2548" s="223"/>
      <c r="DM2548" s="223"/>
      <c r="DN2548" s="223"/>
      <c r="DO2548" s="223"/>
      <c r="DP2548" s="223"/>
      <c r="DQ2548" s="223"/>
      <c r="DR2548" s="223"/>
      <c r="DS2548" s="223"/>
      <c r="DT2548" s="223"/>
      <c r="DU2548" s="223"/>
      <c r="DV2548" s="223"/>
      <c r="DW2548" s="223"/>
      <c r="DX2548" s="223"/>
      <c r="DY2548" s="223"/>
      <c r="DZ2548" s="223"/>
      <c r="EA2548" s="223"/>
      <c r="EB2548" s="223"/>
      <c r="EC2548" s="223"/>
      <c r="ED2548" s="223"/>
      <c r="EE2548" s="223"/>
      <c r="EF2548" s="223"/>
      <c r="EG2548" s="223"/>
      <c r="EH2548" s="223"/>
      <c r="EI2548" s="223"/>
      <c r="EJ2548" s="223"/>
      <c r="EK2548" s="223"/>
      <c r="EL2548" s="223"/>
      <c r="EM2548" s="223"/>
      <c r="EN2548" s="223"/>
      <c r="EO2548" s="223"/>
      <c r="EP2548" s="223"/>
      <c r="EQ2548" s="223"/>
      <c r="ER2548" s="223"/>
      <c r="ES2548" s="223"/>
      <c r="ET2548" s="223"/>
      <c r="EU2548" s="223"/>
      <c r="EV2548" s="223"/>
      <c r="EW2548" s="223"/>
      <c r="EX2548" s="223"/>
      <c r="EY2548" s="223"/>
      <c r="EZ2548" s="223"/>
      <c r="FA2548" s="223"/>
      <c r="FB2548" s="223"/>
      <c r="FC2548" s="223"/>
      <c r="FD2548" s="223"/>
      <c r="FE2548" s="223"/>
      <c r="FF2548" s="223"/>
      <c r="FG2548" s="223"/>
      <c r="FH2548" s="223"/>
      <c r="FI2548" s="223"/>
      <c r="FJ2548" s="223"/>
      <c r="FK2548" s="223"/>
      <c r="FL2548" s="223"/>
      <c r="FM2548" s="223"/>
      <c r="FN2548" s="223"/>
      <c r="FO2548" s="223"/>
      <c r="FP2548" s="223"/>
      <c r="FQ2548" s="223"/>
      <c r="FR2548" s="223"/>
      <c r="FS2548" s="223"/>
      <c r="FT2548" s="223"/>
      <c r="FU2548" s="223"/>
      <c r="FV2548" s="223"/>
      <c r="FW2548" s="223"/>
      <c r="FX2548" s="223"/>
      <c r="FY2548" s="223"/>
      <c r="FZ2548" s="223"/>
      <c r="GA2548" s="223"/>
      <c r="GB2548" s="223"/>
      <c r="GC2548" s="223"/>
      <c r="GD2548" s="223"/>
      <c r="GE2548" s="223"/>
      <c r="GF2548" s="223"/>
      <c r="GG2548" s="223"/>
      <c r="GH2548" s="223"/>
      <c r="GI2548" s="223"/>
      <c r="GJ2548" s="223"/>
      <c r="GK2548" s="223"/>
      <c r="GL2548" s="223"/>
      <c r="GM2548" s="223"/>
      <c r="GN2548" s="223"/>
      <c r="GO2548" s="223"/>
      <c r="GP2548" s="223"/>
      <c r="GQ2548" s="223"/>
      <c r="GR2548" s="223"/>
      <c r="GS2548" s="223"/>
      <c r="GT2548" s="223"/>
      <c r="GU2548" s="223"/>
      <c r="GV2548" s="223"/>
      <c r="GW2548" s="223"/>
      <c r="GX2548" s="223"/>
      <c r="GY2548" s="223"/>
      <c r="GZ2548" s="223"/>
      <c r="HA2548" s="223"/>
      <c r="HB2548" s="223"/>
      <c r="HC2548" s="223"/>
      <c r="HD2548" s="223"/>
      <c r="HE2548" s="223"/>
      <c r="HF2548" s="223"/>
      <c r="HG2548" s="223"/>
      <c r="HH2548" s="223"/>
      <c r="HI2548" s="223"/>
      <c r="HJ2548" s="223"/>
      <c r="HK2548" s="223"/>
      <c r="HL2548" s="223"/>
      <c r="HM2548" s="223"/>
      <c r="HN2548" s="223"/>
      <c r="HO2548" s="223"/>
      <c r="HP2548" s="223"/>
      <c r="HQ2548" s="223"/>
      <c r="HR2548" s="223"/>
      <c r="HS2548" s="223"/>
      <c r="HT2548" s="223"/>
      <c r="HU2548" s="223"/>
      <c r="HV2548" s="223"/>
      <c r="HW2548" s="223"/>
      <c r="HX2548" s="223"/>
      <c r="HY2548" s="223"/>
      <c r="HZ2548" s="223"/>
      <c r="IA2548" s="223"/>
      <c r="IB2548" s="223"/>
      <c r="IC2548" s="223"/>
      <c r="ID2548" s="223"/>
      <c r="IE2548" s="223"/>
      <c r="IF2548" s="223"/>
      <c r="IG2548" s="223"/>
      <c r="IH2548" s="223"/>
      <c r="II2548" s="223"/>
      <c r="IJ2548" s="223"/>
      <c r="IK2548" s="223"/>
      <c r="IL2548" s="223"/>
      <c r="IM2548" s="223"/>
      <c r="IN2548" s="223"/>
      <c r="IO2548" s="223"/>
      <c r="IP2548" s="223"/>
      <c r="IQ2548" s="223"/>
      <c r="IR2548" s="223"/>
      <c r="IS2548" s="223"/>
      <c r="IT2548" s="223"/>
      <c r="IU2548" s="223"/>
      <c r="IV2548" s="223"/>
    </row>
    <row r="2549" spans="22:256" s="221" customFormat="1" x14ac:dyDescent="0.2">
      <c r="V2549" s="223"/>
      <c r="W2549" s="223"/>
      <c r="X2549" s="223"/>
      <c r="Y2549" s="223"/>
      <c r="Z2549" s="223"/>
      <c r="AA2549" s="223"/>
      <c r="AB2549" s="223"/>
      <c r="AC2549" s="223"/>
      <c r="AD2549" s="223"/>
      <c r="AE2549" s="223"/>
      <c r="AF2549" s="223"/>
      <c r="AG2549" s="223"/>
      <c r="AH2549" s="223"/>
      <c r="AI2549" s="223"/>
      <c r="AJ2549" s="223"/>
      <c r="AK2549" s="223"/>
      <c r="AL2549" s="223"/>
      <c r="AM2549" s="223"/>
      <c r="AN2549" s="223"/>
      <c r="AO2549" s="223"/>
      <c r="AP2549" s="223"/>
      <c r="AQ2549" s="223"/>
      <c r="AR2549" s="223"/>
      <c r="AS2549" s="223"/>
      <c r="AT2549" s="324"/>
      <c r="AU2549" s="324"/>
      <c r="AV2549" s="223"/>
      <c r="AW2549" s="223"/>
      <c r="AX2549" s="223"/>
      <c r="AY2549" s="223"/>
      <c r="AZ2549" s="223"/>
      <c r="BA2549" s="223"/>
      <c r="BB2549" s="223"/>
      <c r="BC2549" s="223"/>
      <c r="BD2549" s="223"/>
      <c r="BE2549" s="223"/>
      <c r="BF2549" s="223"/>
      <c r="BG2549" s="223"/>
      <c r="BH2549" s="223"/>
      <c r="BI2549" s="223"/>
      <c r="BJ2549" s="223"/>
      <c r="BK2549" s="223"/>
      <c r="BL2549" s="223"/>
      <c r="BM2549" s="223"/>
      <c r="BN2549" s="223"/>
      <c r="BO2549" s="223"/>
      <c r="BP2549" s="223"/>
      <c r="BQ2549" s="223"/>
      <c r="BR2549" s="223"/>
      <c r="BS2549" s="223"/>
      <c r="BT2549" s="223"/>
      <c r="BU2549" s="223"/>
      <c r="BV2549" s="223"/>
      <c r="BW2549" s="223"/>
      <c r="BX2549" s="223"/>
      <c r="BY2549" s="223"/>
      <c r="BZ2549" s="223"/>
      <c r="CA2549" s="223"/>
      <c r="CB2549" s="223"/>
      <c r="CC2549" s="223"/>
      <c r="CD2549" s="223"/>
      <c r="CE2549" s="223"/>
      <c r="CF2549" s="223"/>
      <c r="CG2549" s="223"/>
      <c r="CH2549" s="223"/>
      <c r="CI2549" s="223"/>
      <c r="CJ2549" s="223"/>
      <c r="CK2549" s="223"/>
      <c r="CL2549" s="223"/>
      <c r="CM2549" s="223"/>
      <c r="CN2549" s="223"/>
      <c r="CO2549" s="223"/>
      <c r="CP2549" s="223"/>
      <c r="CQ2549" s="223"/>
      <c r="CR2549" s="223"/>
      <c r="CS2549" s="223"/>
      <c r="CT2549" s="223"/>
      <c r="CU2549" s="223"/>
      <c r="CV2549" s="223"/>
      <c r="CW2549" s="223"/>
      <c r="CX2549" s="223"/>
      <c r="CY2549" s="223"/>
      <c r="CZ2549" s="223"/>
      <c r="DA2549" s="223"/>
      <c r="DB2549" s="223"/>
      <c r="DC2549" s="223"/>
      <c r="DD2549" s="223"/>
      <c r="DE2549" s="223"/>
      <c r="DF2549" s="223"/>
      <c r="DG2549" s="223"/>
      <c r="DH2549" s="223"/>
      <c r="DI2549" s="223"/>
      <c r="DJ2549" s="223"/>
      <c r="DK2549" s="223"/>
      <c r="DL2549" s="223"/>
      <c r="DM2549" s="223"/>
      <c r="DN2549" s="223"/>
      <c r="DO2549" s="223"/>
      <c r="DP2549" s="223"/>
      <c r="DQ2549" s="223"/>
      <c r="DR2549" s="223"/>
      <c r="DS2549" s="223"/>
      <c r="DT2549" s="223"/>
      <c r="DU2549" s="223"/>
      <c r="DV2549" s="223"/>
      <c r="DW2549" s="223"/>
      <c r="DX2549" s="223"/>
      <c r="DY2549" s="223"/>
      <c r="DZ2549" s="223"/>
      <c r="EA2549" s="223"/>
      <c r="EB2549" s="223"/>
      <c r="EC2549" s="223"/>
      <c r="ED2549" s="223"/>
      <c r="EE2549" s="223"/>
      <c r="EF2549" s="223"/>
      <c r="EG2549" s="223"/>
      <c r="EH2549" s="223"/>
      <c r="EI2549" s="223"/>
      <c r="EJ2549" s="223"/>
      <c r="EK2549" s="223"/>
      <c r="EL2549" s="223"/>
      <c r="EM2549" s="223"/>
      <c r="EN2549" s="223"/>
      <c r="EO2549" s="223"/>
      <c r="EP2549" s="223"/>
      <c r="EQ2549" s="223"/>
      <c r="ER2549" s="223"/>
      <c r="ES2549" s="223"/>
      <c r="ET2549" s="223"/>
      <c r="EU2549" s="223"/>
      <c r="EV2549" s="223"/>
      <c r="EW2549" s="223"/>
      <c r="EX2549" s="223"/>
      <c r="EY2549" s="223"/>
      <c r="EZ2549" s="223"/>
      <c r="FA2549" s="223"/>
      <c r="FB2549" s="223"/>
      <c r="FC2549" s="223"/>
      <c r="FD2549" s="223"/>
      <c r="FE2549" s="223"/>
      <c r="FF2549" s="223"/>
      <c r="FG2549" s="223"/>
      <c r="FH2549" s="223"/>
      <c r="FI2549" s="223"/>
      <c r="FJ2549" s="223"/>
      <c r="FK2549" s="223"/>
      <c r="FL2549" s="223"/>
      <c r="FM2549" s="223"/>
      <c r="FN2549" s="223"/>
      <c r="FO2549" s="223"/>
      <c r="FP2549" s="223"/>
      <c r="FQ2549" s="223"/>
      <c r="FR2549" s="223"/>
      <c r="FS2549" s="223"/>
      <c r="FT2549" s="223"/>
      <c r="FU2549" s="223"/>
      <c r="FV2549" s="223"/>
      <c r="FW2549" s="223"/>
      <c r="FX2549" s="223"/>
      <c r="FY2549" s="223"/>
      <c r="FZ2549" s="223"/>
      <c r="GA2549" s="223"/>
      <c r="GB2549" s="223"/>
      <c r="GC2549" s="223"/>
      <c r="GD2549" s="223"/>
      <c r="GE2549" s="223"/>
      <c r="GF2549" s="223"/>
      <c r="GG2549" s="223"/>
      <c r="GH2549" s="223"/>
      <c r="GI2549" s="223"/>
      <c r="GJ2549" s="223"/>
      <c r="GK2549" s="223"/>
      <c r="GL2549" s="223"/>
      <c r="GM2549" s="223"/>
      <c r="GN2549" s="223"/>
      <c r="GO2549" s="223"/>
      <c r="GP2549" s="223"/>
      <c r="GQ2549" s="223"/>
      <c r="GR2549" s="223"/>
      <c r="GS2549" s="223"/>
      <c r="GT2549" s="223"/>
      <c r="GU2549" s="223"/>
      <c r="GV2549" s="223"/>
      <c r="GW2549" s="223"/>
      <c r="GX2549" s="223"/>
      <c r="GY2549" s="223"/>
      <c r="GZ2549" s="223"/>
      <c r="HA2549" s="223"/>
      <c r="HB2549" s="223"/>
      <c r="HC2549" s="223"/>
      <c r="HD2549" s="223"/>
      <c r="HE2549" s="223"/>
      <c r="HF2549" s="223"/>
      <c r="HG2549" s="223"/>
      <c r="HH2549" s="223"/>
      <c r="HI2549" s="223"/>
      <c r="HJ2549" s="223"/>
      <c r="HK2549" s="223"/>
      <c r="HL2549" s="223"/>
      <c r="HM2549" s="223"/>
      <c r="HN2549" s="223"/>
      <c r="HO2549" s="223"/>
      <c r="HP2549" s="223"/>
      <c r="HQ2549" s="223"/>
      <c r="HR2549" s="223"/>
      <c r="HS2549" s="223"/>
      <c r="HT2549" s="223"/>
      <c r="HU2549" s="223"/>
      <c r="HV2549" s="223"/>
      <c r="HW2549" s="223"/>
      <c r="HX2549" s="223"/>
      <c r="HY2549" s="223"/>
      <c r="HZ2549" s="223"/>
      <c r="IA2549" s="223"/>
      <c r="IB2549" s="223"/>
      <c r="IC2549" s="223"/>
      <c r="ID2549" s="223"/>
      <c r="IE2549" s="223"/>
      <c r="IF2549" s="223"/>
      <c r="IG2549" s="223"/>
      <c r="IH2549" s="223"/>
      <c r="II2549" s="223"/>
      <c r="IJ2549" s="223"/>
      <c r="IK2549" s="223"/>
      <c r="IL2549" s="223"/>
      <c r="IM2549" s="223"/>
      <c r="IN2549" s="223"/>
      <c r="IO2549" s="223"/>
      <c r="IP2549" s="223"/>
      <c r="IQ2549" s="223"/>
      <c r="IR2549" s="223"/>
      <c r="IS2549" s="223"/>
      <c r="IT2549" s="223"/>
      <c r="IU2549" s="223"/>
      <c r="IV2549" s="223"/>
    </row>
    <row r="2550" spans="22:256" s="221" customFormat="1" x14ac:dyDescent="0.2">
      <c r="V2550" s="223"/>
      <c r="W2550" s="223"/>
      <c r="X2550" s="223"/>
      <c r="Y2550" s="223"/>
      <c r="Z2550" s="223"/>
      <c r="AA2550" s="223"/>
      <c r="AB2550" s="223"/>
      <c r="AC2550" s="223"/>
      <c r="AD2550" s="223"/>
      <c r="AE2550" s="223"/>
      <c r="AF2550" s="223"/>
      <c r="AG2550" s="223"/>
      <c r="AH2550" s="223"/>
      <c r="AI2550" s="223"/>
      <c r="AJ2550" s="223"/>
      <c r="AK2550" s="223"/>
      <c r="AL2550" s="223"/>
      <c r="AM2550" s="223"/>
      <c r="AN2550" s="223"/>
      <c r="AO2550" s="223"/>
      <c r="AP2550" s="223"/>
      <c r="AQ2550" s="223"/>
      <c r="AR2550" s="223"/>
      <c r="AS2550" s="223"/>
      <c r="AT2550" s="324"/>
      <c r="AU2550" s="324"/>
      <c r="AV2550" s="223"/>
      <c r="AW2550" s="223"/>
      <c r="AX2550" s="223"/>
      <c r="AY2550" s="223"/>
      <c r="AZ2550" s="223"/>
      <c r="BA2550" s="223"/>
      <c r="BB2550" s="223"/>
      <c r="BC2550" s="223"/>
      <c r="BD2550" s="223"/>
      <c r="BE2550" s="223"/>
      <c r="BF2550" s="223"/>
      <c r="BG2550" s="223"/>
      <c r="BH2550" s="223"/>
      <c r="BI2550" s="223"/>
      <c r="BJ2550" s="223"/>
      <c r="BK2550" s="223"/>
      <c r="BL2550" s="223"/>
      <c r="BM2550" s="223"/>
      <c r="BN2550" s="223"/>
      <c r="BO2550" s="223"/>
      <c r="BP2550" s="223"/>
      <c r="BQ2550" s="223"/>
      <c r="BR2550" s="223"/>
      <c r="BS2550" s="223"/>
      <c r="BT2550" s="223"/>
      <c r="BU2550" s="223"/>
      <c r="BV2550" s="223"/>
      <c r="BW2550" s="223"/>
      <c r="BX2550" s="223"/>
      <c r="BY2550" s="223"/>
      <c r="BZ2550" s="223"/>
      <c r="CA2550" s="223"/>
      <c r="CB2550" s="223"/>
      <c r="CC2550" s="223"/>
      <c r="CD2550" s="223"/>
      <c r="CE2550" s="223"/>
      <c r="CF2550" s="223"/>
      <c r="CG2550" s="223"/>
      <c r="CH2550" s="223"/>
      <c r="CI2550" s="223"/>
      <c r="CJ2550" s="223"/>
      <c r="CK2550" s="223"/>
      <c r="CL2550" s="223"/>
      <c r="CM2550" s="223"/>
      <c r="CN2550" s="223"/>
      <c r="CO2550" s="223"/>
      <c r="CP2550" s="223"/>
      <c r="CQ2550" s="223"/>
      <c r="CR2550" s="223"/>
      <c r="CS2550" s="223"/>
      <c r="CT2550" s="223"/>
      <c r="CU2550" s="223"/>
      <c r="CV2550" s="223"/>
      <c r="CW2550" s="223"/>
      <c r="CX2550" s="223"/>
      <c r="CY2550" s="223"/>
      <c r="CZ2550" s="223"/>
      <c r="DA2550" s="223"/>
      <c r="DB2550" s="223"/>
      <c r="DC2550" s="223"/>
      <c r="DD2550" s="223"/>
      <c r="DE2550" s="223"/>
      <c r="DF2550" s="223"/>
      <c r="DG2550" s="223"/>
      <c r="DH2550" s="223"/>
      <c r="DI2550" s="223"/>
      <c r="DJ2550" s="223"/>
      <c r="DK2550" s="223"/>
      <c r="DL2550" s="223"/>
      <c r="DM2550" s="223"/>
      <c r="DN2550" s="223"/>
      <c r="DO2550" s="223"/>
      <c r="DP2550" s="223"/>
      <c r="DQ2550" s="223"/>
      <c r="DR2550" s="223"/>
      <c r="DS2550" s="223"/>
      <c r="DT2550" s="223"/>
      <c r="DU2550" s="223"/>
      <c r="DV2550" s="223"/>
      <c r="DW2550" s="223"/>
      <c r="DX2550" s="223"/>
      <c r="DY2550" s="223"/>
      <c r="DZ2550" s="223"/>
      <c r="EA2550" s="223"/>
      <c r="EB2550" s="223"/>
      <c r="EC2550" s="223"/>
      <c r="ED2550" s="223"/>
      <c r="EE2550" s="223"/>
      <c r="EF2550" s="223"/>
      <c r="EG2550" s="223"/>
      <c r="EH2550" s="223"/>
      <c r="EI2550" s="223"/>
      <c r="EJ2550" s="223"/>
      <c r="EK2550" s="223"/>
      <c r="EL2550" s="223"/>
      <c r="EM2550" s="223"/>
      <c r="EN2550" s="223"/>
      <c r="EO2550" s="223"/>
      <c r="EP2550" s="223"/>
      <c r="EQ2550" s="223"/>
      <c r="ER2550" s="223"/>
      <c r="ES2550" s="223"/>
      <c r="ET2550" s="223"/>
      <c r="EU2550" s="223"/>
      <c r="EV2550" s="223"/>
      <c r="EW2550" s="223"/>
      <c r="EX2550" s="223"/>
      <c r="EY2550" s="223"/>
      <c r="EZ2550" s="223"/>
      <c r="FA2550" s="223"/>
      <c r="FB2550" s="223"/>
      <c r="FC2550" s="223"/>
      <c r="FD2550" s="223"/>
      <c r="FE2550" s="223"/>
      <c r="FF2550" s="223"/>
      <c r="FG2550" s="223"/>
      <c r="FH2550" s="223"/>
      <c r="FI2550" s="223"/>
      <c r="FJ2550" s="223"/>
      <c r="FK2550" s="223"/>
      <c r="FL2550" s="223"/>
      <c r="FM2550" s="223"/>
      <c r="FN2550" s="223"/>
      <c r="FO2550" s="223"/>
      <c r="FP2550" s="223"/>
      <c r="FQ2550" s="223"/>
      <c r="FR2550" s="223"/>
      <c r="FS2550" s="223"/>
      <c r="FT2550" s="223"/>
      <c r="FU2550" s="223"/>
      <c r="FV2550" s="223"/>
      <c r="FW2550" s="223"/>
      <c r="FX2550" s="223"/>
      <c r="FY2550" s="223"/>
      <c r="FZ2550" s="223"/>
      <c r="GA2550" s="223"/>
      <c r="GB2550" s="223"/>
      <c r="GC2550" s="223"/>
      <c r="GD2550" s="223"/>
      <c r="GE2550" s="223"/>
      <c r="GF2550" s="223"/>
      <c r="GG2550" s="223"/>
      <c r="GH2550" s="223"/>
      <c r="GI2550" s="223"/>
      <c r="GJ2550" s="223"/>
      <c r="GK2550" s="223"/>
      <c r="GL2550" s="223"/>
      <c r="GM2550" s="223"/>
      <c r="GN2550" s="223"/>
      <c r="GO2550" s="223"/>
      <c r="GP2550" s="223"/>
      <c r="GQ2550" s="223"/>
      <c r="GR2550" s="223"/>
      <c r="GS2550" s="223"/>
      <c r="GT2550" s="223"/>
      <c r="GU2550" s="223"/>
      <c r="GV2550" s="223"/>
      <c r="GW2550" s="223"/>
      <c r="GX2550" s="223"/>
      <c r="GY2550" s="223"/>
      <c r="GZ2550" s="223"/>
      <c r="HA2550" s="223"/>
      <c r="HB2550" s="223"/>
      <c r="HC2550" s="223"/>
      <c r="HD2550" s="223"/>
      <c r="HE2550" s="223"/>
      <c r="HF2550" s="223"/>
      <c r="HG2550" s="223"/>
      <c r="HH2550" s="223"/>
      <c r="HI2550" s="223"/>
      <c r="HJ2550" s="223"/>
      <c r="HK2550" s="223"/>
      <c r="HL2550" s="223"/>
      <c r="HM2550" s="223"/>
      <c r="HN2550" s="223"/>
      <c r="HO2550" s="223"/>
      <c r="HP2550" s="223"/>
      <c r="HQ2550" s="223"/>
      <c r="HR2550" s="223"/>
      <c r="HS2550" s="223"/>
      <c r="HT2550" s="223"/>
      <c r="HU2550" s="223"/>
      <c r="HV2550" s="223"/>
      <c r="HW2550" s="223"/>
      <c r="HX2550" s="223"/>
      <c r="HY2550" s="223"/>
      <c r="HZ2550" s="223"/>
      <c r="IA2550" s="223"/>
      <c r="IB2550" s="223"/>
      <c r="IC2550" s="223"/>
      <c r="ID2550" s="223"/>
      <c r="IE2550" s="223"/>
      <c r="IF2550" s="223"/>
      <c r="IG2550" s="223"/>
      <c r="IH2550" s="223"/>
      <c r="II2550" s="223"/>
      <c r="IJ2550" s="223"/>
      <c r="IK2550" s="223"/>
      <c r="IL2550" s="223"/>
      <c r="IM2550" s="223"/>
      <c r="IN2550" s="223"/>
      <c r="IO2550" s="223"/>
      <c r="IP2550" s="223"/>
      <c r="IQ2550" s="223"/>
      <c r="IR2550" s="223"/>
      <c r="IS2550" s="223"/>
      <c r="IT2550" s="223"/>
      <c r="IU2550" s="223"/>
      <c r="IV2550" s="223"/>
    </row>
    <row r="2551" spans="22:256" s="221" customFormat="1" x14ac:dyDescent="0.2">
      <c r="V2551" s="223"/>
      <c r="W2551" s="223"/>
      <c r="X2551" s="223"/>
      <c r="Y2551" s="223"/>
      <c r="Z2551" s="223"/>
      <c r="AA2551" s="223"/>
      <c r="AB2551" s="223"/>
      <c r="AC2551" s="223"/>
      <c r="AD2551" s="223"/>
      <c r="AE2551" s="223"/>
      <c r="AF2551" s="223"/>
      <c r="AG2551" s="223"/>
      <c r="AH2551" s="223"/>
      <c r="AI2551" s="223"/>
      <c r="AJ2551" s="223"/>
      <c r="AK2551" s="223"/>
      <c r="AL2551" s="223"/>
      <c r="AM2551" s="223"/>
      <c r="AN2551" s="223"/>
      <c r="AO2551" s="223"/>
      <c r="AP2551" s="223"/>
      <c r="AQ2551" s="223"/>
      <c r="AR2551" s="223"/>
      <c r="AS2551" s="223"/>
      <c r="AT2551" s="324"/>
      <c r="AU2551" s="324"/>
      <c r="AV2551" s="223"/>
      <c r="AW2551" s="223"/>
      <c r="AX2551" s="223"/>
      <c r="AY2551" s="223"/>
      <c r="AZ2551" s="223"/>
      <c r="BA2551" s="223"/>
      <c r="BB2551" s="223"/>
      <c r="BC2551" s="223"/>
      <c r="BD2551" s="223"/>
      <c r="BE2551" s="223"/>
      <c r="BF2551" s="223"/>
      <c r="BG2551" s="223"/>
      <c r="BH2551" s="223"/>
      <c r="BI2551" s="223"/>
      <c r="BJ2551" s="223"/>
      <c r="BK2551" s="223"/>
      <c r="BL2551" s="223"/>
      <c r="BM2551" s="223"/>
      <c r="BN2551" s="223"/>
      <c r="BO2551" s="223"/>
      <c r="BP2551" s="223"/>
      <c r="BQ2551" s="223"/>
      <c r="BR2551" s="223"/>
      <c r="BS2551" s="223"/>
      <c r="BT2551" s="223"/>
      <c r="BU2551" s="223"/>
      <c r="BV2551" s="223"/>
      <c r="BW2551" s="223"/>
      <c r="BX2551" s="223"/>
      <c r="BY2551" s="223"/>
      <c r="BZ2551" s="223"/>
      <c r="CA2551" s="223"/>
      <c r="CB2551" s="223"/>
      <c r="CC2551" s="223"/>
      <c r="CD2551" s="223"/>
      <c r="CE2551" s="223"/>
      <c r="CF2551" s="223"/>
      <c r="CG2551" s="223"/>
      <c r="CH2551" s="223"/>
      <c r="CI2551" s="223"/>
      <c r="CJ2551" s="223"/>
      <c r="CK2551" s="223"/>
      <c r="CL2551" s="223"/>
      <c r="CM2551" s="223"/>
      <c r="CN2551" s="223"/>
      <c r="CO2551" s="223"/>
      <c r="CP2551" s="223"/>
      <c r="CQ2551" s="223"/>
      <c r="CR2551" s="223"/>
      <c r="CS2551" s="223"/>
      <c r="CT2551" s="223"/>
      <c r="CU2551" s="223"/>
      <c r="CV2551" s="223"/>
      <c r="CW2551" s="223"/>
      <c r="CX2551" s="223"/>
      <c r="CY2551" s="223"/>
      <c r="CZ2551" s="223"/>
      <c r="DA2551" s="223"/>
      <c r="DB2551" s="223"/>
      <c r="DC2551" s="223"/>
      <c r="DD2551" s="223"/>
      <c r="DE2551" s="223"/>
      <c r="DF2551" s="223"/>
      <c r="DG2551" s="223"/>
      <c r="DH2551" s="223"/>
      <c r="DI2551" s="223"/>
      <c r="DJ2551" s="223"/>
      <c r="DK2551" s="223"/>
      <c r="DL2551" s="223"/>
      <c r="DM2551" s="223"/>
      <c r="DN2551" s="223"/>
      <c r="DO2551" s="223"/>
      <c r="DP2551" s="223"/>
      <c r="DQ2551" s="223"/>
      <c r="DR2551" s="223"/>
      <c r="DS2551" s="223"/>
      <c r="DT2551" s="223"/>
      <c r="DU2551" s="223"/>
      <c r="DV2551" s="223"/>
      <c r="DW2551" s="223"/>
      <c r="DX2551" s="223"/>
      <c r="DY2551" s="223"/>
      <c r="DZ2551" s="223"/>
      <c r="EA2551" s="223"/>
      <c r="EB2551" s="223"/>
      <c r="EC2551" s="223"/>
      <c r="ED2551" s="223"/>
      <c r="EE2551" s="223"/>
      <c r="EF2551" s="223"/>
      <c r="EG2551" s="223"/>
      <c r="EH2551" s="223"/>
      <c r="EI2551" s="223"/>
      <c r="EJ2551" s="223"/>
      <c r="EK2551" s="223"/>
      <c r="EL2551" s="223"/>
      <c r="EM2551" s="223"/>
      <c r="EN2551" s="223"/>
      <c r="EO2551" s="223"/>
      <c r="EP2551" s="223"/>
      <c r="EQ2551" s="223"/>
      <c r="ER2551" s="223"/>
      <c r="ES2551" s="223"/>
      <c r="ET2551" s="223"/>
      <c r="EU2551" s="223"/>
      <c r="EV2551" s="223"/>
      <c r="EW2551" s="223"/>
      <c r="EX2551" s="223"/>
      <c r="EY2551" s="223"/>
      <c r="EZ2551" s="223"/>
      <c r="FA2551" s="223"/>
      <c r="FB2551" s="223"/>
      <c r="FC2551" s="223"/>
      <c r="FD2551" s="223"/>
      <c r="FE2551" s="223"/>
      <c r="FF2551" s="223"/>
      <c r="FG2551" s="223"/>
      <c r="FH2551" s="223"/>
      <c r="FI2551" s="223"/>
      <c r="FJ2551" s="223"/>
      <c r="FK2551" s="223"/>
      <c r="FL2551" s="223"/>
      <c r="FM2551" s="223"/>
      <c r="FN2551" s="223"/>
      <c r="FO2551" s="223"/>
      <c r="FP2551" s="223"/>
      <c r="FQ2551" s="223"/>
      <c r="FR2551" s="223"/>
      <c r="FS2551" s="223"/>
      <c r="FT2551" s="223"/>
      <c r="FU2551" s="223"/>
      <c r="FV2551" s="223"/>
      <c r="FW2551" s="223"/>
      <c r="FX2551" s="223"/>
      <c r="FY2551" s="223"/>
      <c r="FZ2551" s="223"/>
      <c r="GA2551" s="223"/>
      <c r="GB2551" s="223"/>
      <c r="GC2551" s="223"/>
      <c r="GD2551" s="223"/>
      <c r="GE2551" s="223"/>
      <c r="GF2551" s="223"/>
      <c r="GG2551" s="223"/>
      <c r="GH2551" s="223"/>
      <c r="GI2551" s="223"/>
      <c r="GJ2551" s="223"/>
      <c r="GK2551" s="223"/>
      <c r="GL2551" s="223"/>
      <c r="GM2551" s="223"/>
      <c r="GN2551" s="223"/>
      <c r="GO2551" s="223"/>
      <c r="GP2551" s="223"/>
      <c r="GQ2551" s="223"/>
      <c r="GR2551" s="223"/>
      <c r="GS2551" s="223"/>
      <c r="GT2551" s="223"/>
      <c r="GU2551" s="223"/>
      <c r="GV2551" s="223"/>
      <c r="GW2551" s="223"/>
      <c r="GX2551" s="223"/>
      <c r="GY2551" s="223"/>
      <c r="GZ2551" s="223"/>
      <c r="HA2551" s="223"/>
      <c r="HB2551" s="223"/>
      <c r="HC2551" s="223"/>
      <c r="HD2551" s="223"/>
      <c r="HE2551" s="223"/>
      <c r="HF2551" s="223"/>
      <c r="HG2551" s="223"/>
      <c r="HH2551" s="223"/>
      <c r="HI2551" s="223"/>
      <c r="HJ2551" s="223"/>
      <c r="HK2551" s="223"/>
      <c r="HL2551" s="223"/>
      <c r="HM2551" s="223"/>
      <c r="HN2551" s="223"/>
      <c r="HO2551" s="223"/>
      <c r="HP2551" s="223"/>
      <c r="HQ2551" s="223"/>
      <c r="HR2551" s="223"/>
      <c r="HS2551" s="223"/>
      <c r="HT2551" s="223"/>
      <c r="HU2551" s="223"/>
      <c r="HV2551" s="223"/>
      <c r="HW2551" s="223"/>
      <c r="HX2551" s="223"/>
      <c r="HY2551" s="223"/>
      <c r="HZ2551" s="223"/>
      <c r="IA2551" s="223"/>
      <c r="IB2551" s="223"/>
      <c r="IC2551" s="223"/>
      <c r="ID2551" s="223"/>
      <c r="IE2551" s="223"/>
      <c r="IF2551" s="223"/>
      <c r="IG2551" s="223"/>
      <c r="IH2551" s="223"/>
      <c r="II2551" s="223"/>
      <c r="IJ2551" s="223"/>
      <c r="IK2551" s="223"/>
      <c r="IL2551" s="223"/>
      <c r="IM2551" s="223"/>
      <c r="IN2551" s="223"/>
      <c r="IO2551" s="223"/>
      <c r="IP2551" s="223"/>
      <c r="IQ2551" s="223"/>
      <c r="IR2551" s="223"/>
      <c r="IS2551" s="223"/>
      <c r="IT2551" s="223"/>
      <c r="IU2551" s="223"/>
      <c r="IV2551" s="223"/>
    </row>
    <row r="2552" spans="22:256" s="221" customFormat="1" x14ac:dyDescent="0.2">
      <c r="V2552" s="223"/>
      <c r="W2552" s="223"/>
      <c r="X2552" s="223"/>
      <c r="Y2552" s="223"/>
      <c r="Z2552" s="223"/>
      <c r="AA2552" s="223"/>
      <c r="AB2552" s="223"/>
      <c r="AC2552" s="223"/>
      <c r="AD2552" s="223"/>
      <c r="AE2552" s="223"/>
      <c r="AF2552" s="223"/>
      <c r="AG2552" s="223"/>
      <c r="AH2552" s="223"/>
      <c r="AI2552" s="223"/>
      <c r="AJ2552" s="223"/>
      <c r="AK2552" s="223"/>
      <c r="AL2552" s="223"/>
      <c r="AM2552" s="223"/>
      <c r="AN2552" s="223"/>
      <c r="AO2552" s="223"/>
      <c r="AP2552" s="223"/>
      <c r="AQ2552" s="223"/>
      <c r="AR2552" s="223"/>
      <c r="AS2552" s="223"/>
      <c r="AT2552" s="324"/>
      <c r="AU2552" s="324"/>
      <c r="AV2552" s="223"/>
      <c r="AW2552" s="223"/>
      <c r="AX2552" s="223"/>
      <c r="AY2552" s="223"/>
      <c r="AZ2552" s="223"/>
      <c r="BA2552" s="223"/>
      <c r="BB2552" s="223"/>
      <c r="BC2552" s="223"/>
      <c r="BD2552" s="223"/>
      <c r="BE2552" s="223"/>
      <c r="BF2552" s="223"/>
      <c r="BG2552" s="223"/>
      <c r="BH2552" s="223"/>
      <c r="BI2552" s="223"/>
      <c r="BJ2552" s="223"/>
      <c r="BK2552" s="223"/>
      <c r="BL2552" s="223"/>
      <c r="BM2552" s="223"/>
      <c r="BN2552" s="223"/>
      <c r="BO2552" s="223"/>
      <c r="BP2552" s="223"/>
      <c r="BQ2552" s="223"/>
      <c r="BR2552" s="223"/>
      <c r="BS2552" s="223"/>
      <c r="BT2552" s="223"/>
      <c r="BU2552" s="223"/>
      <c r="BV2552" s="223"/>
      <c r="BW2552" s="223"/>
      <c r="BX2552" s="223"/>
      <c r="BY2552" s="223"/>
      <c r="BZ2552" s="223"/>
      <c r="CA2552" s="223"/>
      <c r="CB2552" s="223"/>
      <c r="CC2552" s="223"/>
      <c r="CD2552" s="223"/>
      <c r="CE2552" s="223"/>
      <c r="CF2552" s="223"/>
      <c r="CG2552" s="223"/>
      <c r="CH2552" s="223"/>
      <c r="CI2552" s="223"/>
      <c r="CJ2552" s="223"/>
      <c r="CK2552" s="223"/>
      <c r="CL2552" s="223"/>
      <c r="CM2552" s="223"/>
      <c r="CN2552" s="223"/>
      <c r="CO2552" s="223"/>
      <c r="CP2552" s="223"/>
      <c r="CQ2552" s="223"/>
      <c r="CR2552" s="223"/>
      <c r="CS2552" s="223"/>
      <c r="CT2552" s="223"/>
      <c r="CU2552" s="223"/>
      <c r="CV2552" s="223"/>
      <c r="CW2552" s="223"/>
      <c r="CX2552" s="223"/>
      <c r="CY2552" s="223"/>
      <c r="CZ2552" s="223"/>
      <c r="DA2552" s="223"/>
      <c r="DB2552" s="223"/>
      <c r="DC2552" s="223"/>
      <c r="DD2552" s="223"/>
      <c r="DE2552" s="223"/>
      <c r="DF2552" s="223"/>
      <c r="DG2552" s="223"/>
      <c r="DH2552" s="223"/>
      <c r="DI2552" s="223"/>
      <c r="DJ2552" s="223"/>
      <c r="DK2552" s="223"/>
      <c r="DL2552" s="223"/>
      <c r="DM2552" s="223"/>
      <c r="DN2552" s="223"/>
      <c r="DO2552" s="223"/>
      <c r="DP2552" s="223"/>
      <c r="DQ2552" s="223"/>
      <c r="DR2552" s="223"/>
      <c r="DS2552" s="223"/>
      <c r="DT2552" s="223"/>
      <c r="DU2552" s="223"/>
      <c r="DV2552" s="223"/>
      <c r="DW2552" s="223"/>
      <c r="DX2552" s="223"/>
      <c r="DY2552" s="223"/>
      <c r="DZ2552" s="223"/>
      <c r="EA2552" s="223"/>
      <c r="EB2552" s="223"/>
      <c r="EC2552" s="223"/>
      <c r="ED2552" s="223"/>
      <c r="EE2552" s="223"/>
      <c r="EF2552" s="223"/>
      <c r="EG2552" s="223"/>
      <c r="EH2552" s="223"/>
      <c r="EI2552" s="223"/>
      <c r="EJ2552" s="223"/>
      <c r="EK2552" s="223"/>
      <c r="EL2552" s="223"/>
      <c r="EM2552" s="223"/>
      <c r="EN2552" s="223"/>
      <c r="EO2552" s="223"/>
      <c r="EP2552" s="223"/>
      <c r="EQ2552" s="223"/>
      <c r="ER2552" s="223"/>
      <c r="ES2552" s="223"/>
      <c r="ET2552" s="223"/>
      <c r="EU2552" s="223"/>
      <c r="EV2552" s="223"/>
      <c r="EW2552" s="223"/>
      <c r="EX2552" s="223"/>
      <c r="EY2552" s="223"/>
      <c r="EZ2552" s="223"/>
      <c r="FA2552" s="223"/>
      <c r="FB2552" s="223"/>
      <c r="FC2552" s="223"/>
      <c r="FD2552" s="223"/>
      <c r="FE2552" s="223"/>
      <c r="FF2552" s="223"/>
      <c r="FG2552" s="223"/>
      <c r="FH2552" s="223"/>
      <c r="FI2552" s="223"/>
      <c r="FJ2552" s="223"/>
      <c r="FK2552" s="223"/>
      <c r="FL2552" s="223"/>
      <c r="FM2552" s="223"/>
      <c r="FN2552" s="223"/>
      <c r="FO2552" s="223"/>
      <c r="FP2552" s="223"/>
      <c r="FQ2552" s="223"/>
      <c r="FR2552" s="223"/>
      <c r="FS2552" s="223"/>
      <c r="FT2552" s="223"/>
      <c r="FU2552" s="223"/>
      <c r="FV2552" s="223"/>
      <c r="FW2552" s="223"/>
      <c r="FX2552" s="223"/>
      <c r="FY2552" s="223"/>
      <c r="FZ2552" s="223"/>
      <c r="GA2552" s="223"/>
      <c r="GB2552" s="223"/>
      <c r="GC2552" s="223"/>
      <c r="GD2552" s="223"/>
      <c r="GE2552" s="223"/>
      <c r="GF2552" s="223"/>
      <c r="GG2552" s="223"/>
      <c r="GH2552" s="223"/>
      <c r="GI2552" s="223"/>
      <c r="GJ2552" s="223"/>
      <c r="GK2552" s="223"/>
      <c r="GL2552" s="223"/>
      <c r="GM2552" s="223"/>
      <c r="GN2552" s="223"/>
      <c r="GO2552" s="223"/>
      <c r="GP2552" s="223"/>
      <c r="GQ2552" s="223"/>
      <c r="GR2552" s="223"/>
      <c r="GS2552" s="223"/>
      <c r="GT2552" s="223"/>
      <c r="GU2552" s="223"/>
      <c r="GV2552" s="223"/>
      <c r="GW2552" s="223"/>
      <c r="GX2552" s="223"/>
      <c r="GY2552" s="223"/>
      <c r="GZ2552" s="223"/>
      <c r="HA2552" s="223"/>
      <c r="HB2552" s="223"/>
      <c r="HC2552" s="223"/>
      <c r="HD2552" s="223"/>
      <c r="HE2552" s="223"/>
      <c r="HF2552" s="223"/>
      <c r="HG2552" s="223"/>
      <c r="HH2552" s="223"/>
      <c r="HI2552" s="223"/>
      <c r="HJ2552" s="223"/>
      <c r="HK2552" s="223"/>
      <c r="HL2552" s="223"/>
      <c r="HM2552" s="223"/>
      <c r="HN2552" s="223"/>
      <c r="HO2552" s="223"/>
      <c r="HP2552" s="223"/>
      <c r="HQ2552" s="223"/>
      <c r="HR2552" s="223"/>
      <c r="HS2552" s="223"/>
      <c r="HT2552" s="223"/>
      <c r="HU2552" s="223"/>
      <c r="HV2552" s="223"/>
      <c r="HW2552" s="223"/>
      <c r="HX2552" s="223"/>
      <c r="HY2552" s="223"/>
      <c r="HZ2552" s="223"/>
      <c r="IA2552" s="223"/>
      <c r="IB2552" s="223"/>
      <c r="IC2552" s="223"/>
      <c r="ID2552" s="223"/>
      <c r="IE2552" s="223"/>
      <c r="IF2552" s="223"/>
      <c r="IG2552" s="223"/>
      <c r="IH2552" s="223"/>
      <c r="II2552" s="223"/>
      <c r="IJ2552" s="223"/>
      <c r="IK2552" s="223"/>
      <c r="IL2552" s="223"/>
      <c r="IM2552" s="223"/>
      <c r="IN2552" s="223"/>
      <c r="IO2552" s="223"/>
      <c r="IP2552" s="223"/>
      <c r="IQ2552" s="223"/>
      <c r="IR2552" s="223"/>
      <c r="IS2552" s="223"/>
      <c r="IT2552" s="223"/>
      <c r="IU2552" s="223"/>
      <c r="IV2552" s="223"/>
    </row>
    <row r="2553" spans="22:256" s="221" customFormat="1" x14ac:dyDescent="0.2">
      <c r="V2553" s="223"/>
      <c r="W2553" s="223"/>
      <c r="X2553" s="223"/>
      <c r="Y2553" s="223"/>
      <c r="Z2553" s="223"/>
      <c r="AA2553" s="223"/>
      <c r="AB2553" s="223"/>
      <c r="AC2553" s="223"/>
      <c r="AD2553" s="223"/>
      <c r="AE2553" s="223"/>
      <c r="AF2553" s="223"/>
      <c r="AG2553" s="223"/>
      <c r="AH2553" s="223"/>
      <c r="AI2553" s="223"/>
      <c r="AJ2553" s="223"/>
      <c r="AK2553" s="223"/>
      <c r="AL2553" s="223"/>
      <c r="AM2553" s="223"/>
      <c r="AN2553" s="223"/>
      <c r="AO2553" s="223"/>
      <c r="AP2553" s="223"/>
      <c r="AQ2553" s="223"/>
      <c r="AR2553" s="223"/>
      <c r="AS2553" s="223"/>
      <c r="AT2553" s="324"/>
      <c r="AU2553" s="324"/>
      <c r="AV2553" s="223"/>
      <c r="AW2553" s="223"/>
      <c r="AX2553" s="223"/>
      <c r="AY2553" s="223"/>
      <c r="AZ2553" s="223"/>
      <c r="BA2553" s="223"/>
      <c r="BB2553" s="223"/>
      <c r="BC2553" s="223"/>
      <c r="BD2553" s="223"/>
      <c r="BE2553" s="223"/>
      <c r="BF2553" s="223"/>
      <c r="BG2553" s="223"/>
      <c r="BH2553" s="223"/>
      <c r="BI2553" s="223"/>
      <c r="BJ2553" s="223"/>
      <c r="BK2553" s="223"/>
      <c r="BL2553" s="223"/>
      <c r="BM2553" s="223"/>
      <c r="BN2553" s="223"/>
      <c r="BO2553" s="223"/>
      <c r="BP2553" s="223"/>
      <c r="BQ2553" s="223"/>
      <c r="BR2553" s="223"/>
      <c r="BS2553" s="223"/>
      <c r="BT2553" s="223"/>
      <c r="BU2553" s="223"/>
      <c r="BV2553" s="223"/>
      <c r="BW2553" s="223"/>
      <c r="BX2553" s="223"/>
      <c r="BY2553" s="223"/>
      <c r="BZ2553" s="223"/>
      <c r="CA2553" s="223"/>
      <c r="CB2553" s="223"/>
      <c r="CC2553" s="223"/>
      <c r="CD2553" s="223"/>
      <c r="CE2553" s="223"/>
      <c r="CF2553" s="223"/>
      <c r="CG2553" s="223"/>
      <c r="CH2553" s="223"/>
      <c r="CI2553" s="223"/>
      <c r="CJ2553" s="223"/>
      <c r="CK2553" s="223"/>
      <c r="CL2553" s="223"/>
      <c r="CM2553" s="223"/>
      <c r="CN2553" s="223"/>
      <c r="CO2553" s="223"/>
      <c r="CP2553" s="223"/>
      <c r="CQ2553" s="223"/>
      <c r="CR2553" s="223"/>
      <c r="CS2553" s="223"/>
      <c r="CT2553" s="223"/>
      <c r="CU2553" s="223"/>
      <c r="CV2553" s="223"/>
      <c r="CW2553" s="223"/>
      <c r="CX2553" s="223"/>
      <c r="CY2553" s="223"/>
      <c r="CZ2553" s="223"/>
      <c r="DA2553" s="223"/>
      <c r="DB2553" s="223"/>
      <c r="DC2553" s="223"/>
      <c r="DD2553" s="223"/>
      <c r="DE2553" s="223"/>
      <c r="DF2553" s="223"/>
      <c r="DG2553" s="223"/>
      <c r="DH2553" s="223"/>
      <c r="DI2553" s="223"/>
      <c r="DJ2553" s="223"/>
      <c r="DK2553" s="223"/>
      <c r="DL2553" s="223"/>
      <c r="DM2553" s="223"/>
      <c r="DN2553" s="223"/>
      <c r="DO2553" s="223"/>
      <c r="DP2553" s="223"/>
      <c r="DQ2553" s="223"/>
      <c r="DR2553" s="223"/>
      <c r="DS2553" s="223"/>
      <c r="DT2553" s="223"/>
      <c r="DU2553" s="223"/>
      <c r="DV2553" s="223"/>
      <c r="DW2553" s="223"/>
      <c r="DX2553" s="223"/>
      <c r="DY2553" s="223"/>
      <c r="DZ2553" s="223"/>
      <c r="EA2553" s="223"/>
      <c r="EB2553" s="223"/>
      <c r="EC2553" s="223"/>
      <c r="ED2553" s="223"/>
      <c r="EE2553" s="223"/>
      <c r="EF2553" s="223"/>
      <c r="EG2553" s="223"/>
      <c r="EH2553" s="223"/>
      <c r="EI2553" s="223"/>
      <c r="EJ2553" s="223"/>
      <c r="EK2553" s="223"/>
      <c r="EL2553" s="223"/>
      <c r="EM2553" s="223"/>
      <c r="EN2553" s="223"/>
      <c r="EO2553" s="223"/>
      <c r="EP2553" s="223"/>
      <c r="EQ2553" s="223"/>
      <c r="ER2553" s="223"/>
      <c r="ES2553" s="223"/>
      <c r="ET2553" s="223"/>
      <c r="EU2553" s="223"/>
      <c r="EV2553" s="223"/>
      <c r="EW2553" s="223"/>
      <c r="EX2553" s="223"/>
      <c r="EY2553" s="223"/>
      <c r="EZ2553" s="223"/>
      <c r="FA2553" s="223"/>
      <c r="FB2553" s="223"/>
      <c r="FC2553" s="223"/>
      <c r="FD2553" s="223"/>
      <c r="FE2553" s="223"/>
      <c r="FF2553" s="223"/>
      <c r="FG2553" s="223"/>
      <c r="FH2553" s="223"/>
      <c r="FI2553" s="223"/>
      <c r="FJ2553" s="223"/>
      <c r="FK2553" s="223"/>
      <c r="FL2553" s="223"/>
      <c r="FM2553" s="223"/>
      <c r="FN2553" s="223"/>
      <c r="FO2553" s="223"/>
      <c r="FP2553" s="223"/>
      <c r="FQ2553" s="223"/>
      <c r="FR2553" s="223"/>
      <c r="FS2553" s="223"/>
      <c r="FT2553" s="223"/>
      <c r="FU2553" s="223"/>
      <c r="FV2553" s="223"/>
      <c r="FW2553" s="223"/>
      <c r="FX2553" s="223"/>
      <c r="FY2553" s="223"/>
      <c r="FZ2553" s="223"/>
      <c r="GA2553" s="223"/>
      <c r="GB2553" s="223"/>
      <c r="GC2553" s="223"/>
      <c r="GD2553" s="223"/>
      <c r="GE2553" s="223"/>
      <c r="GF2553" s="223"/>
      <c r="GG2553" s="223"/>
      <c r="GH2553" s="223"/>
      <c r="GI2553" s="223"/>
      <c r="GJ2553" s="223"/>
      <c r="GK2553" s="223"/>
      <c r="GL2553" s="223"/>
      <c r="GM2553" s="223"/>
      <c r="GN2553" s="223"/>
      <c r="GO2553" s="223"/>
      <c r="GP2553" s="223"/>
      <c r="GQ2553" s="223"/>
      <c r="GR2553" s="223"/>
      <c r="GS2553" s="223"/>
      <c r="GT2553" s="223"/>
      <c r="GU2553" s="223"/>
      <c r="GV2553" s="223"/>
      <c r="GW2553" s="223"/>
      <c r="GX2553" s="223"/>
      <c r="GY2553" s="223"/>
      <c r="GZ2553" s="223"/>
      <c r="HA2553" s="223"/>
      <c r="HB2553" s="223"/>
      <c r="HC2553" s="223"/>
      <c r="HD2553" s="223"/>
      <c r="HE2553" s="223"/>
      <c r="HF2553" s="223"/>
      <c r="HG2553" s="223"/>
      <c r="HH2553" s="223"/>
      <c r="HI2553" s="223"/>
      <c r="HJ2553" s="223"/>
      <c r="HK2553" s="223"/>
      <c r="HL2553" s="223"/>
      <c r="HM2553" s="223"/>
      <c r="HN2553" s="223"/>
      <c r="HO2553" s="223"/>
      <c r="HP2553" s="223"/>
      <c r="HQ2553" s="223"/>
      <c r="HR2553" s="223"/>
      <c r="HS2553" s="223"/>
      <c r="HT2553" s="223"/>
      <c r="HU2553" s="223"/>
      <c r="HV2553" s="223"/>
      <c r="HW2553" s="223"/>
      <c r="HX2553" s="223"/>
      <c r="HY2553" s="223"/>
      <c r="HZ2553" s="223"/>
      <c r="IA2553" s="223"/>
      <c r="IB2553" s="223"/>
      <c r="IC2553" s="223"/>
      <c r="ID2553" s="223"/>
      <c r="IE2553" s="223"/>
      <c r="IF2553" s="223"/>
      <c r="IG2553" s="223"/>
      <c r="IH2553" s="223"/>
      <c r="II2553" s="223"/>
      <c r="IJ2553" s="223"/>
      <c r="IK2553" s="223"/>
      <c r="IL2553" s="223"/>
      <c r="IM2553" s="223"/>
      <c r="IN2553" s="223"/>
      <c r="IO2553" s="223"/>
      <c r="IP2553" s="223"/>
      <c r="IQ2553" s="223"/>
      <c r="IR2553" s="223"/>
      <c r="IS2553" s="223"/>
      <c r="IT2553" s="223"/>
      <c r="IU2553" s="223"/>
      <c r="IV2553" s="223"/>
    </row>
    <row r="2554" spans="22:256" s="221" customFormat="1" x14ac:dyDescent="0.2">
      <c r="V2554" s="223"/>
      <c r="W2554" s="223"/>
      <c r="X2554" s="223"/>
      <c r="Y2554" s="223"/>
      <c r="Z2554" s="223"/>
      <c r="AA2554" s="223"/>
      <c r="AB2554" s="223"/>
      <c r="AC2554" s="223"/>
      <c r="AD2554" s="223"/>
      <c r="AE2554" s="223"/>
      <c r="AF2554" s="223"/>
      <c r="AG2554" s="223"/>
      <c r="AH2554" s="223"/>
      <c r="AI2554" s="223"/>
      <c r="AJ2554" s="223"/>
      <c r="AK2554" s="223"/>
      <c r="AL2554" s="223"/>
      <c r="AM2554" s="223"/>
      <c r="AN2554" s="223"/>
      <c r="AO2554" s="223"/>
      <c r="AP2554" s="223"/>
      <c r="AQ2554" s="223"/>
      <c r="AR2554" s="223"/>
      <c r="AS2554" s="223"/>
      <c r="AT2554" s="324"/>
      <c r="AU2554" s="324"/>
      <c r="AV2554" s="223"/>
      <c r="AW2554" s="223"/>
      <c r="AX2554" s="223"/>
      <c r="AY2554" s="223"/>
      <c r="AZ2554" s="223"/>
      <c r="BA2554" s="223"/>
      <c r="BB2554" s="223"/>
      <c r="BC2554" s="223"/>
      <c r="BD2554" s="223"/>
      <c r="BE2554" s="223"/>
      <c r="BF2554" s="223"/>
      <c r="BG2554" s="223"/>
      <c r="BH2554" s="223"/>
      <c r="BI2554" s="223"/>
      <c r="BJ2554" s="223"/>
      <c r="BK2554" s="223"/>
      <c r="BL2554" s="223"/>
      <c r="BM2554" s="223"/>
      <c r="BN2554" s="223"/>
      <c r="BO2554" s="223"/>
      <c r="BP2554" s="223"/>
      <c r="BQ2554" s="223"/>
      <c r="BR2554" s="223"/>
      <c r="BS2554" s="223"/>
      <c r="BT2554" s="223"/>
      <c r="BU2554" s="223"/>
      <c r="BV2554" s="223"/>
      <c r="BW2554" s="223"/>
      <c r="BX2554" s="223"/>
      <c r="BY2554" s="223"/>
      <c r="BZ2554" s="223"/>
      <c r="CA2554" s="223"/>
      <c r="CB2554" s="223"/>
      <c r="CC2554" s="223"/>
      <c r="CD2554" s="223"/>
      <c r="CE2554" s="223"/>
      <c r="CF2554" s="223"/>
      <c r="CG2554" s="223"/>
      <c r="CH2554" s="223"/>
      <c r="CI2554" s="223"/>
      <c r="CJ2554" s="223"/>
      <c r="CK2554" s="223"/>
      <c r="CL2554" s="223"/>
      <c r="CM2554" s="223"/>
      <c r="CN2554" s="223"/>
      <c r="CO2554" s="223"/>
      <c r="CP2554" s="223"/>
      <c r="CQ2554" s="223"/>
      <c r="CR2554" s="223"/>
      <c r="CS2554" s="223"/>
      <c r="CT2554" s="223"/>
      <c r="CU2554" s="223"/>
      <c r="CV2554" s="223"/>
      <c r="CW2554" s="223"/>
      <c r="CX2554" s="223"/>
      <c r="CY2554" s="223"/>
      <c r="CZ2554" s="223"/>
      <c r="DA2554" s="223"/>
      <c r="DB2554" s="223"/>
      <c r="DC2554" s="223"/>
      <c r="DD2554" s="223"/>
      <c r="DE2554" s="223"/>
      <c r="DF2554" s="223"/>
      <c r="DG2554" s="223"/>
      <c r="DH2554" s="223"/>
      <c r="DI2554" s="223"/>
      <c r="DJ2554" s="223"/>
      <c r="DK2554" s="223"/>
      <c r="DL2554" s="223"/>
      <c r="DM2554" s="223"/>
      <c r="DN2554" s="223"/>
      <c r="DO2554" s="223"/>
      <c r="DP2554" s="223"/>
      <c r="DQ2554" s="223"/>
      <c r="DR2554" s="223"/>
      <c r="DS2554" s="223"/>
      <c r="DT2554" s="223"/>
      <c r="DU2554" s="223"/>
      <c r="DV2554" s="223"/>
      <c r="DW2554" s="223"/>
      <c r="DX2554" s="223"/>
      <c r="DY2554" s="223"/>
      <c r="DZ2554" s="223"/>
      <c r="EA2554" s="223"/>
      <c r="EB2554" s="223"/>
      <c r="EC2554" s="223"/>
      <c r="ED2554" s="223"/>
      <c r="EE2554" s="223"/>
      <c r="EF2554" s="223"/>
      <c r="EG2554" s="223"/>
      <c r="EH2554" s="223"/>
      <c r="EI2554" s="223"/>
      <c r="EJ2554" s="223"/>
      <c r="EK2554" s="223"/>
      <c r="EL2554" s="223"/>
      <c r="EM2554" s="223"/>
      <c r="EN2554" s="223"/>
      <c r="EO2554" s="223"/>
      <c r="EP2554" s="223"/>
      <c r="EQ2554" s="223"/>
      <c r="ER2554" s="223"/>
      <c r="ES2554" s="223"/>
      <c r="ET2554" s="223"/>
      <c r="EU2554" s="223"/>
      <c r="EV2554" s="223"/>
      <c r="EW2554" s="223"/>
      <c r="EX2554" s="223"/>
      <c r="EY2554" s="223"/>
      <c r="EZ2554" s="223"/>
      <c r="FA2554" s="223"/>
      <c r="FB2554" s="223"/>
      <c r="FC2554" s="223"/>
      <c r="FD2554" s="223"/>
      <c r="FE2554" s="223"/>
      <c r="FF2554" s="223"/>
      <c r="FG2554" s="223"/>
      <c r="FH2554" s="223"/>
      <c r="FI2554" s="223"/>
      <c r="FJ2554" s="223"/>
      <c r="FK2554" s="223"/>
      <c r="FL2554" s="223"/>
      <c r="FM2554" s="223"/>
      <c r="FN2554" s="223"/>
      <c r="FO2554" s="223"/>
      <c r="FP2554" s="223"/>
      <c r="FQ2554" s="223"/>
      <c r="FR2554" s="223"/>
      <c r="FS2554" s="223"/>
      <c r="FT2554" s="223"/>
      <c r="FU2554" s="223"/>
      <c r="FV2554" s="223"/>
      <c r="FW2554" s="223"/>
      <c r="FX2554" s="223"/>
      <c r="FY2554" s="223"/>
      <c r="FZ2554" s="223"/>
      <c r="GA2554" s="223"/>
      <c r="GB2554" s="223"/>
      <c r="GC2554" s="223"/>
      <c r="GD2554" s="223"/>
      <c r="GE2554" s="223"/>
      <c r="GF2554" s="223"/>
      <c r="GG2554" s="223"/>
      <c r="GH2554" s="223"/>
      <c r="GI2554" s="223"/>
      <c r="GJ2554" s="223"/>
      <c r="GK2554" s="223"/>
      <c r="GL2554" s="223"/>
      <c r="GM2554" s="223"/>
      <c r="GN2554" s="223"/>
      <c r="GO2554" s="223"/>
      <c r="GP2554" s="223"/>
      <c r="GQ2554" s="223"/>
      <c r="GR2554" s="223"/>
      <c r="GS2554" s="223"/>
      <c r="GT2554" s="223"/>
      <c r="GU2554" s="223"/>
      <c r="GV2554" s="223"/>
      <c r="GW2554" s="223"/>
      <c r="GX2554" s="223"/>
      <c r="GY2554" s="223"/>
      <c r="GZ2554" s="223"/>
      <c r="HA2554" s="223"/>
      <c r="HB2554" s="223"/>
      <c r="HC2554" s="223"/>
      <c r="HD2554" s="223"/>
      <c r="HE2554" s="223"/>
      <c r="HF2554" s="223"/>
      <c r="HG2554" s="223"/>
      <c r="HH2554" s="223"/>
      <c r="HI2554" s="223"/>
      <c r="HJ2554" s="223"/>
      <c r="HK2554" s="223"/>
      <c r="HL2554" s="223"/>
      <c r="HM2554" s="223"/>
      <c r="HN2554" s="223"/>
      <c r="HO2554" s="223"/>
      <c r="HP2554" s="223"/>
      <c r="HQ2554" s="223"/>
      <c r="HR2554" s="223"/>
      <c r="HS2554" s="223"/>
      <c r="HT2554" s="223"/>
      <c r="HU2554" s="223"/>
      <c r="HV2554" s="223"/>
      <c r="HW2554" s="223"/>
      <c r="HX2554" s="223"/>
      <c r="HY2554" s="223"/>
      <c r="HZ2554" s="223"/>
      <c r="IA2554" s="223"/>
      <c r="IB2554" s="223"/>
      <c r="IC2554" s="223"/>
      <c r="ID2554" s="223"/>
      <c r="IE2554" s="223"/>
      <c r="IF2554" s="223"/>
      <c r="IG2554" s="223"/>
      <c r="IH2554" s="223"/>
      <c r="II2554" s="223"/>
      <c r="IJ2554" s="223"/>
      <c r="IK2554" s="223"/>
      <c r="IL2554" s="223"/>
      <c r="IM2554" s="223"/>
      <c r="IN2554" s="223"/>
      <c r="IO2554" s="223"/>
      <c r="IP2554" s="223"/>
      <c r="IQ2554" s="223"/>
      <c r="IR2554" s="223"/>
      <c r="IS2554" s="223"/>
      <c r="IT2554" s="223"/>
      <c r="IU2554" s="223"/>
      <c r="IV2554" s="223"/>
    </row>
    <row r="2555" spans="22:256" s="221" customFormat="1" x14ac:dyDescent="0.2">
      <c r="V2555" s="223"/>
      <c r="W2555" s="223"/>
      <c r="X2555" s="223"/>
      <c r="Y2555" s="223"/>
      <c r="Z2555" s="223"/>
      <c r="AA2555" s="223"/>
      <c r="AB2555" s="223"/>
      <c r="AC2555" s="223"/>
      <c r="AD2555" s="223"/>
      <c r="AE2555" s="223"/>
      <c r="AF2555" s="223"/>
      <c r="AG2555" s="223"/>
      <c r="AH2555" s="223"/>
      <c r="AI2555" s="223"/>
      <c r="AJ2555" s="223"/>
      <c r="AK2555" s="223"/>
      <c r="AL2555" s="223"/>
      <c r="AM2555" s="223"/>
      <c r="AN2555" s="223"/>
      <c r="AO2555" s="223"/>
      <c r="AP2555" s="223"/>
      <c r="AQ2555" s="223"/>
      <c r="AR2555" s="223"/>
      <c r="AS2555" s="223"/>
      <c r="AT2555" s="324"/>
      <c r="AU2555" s="324"/>
      <c r="AV2555" s="223"/>
      <c r="AW2555" s="223"/>
      <c r="AX2555" s="223"/>
      <c r="AY2555" s="223"/>
      <c r="AZ2555" s="223"/>
      <c r="BA2555" s="223"/>
      <c r="BB2555" s="223"/>
      <c r="BC2555" s="223"/>
      <c r="BD2555" s="223"/>
      <c r="BE2555" s="223"/>
      <c r="BF2555" s="223"/>
      <c r="BG2555" s="223"/>
      <c r="BH2555" s="223"/>
      <c r="BI2555" s="223"/>
      <c r="BJ2555" s="223"/>
      <c r="BK2555" s="223"/>
      <c r="BL2555" s="223"/>
      <c r="BM2555" s="223"/>
      <c r="BN2555" s="223"/>
      <c r="BO2555" s="223"/>
      <c r="BP2555" s="223"/>
      <c r="BQ2555" s="223"/>
      <c r="BR2555" s="223"/>
      <c r="BS2555" s="223"/>
      <c r="BT2555" s="223"/>
      <c r="BU2555" s="223"/>
      <c r="BV2555" s="223"/>
      <c r="BW2555" s="223"/>
      <c r="BX2555" s="223"/>
      <c r="BY2555" s="223"/>
      <c r="BZ2555" s="223"/>
      <c r="CA2555" s="223"/>
      <c r="CB2555" s="223"/>
      <c r="CC2555" s="223"/>
      <c r="CD2555" s="223"/>
      <c r="CE2555" s="223"/>
      <c r="CF2555" s="223"/>
      <c r="CG2555" s="223"/>
      <c r="CH2555" s="223"/>
      <c r="CI2555" s="223"/>
      <c r="CJ2555" s="223"/>
      <c r="CK2555" s="223"/>
      <c r="CL2555" s="223"/>
      <c r="CM2555" s="223"/>
      <c r="CN2555" s="223"/>
      <c r="CO2555" s="223"/>
      <c r="CP2555" s="223"/>
      <c r="CQ2555" s="223"/>
      <c r="CR2555" s="223"/>
      <c r="CS2555" s="223"/>
      <c r="CT2555" s="223"/>
      <c r="CU2555" s="223"/>
      <c r="CV2555" s="223"/>
      <c r="CW2555" s="223"/>
      <c r="CX2555" s="223"/>
      <c r="CY2555" s="223"/>
      <c r="CZ2555" s="223"/>
      <c r="DA2555" s="223"/>
      <c r="DB2555" s="223"/>
      <c r="DC2555" s="223"/>
      <c r="DD2555" s="223"/>
      <c r="DE2555" s="223"/>
      <c r="DF2555" s="223"/>
      <c r="DG2555" s="223"/>
      <c r="DH2555" s="223"/>
      <c r="DI2555" s="223"/>
      <c r="DJ2555" s="223"/>
      <c r="DK2555" s="223"/>
      <c r="DL2555" s="223"/>
      <c r="DM2555" s="223"/>
      <c r="DN2555" s="223"/>
      <c r="DO2555" s="223"/>
      <c r="DP2555" s="223"/>
      <c r="DQ2555" s="223"/>
      <c r="DR2555" s="223"/>
      <c r="DS2555" s="223"/>
      <c r="DT2555" s="223"/>
      <c r="DU2555" s="223"/>
      <c r="DV2555" s="223"/>
      <c r="DW2555" s="223"/>
      <c r="DX2555" s="223"/>
      <c r="DY2555" s="223"/>
      <c r="DZ2555" s="223"/>
      <c r="EA2555" s="223"/>
      <c r="EB2555" s="223"/>
      <c r="EC2555" s="223"/>
      <c r="ED2555" s="223"/>
      <c r="EE2555" s="223"/>
      <c r="EF2555" s="223"/>
      <c r="EG2555" s="223"/>
      <c r="EH2555" s="223"/>
      <c r="EI2555" s="223"/>
      <c r="EJ2555" s="223"/>
      <c r="EK2555" s="223"/>
      <c r="EL2555" s="223"/>
      <c r="EM2555" s="223"/>
      <c r="EN2555" s="223"/>
      <c r="EO2555" s="223"/>
      <c r="EP2555" s="223"/>
      <c r="EQ2555" s="223"/>
      <c r="ER2555" s="223"/>
      <c r="ES2555" s="223"/>
      <c r="ET2555" s="223"/>
      <c r="EU2555" s="223"/>
      <c r="EV2555" s="223"/>
      <c r="EW2555" s="223"/>
      <c r="EX2555" s="223"/>
      <c r="EY2555" s="223"/>
      <c r="EZ2555" s="223"/>
      <c r="FA2555" s="223"/>
      <c r="FB2555" s="223"/>
      <c r="FC2555" s="223"/>
      <c r="FD2555" s="223"/>
      <c r="FE2555" s="223"/>
      <c r="FF2555" s="223"/>
      <c r="FG2555" s="223"/>
      <c r="FH2555" s="223"/>
      <c r="FI2555" s="223"/>
      <c r="FJ2555" s="223"/>
      <c r="FK2555" s="223"/>
      <c r="FL2555" s="223"/>
      <c r="FM2555" s="223"/>
      <c r="FN2555" s="223"/>
      <c r="FO2555" s="223"/>
      <c r="FP2555" s="223"/>
      <c r="FQ2555" s="223"/>
      <c r="FR2555" s="223"/>
      <c r="FS2555" s="223"/>
      <c r="FT2555" s="223"/>
      <c r="FU2555" s="223"/>
      <c r="FV2555" s="223"/>
      <c r="FW2555" s="223"/>
      <c r="FX2555" s="223"/>
      <c r="FY2555" s="223"/>
      <c r="FZ2555" s="223"/>
      <c r="GA2555" s="223"/>
      <c r="GB2555" s="223"/>
      <c r="GC2555" s="223"/>
      <c r="GD2555" s="223"/>
      <c r="GE2555" s="223"/>
      <c r="GF2555" s="223"/>
      <c r="GG2555" s="223"/>
      <c r="GH2555" s="223"/>
      <c r="GI2555" s="223"/>
      <c r="GJ2555" s="223"/>
      <c r="GK2555" s="223"/>
      <c r="GL2555" s="223"/>
      <c r="GM2555" s="223"/>
      <c r="GN2555" s="223"/>
      <c r="GO2555" s="223"/>
      <c r="GP2555" s="223"/>
      <c r="GQ2555" s="223"/>
      <c r="GR2555" s="223"/>
      <c r="GS2555" s="223"/>
      <c r="GT2555" s="223"/>
      <c r="GU2555" s="223"/>
      <c r="GV2555" s="223"/>
      <c r="GW2555" s="223"/>
      <c r="GX2555" s="223"/>
      <c r="GY2555" s="223"/>
      <c r="GZ2555" s="223"/>
      <c r="HA2555" s="223"/>
      <c r="HB2555" s="223"/>
      <c r="HC2555" s="223"/>
      <c r="HD2555" s="223"/>
      <c r="HE2555" s="223"/>
      <c r="HF2555" s="223"/>
      <c r="HG2555" s="223"/>
      <c r="HH2555" s="223"/>
      <c r="HI2555" s="223"/>
      <c r="HJ2555" s="223"/>
      <c r="HK2555" s="223"/>
      <c r="HL2555" s="223"/>
      <c r="HM2555" s="223"/>
      <c r="HN2555" s="223"/>
      <c r="HO2555" s="223"/>
      <c r="HP2555" s="223"/>
      <c r="HQ2555" s="223"/>
      <c r="HR2555" s="223"/>
      <c r="HS2555" s="223"/>
      <c r="HT2555" s="223"/>
      <c r="HU2555" s="223"/>
      <c r="HV2555" s="223"/>
      <c r="HW2555" s="223"/>
      <c r="HX2555" s="223"/>
      <c r="HY2555" s="223"/>
      <c r="HZ2555" s="223"/>
      <c r="IA2555" s="223"/>
      <c r="IB2555" s="223"/>
      <c r="IC2555" s="223"/>
      <c r="ID2555" s="223"/>
      <c r="IE2555" s="223"/>
      <c r="IF2555" s="223"/>
      <c r="IG2555" s="223"/>
      <c r="IH2555" s="223"/>
      <c r="II2555" s="223"/>
      <c r="IJ2555" s="223"/>
      <c r="IK2555" s="223"/>
      <c r="IL2555" s="223"/>
      <c r="IM2555" s="223"/>
      <c r="IN2555" s="223"/>
      <c r="IO2555" s="223"/>
      <c r="IP2555" s="223"/>
      <c r="IQ2555" s="223"/>
      <c r="IR2555" s="223"/>
      <c r="IS2555" s="223"/>
      <c r="IT2555" s="223"/>
      <c r="IU2555" s="223"/>
      <c r="IV2555" s="223"/>
    </row>
    <row r="2556" spans="22:256" s="221" customFormat="1" x14ac:dyDescent="0.2">
      <c r="V2556" s="223"/>
      <c r="W2556" s="223"/>
      <c r="X2556" s="223"/>
      <c r="Y2556" s="223"/>
      <c r="Z2556" s="223"/>
      <c r="AA2556" s="223"/>
      <c r="AB2556" s="223"/>
      <c r="AC2556" s="223"/>
      <c r="AD2556" s="223"/>
      <c r="AE2556" s="223"/>
      <c r="AF2556" s="223"/>
      <c r="AG2556" s="223"/>
      <c r="AH2556" s="223"/>
      <c r="AI2556" s="223"/>
      <c r="AJ2556" s="223"/>
      <c r="AK2556" s="223"/>
      <c r="AL2556" s="223"/>
      <c r="AM2556" s="223"/>
      <c r="AN2556" s="223"/>
      <c r="AO2556" s="223"/>
      <c r="AP2556" s="223"/>
      <c r="AQ2556" s="223"/>
      <c r="AR2556" s="223"/>
      <c r="AS2556" s="223"/>
      <c r="AT2556" s="324"/>
      <c r="AU2556" s="324"/>
      <c r="AV2556" s="223"/>
      <c r="AW2556" s="223"/>
      <c r="AX2556" s="223"/>
      <c r="AY2556" s="223"/>
      <c r="AZ2556" s="223"/>
      <c r="BA2556" s="223"/>
      <c r="BB2556" s="223"/>
      <c r="BC2556" s="223"/>
      <c r="BD2556" s="223"/>
      <c r="BE2556" s="223"/>
      <c r="BF2556" s="223"/>
      <c r="BG2556" s="223"/>
      <c r="BH2556" s="223"/>
      <c r="BI2556" s="223"/>
      <c r="BJ2556" s="223"/>
      <c r="BK2556" s="223"/>
      <c r="BL2556" s="223"/>
      <c r="BM2556" s="223"/>
      <c r="BN2556" s="223"/>
      <c r="BO2556" s="223"/>
      <c r="BP2556" s="223"/>
      <c r="BQ2556" s="223"/>
      <c r="BR2556" s="223"/>
      <c r="BS2556" s="223"/>
      <c r="BT2556" s="223"/>
      <c r="BU2556" s="223"/>
      <c r="BV2556" s="223"/>
      <c r="BW2556" s="223"/>
      <c r="BX2556" s="223"/>
      <c r="BY2556" s="223"/>
      <c r="BZ2556" s="223"/>
      <c r="CA2556" s="223"/>
      <c r="CB2556" s="223"/>
      <c r="CC2556" s="223"/>
      <c r="CD2556" s="223"/>
      <c r="CE2556" s="223"/>
      <c r="CF2556" s="223"/>
      <c r="CG2556" s="223"/>
      <c r="CH2556" s="223"/>
      <c r="CI2556" s="223"/>
      <c r="CJ2556" s="223"/>
      <c r="CK2556" s="223"/>
      <c r="CL2556" s="223"/>
      <c r="CM2556" s="223"/>
      <c r="CN2556" s="223"/>
      <c r="CO2556" s="223"/>
      <c r="CP2556" s="223"/>
      <c r="CQ2556" s="223"/>
      <c r="CR2556" s="223"/>
      <c r="CS2556" s="223"/>
      <c r="CT2556" s="223"/>
      <c r="CU2556" s="223"/>
      <c r="CV2556" s="223"/>
      <c r="CW2556" s="223"/>
      <c r="CX2556" s="223"/>
      <c r="CY2556" s="223"/>
      <c r="CZ2556" s="223"/>
      <c r="DA2556" s="223"/>
      <c r="DB2556" s="223"/>
      <c r="DC2556" s="223"/>
      <c r="DD2556" s="223"/>
      <c r="DE2556" s="223"/>
      <c r="DF2556" s="223"/>
      <c r="DG2556" s="223"/>
      <c r="DH2556" s="223"/>
      <c r="DI2556" s="223"/>
      <c r="DJ2556" s="223"/>
      <c r="DK2556" s="223"/>
      <c r="DL2556" s="223"/>
      <c r="DM2556" s="223"/>
      <c r="DN2556" s="223"/>
      <c r="DO2556" s="223"/>
      <c r="DP2556" s="223"/>
      <c r="DQ2556" s="223"/>
      <c r="DR2556" s="223"/>
      <c r="DS2556" s="223"/>
      <c r="DT2556" s="223"/>
      <c r="DU2556" s="223"/>
      <c r="DV2556" s="223"/>
      <c r="DW2556" s="223"/>
      <c r="DX2556" s="223"/>
      <c r="DY2556" s="223"/>
      <c r="DZ2556" s="223"/>
      <c r="EA2556" s="223"/>
      <c r="EB2556" s="223"/>
      <c r="EC2556" s="223"/>
      <c r="ED2556" s="223"/>
      <c r="EE2556" s="223"/>
      <c r="EF2556" s="223"/>
      <c r="EG2556" s="223"/>
      <c r="EH2556" s="223"/>
      <c r="EI2556" s="223"/>
      <c r="EJ2556" s="223"/>
      <c r="EK2556" s="223"/>
      <c r="EL2556" s="223"/>
      <c r="EM2556" s="223"/>
      <c r="EN2556" s="223"/>
      <c r="EO2556" s="223"/>
      <c r="EP2556" s="223"/>
      <c r="EQ2556" s="223"/>
      <c r="ER2556" s="223"/>
      <c r="ES2556" s="223"/>
      <c r="ET2556" s="223"/>
      <c r="EU2556" s="223"/>
      <c r="EV2556" s="223"/>
      <c r="EW2556" s="223"/>
      <c r="EX2556" s="223"/>
      <c r="EY2556" s="223"/>
      <c r="EZ2556" s="223"/>
      <c r="FA2556" s="223"/>
      <c r="FB2556" s="223"/>
      <c r="FC2556" s="223"/>
      <c r="FD2556" s="223"/>
      <c r="FE2556" s="223"/>
      <c r="FF2556" s="223"/>
      <c r="FG2556" s="223"/>
      <c r="FH2556" s="223"/>
      <c r="FI2556" s="223"/>
      <c r="FJ2556" s="223"/>
      <c r="FK2556" s="223"/>
      <c r="FL2556" s="223"/>
      <c r="FM2556" s="223"/>
      <c r="FN2556" s="223"/>
      <c r="FO2556" s="223"/>
      <c r="FP2556" s="223"/>
      <c r="FQ2556" s="223"/>
      <c r="FR2556" s="223"/>
      <c r="FS2556" s="223"/>
      <c r="FT2556" s="223"/>
      <c r="FU2556" s="223"/>
      <c r="FV2556" s="223"/>
      <c r="FW2556" s="223"/>
      <c r="FX2556" s="223"/>
      <c r="FY2556" s="223"/>
      <c r="FZ2556" s="223"/>
      <c r="GA2556" s="223"/>
      <c r="GB2556" s="223"/>
      <c r="GC2556" s="223"/>
      <c r="GD2556" s="223"/>
      <c r="GE2556" s="223"/>
      <c r="GF2556" s="223"/>
      <c r="GG2556" s="223"/>
      <c r="GH2556" s="223"/>
      <c r="GI2556" s="223"/>
      <c r="GJ2556" s="223"/>
      <c r="GK2556" s="223"/>
      <c r="GL2556" s="223"/>
      <c r="GM2556" s="223"/>
      <c r="GN2556" s="223"/>
      <c r="GO2556" s="223"/>
      <c r="GP2556" s="223"/>
      <c r="GQ2556" s="223"/>
      <c r="GR2556" s="223"/>
      <c r="GS2556" s="223"/>
      <c r="GT2556" s="223"/>
      <c r="GU2556" s="223"/>
      <c r="GV2556" s="223"/>
      <c r="GW2556" s="223"/>
      <c r="GX2556" s="223"/>
      <c r="GY2556" s="223"/>
      <c r="GZ2556" s="223"/>
      <c r="HA2556" s="223"/>
      <c r="HB2556" s="223"/>
      <c r="HC2556" s="223"/>
      <c r="HD2556" s="223"/>
      <c r="HE2556" s="223"/>
      <c r="HF2556" s="223"/>
      <c r="HG2556" s="223"/>
      <c r="HH2556" s="223"/>
      <c r="HI2556" s="223"/>
      <c r="HJ2556" s="223"/>
      <c r="HK2556" s="223"/>
      <c r="HL2556" s="223"/>
      <c r="HM2556" s="223"/>
      <c r="HN2556" s="223"/>
      <c r="HO2556" s="223"/>
      <c r="HP2556" s="223"/>
      <c r="HQ2556" s="223"/>
      <c r="HR2556" s="223"/>
      <c r="HS2556" s="223"/>
      <c r="HT2556" s="223"/>
      <c r="HU2556" s="223"/>
      <c r="HV2556" s="223"/>
      <c r="HW2556" s="223"/>
      <c r="HX2556" s="223"/>
      <c r="HY2556" s="223"/>
      <c r="HZ2556" s="223"/>
      <c r="IA2556" s="223"/>
      <c r="IB2556" s="223"/>
      <c r="IC2556" s="223"/>
      <c r="ID2556" s="223"/>
      <c r="IE2556" s="223"/>
      <c r="IF2556" s="223"/>
      <c r="IG2556" s="223"/>
      <c r="IH2556" s="223"/>
      <c r="II2556" s="223"/>
      <c r="IJ2556" s="223"/>
      <c r="IK2556" s="223"/>
      <c r="IL2556" s="223"/>
      <c r="IM2556" s="223"/>
      <c r="IN2556" s="223"/>
      <c r="IO2556" s="223"/>
      <c r="IP2556" s="223"/>
      <c r="IQ2556" s="223"/>
      <c r="IR2556" s="223"/>
      <c r="IS2556" s="223"/>
      <c r="IT2556" s="223"/>
      <c r="IU2556" s="223"/>
      <c r="IV2556" s="223"/>
    </row>
    <row r="2557" spans="22:256" s="221" customFormat="1" x14ac:dyDescent="0.2">
      <c r="V2557" s="223"/>
      <c r="W2557" s="223"/>
      <c r="X2557" s="223"/>
      <c r="Y2557" s="223"/>
      <c r="Z2557" s="223"/>
      <c r="AA2557" s="223"/>
      <c r="AB2557" s="223"/>
      <c r="AC2557" s="223"/>
      <c r="AD2557" s="223"/>
      <c r="AE2557" s="223"/>
      <c r="AF2557" s="223"/>
      <c r="AG2557" s="223"/>
      <c r="AH2557" s="223"/>
      <c r="AI2557" s="223"/>
      <c r="AJ2557" s="223"/>
      <c r="AK2557" s="223"/>
      <c r="AL2557" s="223"/>
      <c r="AM2557" s="223"/>
      <c r="AN2557" s="223"/>
      <c r="AO2557" s="223"/>
      <c r="AP2557" s="223"/>
      <c r="AQ2557" s="223"/>
      <c r="AR2557" s="223"/>
      <c r="AS2557" s="223"/>
      <c r="AT2557" s="324"/>
      <c r="AU2557" s="324"/>
      <c r="AV2557" s="223"/>
      <c r="AW2557" s="223"/>
      <c r="AX2557" s="223"/>
      <c r="AY2557" s="223"/>
      <c r="AZ2557" s="223"/>
      <c r="BA2557" s="223"/>
      <c r="BB2557" s="223"/>
      <c r="BC2557" s="223"/>
      <c r="BD2557" s="223"/>
      <c r="BE2557" s="223"/>
      <c r="BF2557" s="223"/>
      <c r="BG2557" s="223"/>
      <c r="BH2557" s="223"/>
      <c r="BI2557" s="223"/>
      <c r="BJ2557" s="223"/>
      <c r="BK2557" s="223"/>
      <c r="BL2557" s="223"/>
      <c r="BM2557" s="223"/>
      <c r="BN2557" s="223"/>
      <c r="BO2557" s="223"/>
      <c r="BP2557" s="223"/>
      <c r="BQ2557" s="223"/>
      <c r="BR2557" s="223"/>
      <c r="BS2557" s="223"/>
      <c r="BT2557" s="223"/>
      <c r="BU2557" s="223"/>
      <c r="BV2557" s="223"/>
      <c r="BW2557" s="223"/>
      <c r="BX2557" s="223"/>
      <c r="BY2557" s="223"/>
      <c r="BZ2557" s="223"/>
      <c r="CA2557" s="223"/>
      <c r="CB2557" s="223"/>
      <c r="CC2557" s="223"/>
      <c r="CD2557" s="223"/>
      <c r="CE2557" s="223"/>
      <c r="CF2557" s="223"/>
      <c r="CG2557" s="223"/>
      <c r="CH2557" s="223"/>
      <c r="CI2557" s="223"/>
      <c r="CJ2557" s="223"/>
      <c r="CK2557" s="223"/>
      <c r="CL2557" s="223"/>
      <c r="CM2557" s="223"/>
      <c r="CN2557" s="223"/>
      <c r="CO2557" s="223"/>
      <c r="CP2557" s="223"/>
      <c r="CQ2557" s="223"/>
      <c r="CR2557" s="223"/>
      <c r="CS2557" s="223"/>
      <c r="CT2557" s="223"/>
      <c r="CU2557" s="223"/>
      <c r="CV2557" s="223"/>
      <c r="CW2557" s="223"/>
      <c r="CX2557" s="223"/>
      <c r="CY2557" s="223"/>
      <c r="CZ2557" s="223"/>
      <c r="DA2557" s="223"/>
      <c r="DB2557" s="223"/>
      <c r="DC2557" s="223"/>
      <c r="DD2557" s="223"/>
      <c r="DE2557" s="223"/>
      <c r="DF2557" s="223"/>
      <c r="DG2557" s="223"/>
      <c r="DH2557" s="223"/>
      <c r="DI2557" s="223"/>
      <c r="DJ2557" s="223"/>
      <c r="DK2557" s="223"/>
      <c r="DL2557" s="223"/>
      <c r="DM2557" s="223"/>
      <c r="DN2557" s="223"/>
      <c r="DO2557" s="223"/>
      <c r="DP2557" s="223"/>
      <c r="DQ2557" s="223"/>
      <c r="DR2557" s="223"/>
      <c r="DS2557" s="223"/>
      <c r="DT2557" s="223"/>
      <c r="DU2557" s="223"/>
      <c r="DV2557" s="223"/>
      <c r="DW2557" s="223"/>
      <c r="DX2557" s="223"/>
      <c r="DY2557" s="223"/>
      <c r="DZ2557" s="223"/>
      <c r="EA2557" s="223"/>
      <c r="EB2557" s="223"/>
      <c r="EC2557" s="223"/>
      <c r="ED2557" s="223"/>
      <c r="EE2557" s="223"/>
      <c r="EF2557" s="223"/>
      <c r="EG2557" s="223"/>
      <c r="EH2557" s="223"/>
      <c r="EI2557" s="223"/>
      <c r="EJ2557" s="223"/>
      <c r="EK2557" s="223"/>
      <c r="EL2557" s="223"/>
      <c r="EM2557" s="223"/>
      <c r="EN2557" s="223"/>
      <c r="EO2557" s="223"/>
      <c r="EP2557" s="223"/>
      <c r="EQ2557" s="223"/>
      <c r="ER2557" s="223"/>
      <c r="ES2557" s="223"/>
      <c r="ET2557" s="223"/>
      <c r="EU2557" s="223"/>
      <c r="EV2557" s="223"/>
      <c r="EW2557" s="223"/>
      <c r="EX2557" s="223"/>
      <c r="EY2557" s="223"/>
      <c r="EZ2557" s="223"/>
      <c r="FA2557" s="223"/>
      <c r="FB2557" s="223"/>
      <c r="FC2557" s="223"/>
      <c r="FD2557" s="223"/>
      <c r="FE2557" s="223"/>
      <c r="FF2557" s="223"/>
      <c r="FG2557" s="223"/>
      <c r="FH2557" s="223"/>
      <c r="FI2557" s="223"/>
      <c r="FJ2557" s="223"/>
      <c r="FK2557" s="223"/>
      <c r="FL2557" s="223"/>
      <c r="FM2557" s="223"/>
      <c r="FN2557" s="223"/>
      <c r="FO2557" s="223"/>
      <c r="FP2557" s="223"/>
      <c r="FQ2557" s="223"/>
      <c r="FR2557" s="223"/>
      <c r="FS2557" s="223"/>
      <c r="FT2557" s="223"/>
      <c r="FU2557" s="223"/>
      <c r="FV2557" s="223"/>
      <c r="FW2557" s="223"/>
      <c r="FX2557" s="223"/>
      <c r="FY2557" s="223"/>
      <c r="FZ2557" s="223"/>
      <c r="GA2557" s="223"/>
      <c r="GB2557" s="223"/>
      <c r="GC2557" s="223"/>
      <c r="GD2557" s="223"/>
      <c r="GE2557" s="223"/>
      <c r="GF2557" s="223"/>
      <c r="GG2557" s="223"/>
      <c r="GH2557" s="223"/>
      <c r="GI2557" s="223"/>
      <c r="GJ2557" s="223"/>
      <c r="GK2557" s="223"/>
      <c r="GL2557" s="223"/>
      <c r="GM2557" s="223"/>
      <c r="GN2557" s="223"/>
      <c r="GO2557" s="223"/>
      <c r="GP2557" s="223"/>
      <c r="GQ2557" s="223"/>
      <c r="GR2557" s="223"/>
      <c r="GS2557" s="223"/>
      <c r="GT2557" s="223"/>
      <c r="GU2557" s="223"/>
      <c r="GV2557" s="223"/>
      <c r="GW2557" s="223"/>
      <c r="GX2557" s="223"/>
      <c r="GY2557" s="223"/>
      <c r="GZ2557" s="223"/>
      <c r="HA2557" s="223"/>
      <c r="HB2557" s="223"/>
      <c r="HC2557" s="223"/>
      <c r="HD2557" s="223"/>
      <c r="HE2557" s="223"/>
      <c r="HF2557" s="223"/>
      <c r="HG2557" s="223"/>
      <c r="HH2557" s="223"/>
      <c r="HI2557" s="223"/>
      <c r="HJ2557" s="223"/>
      <c r="HK2557" s="223"/>
      <c r="HL2557" s="223"/>
      <c r="HM2557" s="223"/>
      <c r="HN2557" s="223"/>
      <c r="HO2557" s="223"/>
      <c r="HP2557" s="223"/>
      <c r="HQ2557" s="223"/>
      <c r="HR2557" s="223"/>
      <c r="HS2557" s="223"/>
      <c r="HT2557" s="223"/>
      <c r="HU2557" s="223"/>
      <c r="HV2557" s="223"/>
      <c r="HW2557" s="223"/>
      <c r="HX2557" s="223"/>
      <c r="HY2557" s="223"/>
      <c r="HZ2557" s="223"/>
      <c r="IA2557" s="223"/>
      <c r="IB2557" s="223"/>
      <c r="IC2557" s="223"/>
      <c r="ID2557" s="223"/>
      <c r="IE2557" s="223"/>
      <c r="IF2557" s="223"/>
      <c r="IG2557" s="223"/>
      <c r="IH2557" s="223"/>
      <c r="II2557" s="223"/>
      <c r="IJ2557" s="223"/>
      <c r="IK2557" s="223"/>
      <c r="IL2557" s="223"/>
      <c r="IM2557" s="223"/>
      <c r="IN2557" s="223"/>
      <c r="IO2557" s="223"/>
      <c r="IP2557" s="223"/>
      <c r="IQ2557" s="223"/>
      <c r="IR2557" s="223"/>
      <c r="IS2557" s="223"/>
      <c r="IT2557" s="223"/>
      <c r="IU2557" s="223"/>
      <c r="IV2557" s="223"/>
    </row>
    <row r="2558" spans="22:256" s="221" customFormat="1" x14ac:dyDescent="0.2">
      <c r="V2558" s="223"/>
      <c r="W2558" s="223"/>
      <c r="X2558" s="223"/>
      <c r="Y2558" s="223"/>
      <c r="Z2558" s="223"/>
      <c r="AA2558" s="223"/>
      <c r="AB2558" s="223"/>
      <c r="AC2558" s="223"/>
      <c r="AD2558" s="223"/>
      <c r="AE2558" s="223"/>
      <c r="AF2558" s="223"/>
      <c r="AG2558" s="223"/>
      <c r="AH2558" s="223"/>
      <c r="AI2558" s="223"/>
      <c r="AJ2558" s="223"/>
      <c r="AK2558" s="223"/>
      <c r="AL2558" s="223"/>
      <c r="AM2558" s="223"/>
      <c r="AN2558" s="223"/>
      <c r="AO2558" s="223"/>
      <c r="AP2558" s="223"/>
      <c r="AQ2558" s="223"/>
      <c r="AR2558" s="223"/>
      <c r="AS2558" s="223"/>
      <c r="AT2558" s="324"/>
      <c r="AU2558" s="324"/>
      <c r="AV2558" s="223"/>
      <c r="AW2558" s="223"/>
      <c r="AX2558" s="223"/>
      <c r="AY2558" s="223"/>
      <c r="AZ2558" s="223"/>
      <c r="BA2558" s="223"/>
      <c r="BB2558" s="223"/>
      <c r="BC2558" s="223"/>
      <c r="BD2558" s="223"/>
      <c r="BE2558" s="223"/>
      <c r="BF2558" s="223"/>
      <c r="BG2558" s="223"/>
      <c r="BH2558" s="223"/>
      <c r="BI2558" s="223"/>
      <c r="BJ2558" s="223"/>
      <c r="BK2558" s="223"/>
      <c r="BL2558" s="223"/>
      <c r="BM2558" s="223"/>
      <c r="BN2558" s="223"/>
      <c r="BO2558" s="223"/>
      <c r="BP2558" s="223"/>
      <c r="BQ2558" s="223"/>
      <c r="BR2558" s="223"/>
      <c r="BS2558" s="223"/>
      <c r="BT2558" s="223"/>
      <c r="BU2558" s="223"/>
      <c r="BV2558" s="223"/>
      <c r="BW2558" s="223"/>
      <c r="BX2558" s="223"/>
      <c r="BY2558" s="223"/>
      <c r="BZ2558" s="223"/>
      <c r="CA2558" s="223"/>
      <c r="CB2558" s="223"/>
      <c r="CC2558" s="223"/>
      <c r="CD2558" s="223"/>
      <c r="CE2558" s="223"/>
      <c r="CF2558" s="223"/>
      <c r="CG2558" s="223"/>
      <c r="CH2558" s="223"/>
      <c r="CI2558" s="223"/>
      <c r="CJ2558" s="223"/>
      <c r="CK2558" s="223"/>
      <c r="CL2558" s="223"/>
      <c r="CM2558" s="223"/>
      <c r="CN2558" s="223"/>
      <c r="CO2558" s="223"/>
      <c r="CP2558" s="223"/>
      <c r="CQ2558" s="223"/>
      <c r="CR2558" s="223"/>
      <c r="CS2558" s="223"/>
      <c r="CT2558" s="223"/>
      <c r="CU2558" s="223"/>
      <c r="CV2558" s="223"/>
      <c r="CW2558" s="223"/>
      <c r="CX2558" s="223"/>
      <c r="CY2558" s="223"/>
      <c r="CZ2558" s="223"/>
      <c r="DA2558" s="223"/>
      <c r="DB2558" s="223"/>
      <c r="DC2558" s="223"/>
      <c r="DD2558" s="223"/>
      <c r="DE2558" s="223"/>
      <c r="DF2558" s="223"/>
      <c r="DG2558" s="223"/>
      <c r="DH2558" s="223"/>
      <c r="DI2558" s="223"/>
      <c r="DJ2558" s="223"/>
      <c r="DK2558" s="223"/>
      <c r="DL2558" s="223"/>
      <c r="DM2558" s="223"/>
      <c r="DN2558" s="223"/>
      <c r="DO2558" s="223"/>
      <c r="DP2558" s="223"/>
      <c r="DQ2558" s="223"/>
      <c r="DR2558" s="223"/>
      <c r="DS2558" s="223"/>
      <c r="DT2558" s="223"/>
      <c r="DU2558" s="223"/>
      <c r="DV2558" s="223"/>
      <c r="DW2558" s="223"/>
      <c r="DX2558" s="223"/>
      <c r="DY2558" s="223"/>
      <c r="DZ2558" s="223"/>
      <c r="EA2558" s="223"/>
      <c r="EB2558" s="223"/>
      <c r="EC2558" s="223"/>
      <c r="ED2558" s="223"/>
      <c r="EE2558" s="223"/>
      <c r="EF2558" s="223"/>
      <c r="EG2558" s="223"/>
      <c r="EH2558" s="223"/>
      <c r="EI2558" s="223"/>
      <c r="EJ2558" s="223"/>
      <c r="EK2558" s="223"/>
      <c r="EL2558" s="223"/>
      <c r="EM2558" s="223"/>
      <c r="EN2558" s="223"/>
      <c r="EO2558" s="223"/>
      <c r="EP2558" s="223"/>
      <c r="EQ2558" s="223"/>
      <c r="ER2558" s="223"/>
      <c r="ES2558" s="223"/>
      <c r="ET2558" s="223"/>
      <c r="EU2558" s="223"/>
      <c r="EV2558" s="223"/>
      <c r="EW2558" s="223"/>
      <c r="EX2558" s="223"/>
      <c r="EY2558" s="223"/>
      <c r="EZ2558" s="223"/>
      <c r="FA2558" s="223"/>
      <c r="FB2558" s="223"/>
      <c r="FC2558" s="223"/>
      <c r="FD2558" s="223"/>
      <c r="FE2558" s="223"/>
      <c r="FF2558" s="223"/>
      <c r="FG2558" s="223"/>
      <c r="FH2558" s="223"/>
      <c r="FI2558" s="223"/>
      <c r="FJ2558" s="223"/>
      <c r="FK2558" s="223"/>
      <c r="FL2558" s="223"/>
      <c r="FM2558" s="223"/>
      <c r="FN2558" s="223"/>
      <c r="FO2558" s="223"/>
      <c r="FP2558" s="223"/>
      <c r="FQ2558" s="223"/>
      <c r="FR2558" s="223"/>
      <c r="FS2558" s="223"/>
      <c r="FT2558" s="223"/>
      <c r="FU2558" s="223"/>
      <c r="FV2558" s="223"/>
      <c r="FW2558" s="223"/>
      <c r="FX2558" s="223"/>
      <c r="FY2558" s="223"/>
      <c r="FZ2558" s="223"/>
      <c r="GA2558" s="223"/>
      <c r="GB2558" s="223"/>
      <c r="GC2558" s="223"/>
      <c r="GD2558" s="223"/>
      <c r="GE2558" s="223"/>
      <c r="GF2558" s="223"/>
      <c r="GG2558" s="223"/>
      <c r="GH2558" s="223"/>
      <c r="GI2558" s="223"/>
      <c r="GJ2558" s="223"/>
      <c r="GK2558" s="223"/>
      <c r="GL2558" s="223"/>
      <c r="GM2558" s="223"/>
      <c r="GN2558" s="223"/>
      <c r="GO2558" s="223"/>
      <c r="GP2558" s="223"/>
      <c r="GQ2558" s="223"/>
      <c r="GR2558" s="223"/>
      <c r="GS2558" s="223"/>
      <c r="GT2558" s="223"/>
      <c r="GU2558" s="223"/>
      <c r="GV2558" s="223"/>
      <c r="GW2558" s="223"/>
      <c r="GX2558" s="223"/>
      <c r="GY2558" s="223"/>
      <c r="GZ2558" s="223"/>
      <c r="HA2558" s="223"/>
      <c r="HB2558" s="223"/>
      <c r="HC2558" s="223"/>
      <c r="HD2558" s="223"/>
      <c r="HE2558" s="223"/>
      <c r="HF2558" s="223"/>
      <c r="HG2558" s="223"/>
      <c r="HH2558" s="223"/>
      <c r="HI2558" s="223"/>
      <c r="HJ2558" s="223"/>
      <c r="HK2558" s="223"/>
      <c r="HL2558" s="223"/>
      <c r="HM2558" s="223"/>
      <c r="HN2558" s="223"/>
      <c r="HO2558" s="223"/>
      <c r="HP2558" s="223"/>
      <c r="HQ2558" s="223"/>
      <c r="HR2558" s="223"/>
      <c r="HS2558" s="223"/>
      <c r="HT2558" s="223"/>
      <c r="HU2558" s="223"/>
      <c r="HV2558" s="223"/>
      <c r="HW2558" s="223"/>
      <c r="HX2558" s="223"/>
      <c r="HY2558" s="223"/>
      <c r="HZ2558" s="223"/>
      <c r="IA2558" s="223"/>
      <c r="IB2558" s="223"/>
      <c r="IC2558" s="223"/>
      <c r="ID2558" s="223"/>
      <c r="IE2558" s="223"/>
      <c r="IF2558" s="223"/>
      <c r="IG2558" s="223"/>
      <c r="IH2558" s="223"/>
      <c r="II2558" s="223"/>
      <c r="IJ2558" s="223"/>
      <c r="IK2558" s="223"/>
      <c r="IL2558" s="223"/>
      <c r="IM2558" s="223"/>
      <c r="IN2558" s="223"/>
      <c r="IO2558" s="223"/>
      <c r="IP2558" s="223"/>
      <c r="IQ2558" s="223"/>
      <c r="IR2558" s="223"/>
      <c r="IS2558" s="223"/>
      <c r="IT2558" s="223"/>
      <c r="IU2558" s="223"/>
      <c r="IV2558" s="223"/>
    </row>
    <row r="2559" spans="22:256" s="221" customFormat="1" x14ac:dyDescent="0.2">
      <c r="V2559" s="223"/>
      <c r="W2559" s="223"/>
      <c r="X2559" s="223"/>
      <c r="Y2559" s="223"/>
      <c r="Z2559" s="223"/>
      <c r="AA2559" s="223"/>
      <c r="AB2559" s="223"/>
      <c r="AC2559" s="223"/>
      <c r="AD2559" s="223"/>
      <c r="AE2559" s="223"/>
      <c r="AF2559" s="223"/>
      <c r="AG2559" s="223"/>
      <c r="AH2559" s="223"/>
      <c r="AI2559" s="223"/>
      <c r="AJ2559" s="223"/>
      <c r="AK2559" s="223"/>
      <c r="AL2559" s="223"/>
      <c r="AM2559" s="223"/>
      <c r="AN2559" s="223"/>
      <c r="AO2559" s="223"/>
      <c r="AP2559" s="223"/>
      <c r="AQ2559" s="223"/>
      <c r="AR2559" s="223"/>
      <c r="AS2559" s="223"/>
      <c r="AT2559" s="324"/>
      <c r="AU2559" s="324"/>
      <c r="AV2559" s="223"/>
      <c r="AW2559" s="223"/>
      <c r="AX2559" s="223"/>
      <c r="AY2559" s="223"/>
      <c r="AZ2559" s="223"/>
      <c r="BA2559" s="223"/>
      <c r="BB2559" s="223"/>
      <c r="BC2559" s="223"/>
      <c r="BD2559" s="223"/>
      <c r="BE2559" s="223"/>
      <c r="BF2559" s="223"/>
      <c r="BG2559" s="223"/>
      <c r="BH2559" s="223"/>
      <c r="BI2559" s="223"/>
      <c r="BJ2559" s="223"/>
      <c r="BK2559" s="223"/>
      <c r="BL2559" s="223"/>
      <c r="BM2559" s="223"/>
      <c r="BN2559" s="223"/>
      <c r="BO2559" s="223"/>
      <c r="BP2559" s="223"/>
      <c r="BQ2559" s="223"/>
      <c r="BR2559" s="223"/>
      <c r="BS2559" s="223"/>
      <c r="BT2559" s="223"/>
      <c r="BU2559" s="223"/>
      <c r="BV2559" s="223"/>
      <c r="BW2559" s="223"/>
      <c r="BX2559" s="223"/>
      <c r="BY2559" s="223"/>
      <c r="BZ2559" s="223"/>
      <c r="CA2559" s="223"/>
      <c r="CB2559" s="223"/>
      <c r="CC2559" s="223"/>
      <c r="CD2559" s="223"/>
      <c r="CE2559" s="223"/>
      <c r="CF2559" s="223"/>
      <c r="CG2559" s="223"/>
      <c r="CH2559" s="223"/>
      <c r="CI2559" s="223"/>
      <c r="CJ2559" s="223"/>
      <c r="CK2559" s="223"/>
      <c r="CL2559" s="223"/>
      <c r="CM2559" s="223"/>
      <c r="CN2559" s="223"/>
      <c r="CO2559" s="223"/>
      <c r="CP2559" s="223"/>
      <c r="CQ2559" s="223"/>
      <c r="CR2559" s="223"/>
      <c r="CS2559" s="223"/>
      <c r="CT2559" s="223"/>
      <c r="CU2559" s="223"/>
      <c r="CV2559" s="223"/>
      <c r="CW2559" s="223"/>
      <c r="CX2559" s="223"/>
      <c r="CY2559" s="223"/>
      <c r="CZ2559" s="223"/>
      <c r="DA2559" s="223"/>
      <c r="DB2559" s="223"/>
      <c r="DC2559" s="223"/>
      <c r="DD2559" s="223"/>
      <c r="DE2559" s="223"/>
      <c r="DF2559" s="223"/>
      <c r="DG2559" s="223"/>
      <c r="DH2559" s="223"/>
      <c r="DI2559" s="223"/>
      <c r="DJ2559" s="223"/>
      <c r="DK2559" s="223"/>
      <c r="DL2559" s="223"/>
      <c r="DM2559" s="223"/>
      <c r="DN2559" s="223"/>
      <c r="DO2559" s="223"/>
      <c r="DP2559" s="223"/>
      <c r="DQ2559" s="223"/>
      <c r="DR2559" s="223"/>
      <c r="DS2559" s="223"/>
      <c r="DT2559" s="223"/>
      <c r="DU2559" s="223"/>
      <c r="DV2559" s="223"/>
      <c r="DW2559" s="223"/>
      <c r="DX2559" s="223"/>
      <c r="DY2559" s="223"/>
      <c r="DZ2559" s="223"/>
      <c r="EA2559" s="223"/>
      <c r="EB2559" s="223"/>
      <c r="EC2559" s="223"/>
      <c r="ED2559" s="223"/>
      <c r="EE2559" s="223"/>
      <c r="EF2559" s="223"/>
      <c r="EG2559" s="223"/>
      <c r="EH2559" s="223"/>
      <c r="EI2559" s="223"/>
      <c r="EJ2559" s="223"/>
      <c r="EK2559" s="223"/>
      <c r="EL2559" s="223"/>
      <c r="EM2559" s="223"/>
      <c r="EN2559" s="223"/>
      <c r="EO2559" s="223"/>
      <c r="EP2559" s="223"/>
      <c r="EQ2559" s="223"/>
      <c r="ER2559" s="223"/>
      <c r="ES2559" s="223"/>
      <c r="ET2559" s="223"/>
      <c r="EU2559" s="223"/>
      <c r="EV2559" s="223"/>
      <c r="EW2559" s="223"/>
      <c r="EX2559" s="223"/>
      <c r="EY2559" s="223"/>
      <c r="EZ2559" s="223"/>
      <c r="FA2559" s="223"/>
      <c r="FB2559" s="223"/>
      <c r="FC2559" s="223"/>
      <c r="FD2559" s="223"/>
      <c r="FE2559" s="223"/>
      <c r="FF2559" s="223"/>
      <c r="FG2559" s="223"/>
      <c r="FH2559" s="223"/>
      <c r="FI2559" s="223"/>
      <c r="FJ2559" s="223"/>
      <c r="FK2559" s="223"/>
      <c r="FL2559" s="223"/>
      <c r="FM2559" s="223"/>
      <c r="FN2559" s="223"/>
      <c r="FO2559" s="223"/>
      <c r="FP2559" s="223"/>
      <c r="FQ2559" s="223"/>
      <c r="FR2559" s="223"/>
      <c r="FS2559" s="223"/>
      <c r="FT2559" s="223"/>
      <c r="FU2559" s="223"/>
      <c r="FV2559" s="223"/>
      <c r="FW2559" s="223"/>
      <c r="FX2559" s="223"/>
      <c r="FY2559" s="223"/>
      <c r="FZ2559" s="223"/>
      <c r="GA2559" s="223"/>
      <c r="GB2559" s="223"/>
      <c r="GC2559" s="223"/>
      <c r="GD2559" s="223"/>
      <c r="GE2559" s="223"/>
      <c r="GF2559" s="223"/>
      <c r="GG2559" s="223"/>
      <c r="GH2559" s="223"/>
      <c r="GI2559" s="223"/>
      <c r="GJ2559" s="223"/>
      <c r="GK2559" s="223"/>
      <c r="GL2559" s="223"/>
      <c r="GM2559" s="223"/>
      <c r="GN2559" s="223"/>
      <c r="GO2559" s="223"/>
      <c r="GP2559" s="223"/>
      <c r="GQ2559" s="223"/>
      <c r="GR2559" s="223"/>
      <c r="GS2559" s="223"/>
      <c r="GT2559" s="223"/>
      <c r="GU2559" s="223"/>
      <c r="GV2559" s="223"/>
      <c r="GW2559" s="223"/>
      <c r="GX2559" s="223"/>
      <c r="GY2559" s="223"/>
      <c r="GZ2559" s="223"/>
      <c r="HA2559" s="223"/>
      <c r="HB2559" s="223"/>
      <c r="HC2559" s="223"/>
      <c r="HD2559" s="223"/>
      <c r="HE2559" s="223"/>
      <c r="HF2559" s="223"/>
      <c r="HG2559" s="223"/>
      <c r="HH2559" s="223"/>
      <c r="HI2559" s="223"/>
      <c r="HJ2559" s="223"/>
      <c r="HK2559" s="223"/>
      <c r="HL2559" s="223"/>
      <c r="HM2559" s="223"/>
      <c r="HN2559" s="223"/>
      <c r="HO2559" s="223"/>
      <c r="HP2559" s="223"/>
      <c r="HQ2559" s="223"/>
      <c r="HR2559" s="223"/>
      <c r="HS2559" s="223"/>
      <c r="HT2559" s="223"/>
      <c r="HU2559" s="223"/>
      <c r="HV2559" s="223"/>
      <c r="HW2559" s="223"/>
      <c r="HX2559" s="223"/>
      <c r="HY2559" s="223"/>
      <c r="HZ2559" s="223"/>
      <c r="IA2559" s="223"/>
      <c r="IB2559" s="223"/>
      <c r="IC2559" s="223"/>
      <c r="ID2559" s="223"/>
      <c r="IE2559" s="223"/>
      <c r="IF2559" s="223"/>
      <c r="IG2559" s="223"/>
      <c r="IH2559" s="223"/>
      <c r="II2559" s="223"/>
      <c r="IJ2559" s="223"/>
      <c r="IK2559" s="223"/>
      <c r="IL2559" s="223"/>
      <c r="IM2559" s="223"/>
      <c r="IN2559" s="223"/>
      <c r="IO2559" s="223"/>
      <c r="IP2559" s="223"/>
      <c r="IQ2559" s="223"/>
      <c r="IR2559" s="223"/>
      <c r="IS2559" s="223"/>
      <c r="IT2559" s="223"/>
      <c r="IU2559" s="223"/>
      <c r="IV2559" s="223"/>
    </row>
    <row r="2560" spans="22:256" s="221" customFormat="1" x14ac:dyDescent="0.2">
      <c r="V2560" s="223"/>
      <c r="W2560" s="223"/>
      <c r="X2560" s="223"/>
      <c r="Y2560" s="223"/>
      <c r="Z2560" s="223"/>
      <c r="AA2560" s="223"/>
      <c r="AB2560" s="223"/>
      <c r="AC2560" s="223"/>
      <c r="AD2560" s="223"/>
      <c r="AE2560" s="223"/>
      <c r="AF2560" s="223"/>
      <c r="AG2560" s="223"/>
      <c r="AH2560" s="223"/>
      <c r="AI2560" s="223"/>
      <c r="AJ2560" s="223"/>
      <c r="AK2560" s="223"/>
      <c r="AL2560" s="223"/>
      <c r="AM2560" s="223"/>
      <c r="AN2560" s="223"/>
      <c r="AO2560" s="223"/>
      <c r="AP2560" s="223"/>
      <c r="AQ2560" s="223"/>
      <c r="AR2560" s="223"/>
      <c r="AS2560" s="223"/>
      <c r="AT2560" s="324"/>
      <c r="AU2560" s="324"/>
      <c r="AV2560" s="223"/>
      <c r="AW2560" s="223"/>
      <c r="AX2560" s="223"/>
      <c r="AY2560" s="223"/>
      <c r="AZ2560" s="223"/>
      <c r="BA2560" s="223"/>
      <c r="BB2560" s="223"/>
      <c r="BC2560" s="223"/>
      <c r="BD2560" s="223"/>
      <c r="BE2560" s="223"/>
      <c r="BF2560" s="223"/>
      <c r="BG2560" s="223"/>
      <c r="BH2560" s="223"/>
      <c r="BI2560" s="223"/>
      <c r="BJ2560" s="223"/>
      <c r="BK2560" s="223"/>
      <c r="BL2560" s="223"/>
      <c r="BM2560" s="223"/>
      <c r="BN2560" s="223"/>
      <c r="BO2560" s="223"/>
      <c r="BP2560" s="223"/>
      <c r="BQ2560" s="223"/>
      <c r="BR2560" s="223"/>
      <c r="BS2560" s="223"/>
      <c r="BT2560" s="223"/>
      <c r="BU2560" s="223"/>
      <c r="BV2560" s="223"/>
      <c r="BW2560" s="223"/>
      <c r="BX2560" s="223"/>
      <c r="BY2560" s="223"/>
      <c r="BZ2560" s="223"/>
      <c r="CA2560" s="223"/>
      <c r="CB2560" s="223"/>
      <c r="CC2560" s="223"/>
      <c r="CD2560" s="223"/>
      <c r="CE2560" s="223"/>
      <c r="CF2560" s="223"/>
      <c r="CG2560" s="223"/>
      <c r="CH2560" s="223"/>
      <c r="CI2560" s="223"/>
      <c r="CJ2560" s="223"/>
      <c r="CK2560" s="223"/>
      <c r="CL2560" s="223"/>
      <c r="CM2560" s="223"/>
      <c r="CN2560" s="223"/>
      <c r="CO2560" s="223"/>
      <c r="CP2560" s="223"/>
      <c r="CQ2560" s="223"/>
      <c r="CR2560" s="223"/>
      <c r="CS2560" s="223"/>
      <c r="CT2560" s="223"/>
      <c r="CU2560" s="223"/>
      <c r="CV2560" s="223"/>
      <c r="CW2560" s="223"/>
      <c r="CX2560" s="223"/>
      <c r="CY2560" s="223"/>
      <c r="CZ2560" s="223"/>
      <c r="DA2560" s="223"/>
      <c r="DB2560" s="223"/>
      <c r="DC2560" s="223"/>
      <c r="DD2560" s="223"/>
      <c r="DE2560" s="223"/>
      <c r="DF2560" s="223"/>
      <c r="DG2560" s="223"/>
      <c r="DH2560" s="223"/>
      <c r="DI2560" s="223"/>
      <c r="DJ2560" s="223"/>
      <c r="DK2560" s="223"/>
      <c r="DL2560" s="223"/>
      <c r="DM2560" s="223"/>
      <c r="DN2560" s="223"/>
      <c r="DO2560" s="223"/>
      <c r="DP2560" s="223"/>
      <c r="DQ2560" s="223"/>
      <c r="DR2560" s="223"/>
      <c r="DS2560" s="223"/>
      <c r="DT2560" s="223"/>
      <c r="DU2560" s="223"/>
      <c r="DV2560" s="223"/>
      <c r="DW2560" s="223"/>
      <c r="DX2560" s="223"/>
      <c r="DY2560" s="223"/>
      <c r="DZ2560" s="223"/>
      <c r="EA2560" s="223"/>
      <c r="EB2560" s="223"/>
      <c r="EC2560" s="223"/>
      <c r="ED2560" s="223"/>
      <c r="EE2560" s="223"/>
      <c r="EF2560" s="223"/>
      <c r="EG2560" s="223"/>
      <c r="EH2560" s="223"/>
      <c r="EI2560" s="223"/>
      <c r="EJ2560" s="223"/>
      <c r="EK2560" s="223"/>
      <c r="EL2560" s="223"/>
      <c r="EM2560" s="223"/>
      <c r="EN2560" s="223"/>
      <c r="EO2560" s="223"/>
      <c r="EP2560" s="223"/>
      <c r="EQ2560" s="223"/>
      <c r="ER2560" s="223"/>
      <c r="ES2560" s="223"/>
      <c r="ET2560" s="223"/>
      <c r="EU2560" s="223"/>
      <c r="EV2560" s="223"/>
      <c r="EW2560" s="223"/>
      <c r="EX2560" s="223"/>
      <c r="EY2560" s="223"/>
      <c r="EZ2560" s="223"/>
      <c r="FA2560" s="223"/>
      <c r="FB2560" s="223"/>
      <c r="FC2560" s="223"/>
      <c r="FD2560" s="223"/>
      <c r="FE2560" s="223"/>
      <c r="FF2560" s="223"/>
      <c r="FG2560" s="223"/>
      <c r="FH2560" s="223"/>
      <c r="FI2560" s="223"/>
      <c r="FJ2560" s="223"/>
      <c r="FK2560" s="223"/>
      <c r="FL2560" s="223"/>
      <c r="FM2560" s="223"/>
      <c r="FN2560" s="223"/>
      <c r="FO2560" s="223"/>
      <c r="FP2560" s="223"/>
      <c r="FQ2560" s="223"/>
      <c r="FR2560" s="223"/>
      <c r="FS2560" s="223"/>
      <c r="FT2560" s="223"/>
      <c r="FU2560" s="223"/>
      <c r="FV2560" s="223"/>
      <c r="FW2560" s="223"/>
      <c r="FX2560" s="223"/>
      <c r="FY2560" s="223"/>
      <c r="FZ2560" s="223"/>
      <c r="GA2560" s="223"/>
      <c r="GB2560" s="223"/>
      <c r="GC2560" s="223"/>
      <c r="GD2560" s="223"/>
      <c r="GE2560" s="223"/>
      <c r="GF2560" s="223"/>
      <c r="GG2560" s="223"/>
      <c r="GH2560" s="223"/>
      <c r="GI2560" s="223"/>
      <c r="GJ2560" s="223"/>
      <c r="GK2560" s="223"/>
      <c r="GL2560" s="223"/>
      <c r="GM2560" s="223"/>
      <c r="GN2560" s="223"/>
      <c r="GO2560" s="223"/>
      <c r="GP2560" s="223"/>
      <c r="GQ2560" s="223"/>
      <c r="GR2560" s="223"/>
      <c r="GS2560" s="223"/>
      <c r="GT2560" s="223"/>
      <c r="GU2560" s="223"/>
      <c r="GV2560" s="223"/>
      <c r="GW2560" s="223"/>
      <c r="GX2560" s="223"/>
      <c r="GY2560" s="223"/>
      <c r="GZ2560" s="223"/>
      <c r="HA2560" s="223"/>
      <c r="HB2560" s="223"/>
      <c r="HC2560" s="223"/>
      <c r="HD2560" s="223"/>
      <c r="HE2560" s="223"/>
      <c r="HF2560" s="223"/>
      <c r="HG2560" s="223"/>
      <c r="HH2560" s="223"/>
      <c r="HI2560" s="223"/>
      <c r="HJ2560" s="223"/>
      <c r="HK2560" s="223"/>
      <c r="HL2560" s="223"/>
      <c r="HM2560" s="223"/>
      <c r="HN2560" s="223"/>
      <c r="HO2560" s="223"/>
      <c r="HP2560" s="223"/>
      <c r="HQ2560" s="223"/>
      <c r="HR2560" s="223"/>
      <c r="HS2560" s="223"/>
      <c r="HT2560" s="223"/>
      <c r="HU2560" s="223"/>
      <c r="HV2560" s="223"/>
      <c r="HW2560" s="223"/>
      <c r="HX2560" s="223"/>
      <c r="HY2560" s="223"/>
      <c r="HZ2560" s="223"/>
      <c r="IA2560" s="223"/>
      <c r="IB2560" s="223"/>
      <c r="IC2560" s="223"/>
      <c r="ID2560" s="223"/>
      <c r="IE2560" s="223"/>
      <c r="IF2560" s="223"/>
      <c r="IG2560" s="223"/>
      <c r="IH2560" s="223"/>
      <c r="II2560" s="223"/>
      <c r="IJ2560" s="223"/>
      <c r="IK2560" s="223"/>
      <c r="IL2560" s="223"/>
      <c r="IM2560" s="223"/>
      <c r="IN2560" s="223"/>
      <c r="IO2560" s="223"/>
      <c r="IP2560" s="223"/>
      <c r="IQ2560" s="223"/>
      <c r="IR2560" s="223"/>
      <c r="IS2560" s="223"/>
      <c r="IT2560" s="223"/>
      <c r="IU2560" s="223"/>
      <c r="IV2560" s="223"/>
    </row>
    <row r="2561" spans="22:256" s="221" customFormat="1" x14ac:dyDescent="0.2">
      <c r="V2561" s="223"/>
      <c r="W2561" s="223"/>
      <c r="X2561" s="223"/>
      <c r="Y2561" s="223"/>
      <c r="Z2561" s="223"/>
      <c r="AA2561" s="223"/>
      <c r="AB2561" s="223"/>
      <c r="AC2561" s="223"/>
      <c r="AD2561" s="223"/>
      <c r="AE2561" s="223"/>
      <c r="AF2561" s="223"/>
      <c r="AG2561" s="223"/>
      <c r="AH2561" s="223"/>
      <c r="AI2561" s="223"/>
      <c r="AJ2561" s="223"/>
      <c r="AK2561" s="223"/>
      <c r="AL2561" s="223"/>
      <c r="AM2561" s="223"/>
      <c r="AN2561" s="223"/>
      <c r="AO2561" s="223"/>
      <c r="AP2561" s="223"/>
      <c r="AQ2561" s="223"/>
      <c r="AR2561" s="223"/>
      <c r="AS2561" s="223"/>
      <c r="AT2561" s="324"/>
      <c r="AU2561" s="324"/>
      <c r="AV2561" s="223"/>
      <c r="AW2561" s="223"/>
      <c r="AX2561" s="223"/>
      <c r="AY2561" s="223"/>
      <c r="AZ2561" s="223"/>
      <c r="BA2561" s="223"/>
      <c r="BB2561" s="223"/>
      <c r="BC2561" s="223"/>
      <c r="BD2561" s="223"/>
      <c r="BE2561" s="223"/>
      <c r="BF2561" s="223"/>
      <c r="BG2561" s="223"/>
      <c r="BH2561" s="223"/>
      <c r="BI2561" s="223"/>
      <c r="BJ2561" s="223"/>
      <c r="BK2561" s="223"/>
      <c r="BL2561" s="223"/>
      <c r="BM2561" s="223"/>
      <c r="BN2561" s="223"/>
      <c r="BO2561" s="223"/>
      <c r="BP2561" s="223"/>
      <c r="BQ2561" s="223"/>
      <c r="BR2561" s="223"/>
      <c r="BS2561" s="223"/>
      <c r="BT2561" s="223"/>
      <c r="BU2561" s="223"/>
      <c r="BV2561" s="223"/>
      <c r="BW2561" s="223"/>
      <c r="BX2561" s="223"/>
      <c r="BY2561" s="223"/>
      <c r="BZ2561" s="223"/>
      <c r="CA2561" s="223"/>
      <c r="CB2561" s="223"/>
      <c r="CC2561" s="223"/>
      <c r="CD2561" s="223"/>
      <c r="CE2561" s="223"/>
      <c r="CF2561" s="223"/>
      <c r="CG2561" s="223"/>
      <c r="CH2561" s="223"/>
      <c r="CI2561" s="223"/>
      <c r="CJ2561" s="223"/>
      <c r="CK2561" s="223"/>
      <c r="CL2561" s="223"/>
      <c r="CM2561" s="223"/>
      <c r="CN2561" s="223"/>
      <c r="CO2561" s="223"/>
      <c r="CP2561" s="223"/>
      <c r="CQ2561" s="223"/>
      <c r="CR2561" s="223"/>
      <c r="CS2561" s="223"/>
      <c r="CT2561" s="223"/>
      <c r="CU2561" s="223"/>
      <c r="CV2561" s="223"/>
      <c r="CW2561" s="223"/>
      <c r="CX2561" s="223"/>
      <c r="CY2561" s="223"/>
      <c r="CZ2561" s="223"/>
      <c r="DA2561" s="223"/>
      <c r="DB2561" s="223"/>
      <c r="DC2561" s="223"/>
      <c r="DD2561" s="223"/>
      <c r="DE2561" s="223"/>
      <c r="DF2561" s="223"/>
      <c r="DG2561" s="223"/>
      <c r="DH2561" s="223"/>
      <c r="DI2561" s="223"/>
      <c r="DJ2561" s="223"/>
      <c r="DK2561" s="223"/>
      <c r="DL2561" s="223"/>
      <c r="DM2561" s="223"/>
      <c r="DN2561" s="223"/>
      <c r="DO2561" s="223"/>
      <c r="DP2561" s="223"/>
      <c r="DQ2561" s="223"/>
      <c r="DR2561" s="223"/>
      <c r="DS2561" s="223"/>
      <c r="DT2561" s="223"/>
      <c r="DU2561" s="223"/>
      <c r="DV2561" s="223"/>
      <c r="DW2561" s="223"/>
      <c r="DX2561" s="223"/>
      <c r="DY2561" s="223"/>
      <c r="DZ2561" s="223"/>
      <c r="EA2561" s="223"/>
      <c r="EB2561" s="223"/>
      <c r="EC2561" s="223"/>
      <c r="ED2561" s="223"/>
      <c r="EE2561" s="223"/>
      <c r="EF2561" s="223"/>
      <c r="EG2561" s="223"/>
      <c r="EH2561" s="223"/>
      <c r="EI2561" s="223"/>
      <c r="EJ2561" s="223"/>
      <c r="EK2561" s="223"/>
      <c r="EL2561" s="223"/>
      <c r="EM2561" s="223"/>
      <c r="EN2561" s="223"/>
      <c r="EO2561" s="223"/>
      <c r="EP2561" s="223"/>
      <c r="EQ2561" s="223"/>
      <c r="ER2561" s="223"/>
      <c r="ES2561" s="223"/>
      <c r="ET2561" s="223"/>
      <c r="EU2561" s="223"/>
      <c r="EV2561" s="223"/>
      <c r="EW2561" s="223"/>
      <c r="EX2561" s="223"/>
      <c r="EY2561" s="223"/>
      <c r="EZ2561" s="223"/>
      <c r="FA2561" s="223"/>
      <c r="FB2561" s="223"/>
      <c r="FC2561" s="223"/>
      <c r="FD2561" s="223"/>
      <c r="FE2561" s="223"/>
      <c r="FF2561" s="223"/>
      <c r="FG2561" s="223"/>
      <c r="FH2561" s="223"/>
      <c r="FI2561" s="223"/>
      <c r="FJ2561" s="223"/>
      <c r="FK2561" s="223"/>
      <c r="FL2561" s="223"/>
      <c r="FM2561" s="223"/>
      <c r="FN2561" s="223"/>
      <c r="FO2561" s="223"/>
      <c r="FP2561" s="223"/>
      <c r="FQ2561" s="223"/>
      <c r="FR2561" s="223"/>
      <c r="FS2561" s="223"/>
      <c r="FT2561" s="223"/>
      <c r="FU2561" s="223"/>
      <c r="FV2561" s="223"/>
      <c r="FW2561" s="223"/>
      <c r="FX2561" s="223"/>
      <c r="FY2561" s="223"/>
      <c r="FZ2561" s="223"/>
      <c r="GA2561" s="223"/>
      <c r="GB2561" s="223"/>
      <c r="GC2561" s="223"/>
      <c r="GD2561" s="223"/>
      <c r="GE2561" s="223"/>
      <c r="GF2561" s="223"/>
      <c r="GG2561" s="223"/>
      <c r="GH2561" s="223"/>
      <c r="GI2561" s="223"/>
      <c r="GJ2561" s="223"/>
      <c r="GK2561" s="223"/>
      <c r="GL2561" s="223"/>
      <c r="GM2561" s="223"/>
      <c r="GN2561" s="223"/>
      <c r="GO2561" s="223"/>
      <c r="GP2561" s="223"/>
      <c r="GQ2561" s="223"/>
      <c r="GR2561" s="223"/>
      <c r="GS2561" s="223"/>
      <c r="GT2561" s="223"/>
      <c r="GU2561" s="223"/>
      <c r="GV2561" s="223"/>
      <c r="GW2561" s="223"/>
      <c r="GX2561" s="223"/>
      <c r="GY2561" s="223"/>
      <c r="GZ2561" s="223"/>
      <c r="HA2561" s="223"/>
      <c r="HB2561" s="223"/>
      <c r="HC2561" s="223"/>
      <c r="HD2561" s="223"/>
      <c r="HE2561" s="223"/>
      <c r="HF2561" s="223"/>
      <c r="HG2561" s="223"/>
      <c r="HH2561" s="223"/>
      <c r="HI2561" s="223"/>
      <c r="HJ2561" s="223"/>
      <c r="HK2561" s="223"/>
      <c r="HL2561" s="223"/>
      <c r="HM2561" s="223"/>
      <c r="HN2561" s="223"/>
      <c r="HO2561" s="223"/>
      <c r="HP2561" s="223"/>
      <c r="HQ2561" s="223"/>
      <c r="HR2561" s="223"/>
      <c r="HS2561" s="223"/>
      <c r="HT2561" s="223"/>
      <c r="HU2561" s="223"/>
      <c r="HV2561" s="223"/>
      <c r="HW2561" s="223"/>
      <c r="HX2561" s="223"/>
      <c r="HY2561" s="223"/>
      <c r="HZ2561" s="223"/>
      <c r="IA2561" s="223"/>
      <c r="IB2561" s="223"/>
      <c r="IC2561" s="223"/>
      <c r="ID2561" s="223"/>
      <c r="IE2561" s="223"/>
      <c r="IF2561" s="223"/>
      <c r="IG2561" s="223"/>
      <c r="IH2561" s="223"/>
      <c r="II2561" s="223"/>
      <c r="IJ2561" s="223"/>
      <c r="IK2561" s="223"/>
      <c r="IL2561" s="223"/>
      <c r="IM2561" s="223"/>
      <c r="IN2561" s="223"/>
      <c r="IO2561" s="223"/>
      <c r="IP2561" s="223"/>
      <c r="IQ2561" s="223"/>
      <c r="IR2561" s="223"/>
      <c r="IS2561" s="223"/>
      <c r="IT2561" s="223"/>
      <c r="IU2561" s="223"/>
      <c r="IV2561" s="223"/>
    </row>
    <row r="2562" spans="22:256" s="221" customFormat="1" x14ac:dyDescent="0.2">
      <c r="V2562" s="223"/>
      <c r="W2562" s="223"/>
      <c r="X2562" s="223"/>
      <c r="Y2562" s="223"/>
      <c r="Z2562" s="223"/>
      <c r="AA2562" s="223"/>
      <c r="AB2562" s="223"/>
      <c r="AC2562" s="223"/>
      <c r="AD2562" s="223"/>
      <c r="AE2562" s="223"/>
      <c r="AF2562" s="223"/>
      <c r="AG2562" s="223"/>
      <c r="AH2562" s="223"/>
      <c r="AI2562" s="223"/>
      <c r="AJ2562" s="223"/>
      <c r="AK2562" s="223"/>
      <c r="AL2562" s="223"/>
      <c r="AM2562" s="223"/>
      <c r="AN2562" s="223"/>
      <c r="AO2562" s="223"/>
      <c r="AP2562" s="223"/>
      <c r="AQ2562" s="223"/>
      <c r="AR2562" s="223"/>
      <c r="AS2562" s="223"/>
      <c r="AT2562" s="324"/>
      <c r="AU2562" s="324"/>
      <c r="AV2562" s="223"/>
      <c r="AW2562" s="223"/>
      <c r="AX2562" s="223"/>
      <c r="AY2562" s="223"/>
      <c r="AZ2562" s="223"/>
      <c r="BA2562" s="223"/>
      <c r="BB2562" s="223"/>
      <c r="BC2562" s="223"/>
      <c r="BD2562" s="223"/>
      <c r="BE2562" s="223"/>
      <c r="BF2562" s="223"/>
      <c r="BG2562" s="223"/>
      <c r="BH2562" s="223"/>
      <c r="BI2562" s="223"/>
      <c r="BJ2562" s="223"/>
      <c r="BK2562" s="223"/>
      <c r="BL2562" s="223"/>
      <c r="BM2562" s="223"/>
      <c r="BN2562" s="223"/>
      <c r="BO2562" s="223"/>
      <c r="BP2562" s="223"/>
      <c r="BQ2562" s="223"/>
      <c r="BR2562" s="223"/>
      <c r="BS2562" s="223"/>
      <c r="BT2562" s="223"/>
      <c r="BU2562" s="223"/>
      <c r="BV2562" s="223"/>
      <c r="BW2562" s="223"/>
      <c r="BX2562" s="223"/>
      <c r="BY2562" s="223"/>
      <c r="BZ2562" s="223"/>
      <c r="CA2562" s="223"/>
      <c r="CB2562" s="223"/>
      <c r="CC2562" s="223"/>
      <c r="CD2562" s="223"/>
      <c r="CE2562" s="223"/>
      <c r="CF2562" s="223"/>
      <c r="CG2562" s="223"/>
      <c r="CH2562" s="223"/>
      <c r="CI2562" s="223"/>
      <c r="CJ2562" s="223"/>
      <c r="CK2562" s="223"/>
      <c r="CL2562" s="223"/>
      <c r="CM2562" s="223"/>
      <c r="CN2562" s="223"/>
      <c r="CO2562" s="223"/>
      <c r="CP2562" s="223"/>
      <c r="CQ2562" s="223"/>
      <c r="CR2562" s="223"/>
      <c r="CS2562" s="223"/>
      <c r="CT2562" s="223"/>
      <c r="CU2562" s="223"/>
      <c r="CV2562" s="223"/>
      <c r="CW2562" s="223"/>
      <c r="CX2562" s="223"/>
      <c r="CY2562" s="223"/>
      <c r="CZ2562" s="223"/>
      <c r="DA2562" s="223"/>
      <c r="DB2562" s="223"/>
      <c r="DC2562" s="223"/>
      <c r="DD2562" s="223"/>
      <c r="DE2562" s="223"/>
      <c r="DF2562" s="223"/>
      <c r="DG2562" s="223"/>
      <c r="DH2562" s="223"/>
      <c r="DI2562" s="223"/>
      <c r="DJ2562" s="223"/>
      <c r="DK2562" s="223"/>
      <c r="DL2562" s="223"/>
      <c r="DM2562" s="223"/>
      <c r="DN2562" s="223"/>
      <c r="DO2562" s="223"/>
      <c r="DP2562" s="223"/>
      <c r="DQ2562" s="223"/>
      <c r="DR2562" s="223"/>
      <c r="DS2562" s="223"/>
      <c r="DT2562" s="223"/>
      <c r="DU2562" s="223"/>
      <c r="DV2562" s="223"/>
      <c r="DW2562" s="223"/>
      <c r="DX2562" s="223"/>
      <c r="DY2562" s="223"/>
      <c r="DZ2562" s="223"/>
      <c r="EA2562" s="223"/>
      <c r="EB2562" s="223"/>
      <c r="EC2562" s="223"/>
      <c r="ED2562" s="223"/>
      <c r="EE2562" s="223"/>
      <c r="EF2562" s="223"/>
      <c r="EG2562" s="223"/>
      <c r="EH2562" s="223"/>
      <c r="EI2562" s="223"/>
      <c r="EJ2562" s="223"/>
      <c r="EK2562" s="223"/>
      <c r="EL2562" s="223"/>
      <c r="EM2562" s="223"/>
      <c r="EN2562" s="223"/>
      <c r="EO2562" s="223"/>
      <c r="EP2562" s="223"/>
      <c r="EQ2562" s="223"/>
      <c r="ER2562" s="223"/>
      <c r="ES2562" s="223"/>
      <c r="ET2562" s="223"/>
      <c r="EU2562" s="223"/>
      <c r="EV2562" s="223"/>
      <c r="EW2562" s="223"/>
      <c r="EX2562" s="223"/>
      <c r="EY2562" s="223"/>
      <c r="EZ2562" s="223"/>
      <c r="FA2562" s="223"/>
      <c r="FB2562" s="223"/>
      <c r="FC2562" s="223"/>
      <c r="FD2562" s="223"/>
      <c r="FE2562" s="223"/>
      <c r="FF2562" s="223"/>
      <c r="FG2562" s="223"/>
      <c r="FH2562" s="223"/>
      <c r="FI2562" s="223"/>
      <c r="FJ2562" s="223"/>
      <c r="FK2562" s="223"/>
      <c r="FL2562" s="223"/>
      <c r="FM2562" s="223"/>
      <c r="FN2562" s="223"/>
      <c r="FO2562" s="223"/>
      <c r="FP2562" s="223"/>
      <c r="FQ2562" s="223"/>
      <c r="FR2562" s="223"/>
      <c r="FS2562" s="223"/>
      <c r="FT2562" s="223"/>
      <c r="FU2562" s="223"/>
      <c r="FV2562" s="223"/>
      <c r="FW2562" s="223"/>
      <c r="FX2562" s="223"/>
      <c r="FY2562" s="223"/>
      <c r="FZ2562" s="223"/>
      <c r="GA2562" s="223"/>
      <c r="GB2562" s="223"/>
      <c r="GC2562" s="223"/>
      <c r="GD2562" s="223"/>
      <c r="GE2562" s="223"/>
      <c r="GF2562" s="223"/>
      <c r="GG2562" s="223"/>
      <c r="GH2562" s="223"/>
      <c r="GI2562" s="223"/>
      <c r="GJ2562" s="223"/>
      <c r="GK2562" s="223"/>
      <c r="GL2562" s="223"/>
      <c r="GM2562" s="223"/>
      <c r="GN2562" s="223"/>
      <c r="GO2562" s="223"/>
      <c r="GP2562" s="223"/>
      <c r="GQ2562" s="223"/>
      <c r="GR2562" s="223"/>
      <c r="GS2562" s="223"/>
      <c r="GT2562" s="223"/>
      <c r="GU2562" s="223"/>
      <c r="GV2562" s="223"/>
      <c r="GW2562" s="223"/>
      <c r="GX2562" s="223"/>
      <c r="GY2562" s="223"/>
      <c r="GZ2562" s="223"/>
      <c r="HA2562" s="223"/>
      <c r="HB2562" s="223"/>
      <c r="HC2562" s="223"/>
      <c r="HD2562" s="223"/>
      <c r="HE2562" s="223"/>
      <c r="HF2562" s="223"/>
      <c r="HG2562" s="223"/>
      <c r="HH2562" s="223"/>
      <c r="HI2562" s="223"/>
      <c r="HJ2562" s="223"/>
      <c r="HK2562" s="223"/>
      <c r="HL2562" s="223"/>
      <c r="HM2562" s="223"/>
      <c r="HN2562" s="223"/>
      <c r="HO2562" s="223"/>
      <c r="HP2562" s="223"/>
      <c r="HQ2562" s="223"/>
      <c r="HR2562" s="223"/>
      <c r="HS2562" s="223"/>
      <c r="HT2562" s="223"/>
      <c r="HU2562" s="223"/>
      <c r="HV2562" s="223"/>
      <c r="HW2562" s="223"/>
      <c r="HX2562" s="223"/>
      <c r="HY2562" s="223"/>
      <c r="HZ2562" s="223"/>
      <c r="IA2562" s="223"/>
      <c r="IB2562" s="223"/>
      <c r="IC2562" s="223"/>
      <c r="ID2562" s="223"/>
      <c r="IE2562" s="223"/>
      <c r="IF2562" s="223"/>
      <c r="IG2562" s="223"/>
      <c r="IH2562" s="223"/>
      <c r="II2562" s="223"/>
      <c r="IJ2562" s="223"/>
      <c r="IK2562" s="223"/>
      <c r="IL2562" s="223"/>
      <c r="IM2562" s="223"/>
      <c r="IN2562" s="223"/>
      <c r="IO2562" s="223"/>
      <c r="IP2562" s="223"/>
      <c r="IQ2562" s="223"/>
      <c r="IR2562" s="223"/>
      <c r="IS2562" s="223"/>
      <c r="IT2562" s="223"/>
      <c r="IU2562" s="223"/>
      <c r="IV2562" s="223"/>
    </row>
    <row r="2563" spans="22:256" s="221" customFormat="1" x14ac:dyDescent="0.2">
      <c r="V2563" s="223"/>
      <c r="W2563" s="223"/>
      <c r="X2563" s="223"/>
      <c r="Y2563" s="223"/>
      <c r="Z2563" s="223"/>
      <c r="AA2563" s="223"/>
      <c r="AB2563" s="223"/>
      <c r="AC2563" s="223"/>
      <c r="AD2563" s="223"/>
      <c r="AE2563" s="223"/>
      <c r="AF2563" s="223"/>
      <c r="AG2563" s="223"/>
      <c r="AH2563" s="223"/>
      <c r="AI2563" s="223"/>
      <c r="AJ2563" s="223"/>
      <c r="AK2563" s="223"/>
      <c r="AL2563" s="223"/>
      <c r="AM2563" s="223"/>
      <c r="AN2563" s="223"/>
      <c r="AO2563" s="223"/>
      <c r="AP2563" s="223"/>
      <c r="AQ2563" s="223"/>
      <c r="AR2563" s="223"/>
      <c r="AS2563" s="223"/>
      <c r="AT2563" s="324"/>
      <c r="AU2563" s="324"/>
      <c r="AV2563" s="223"/>
      <c r="AW2563" s="223"/>
      <c r="AX2563" s="223"/>
      <c r="AY2563" s="223"/>
      <c r="AZ2563" s="223"/>
      <c r="BA2563" s="223"/>
      <c r="BB2563" s="223"/>
      <c r="BC2563" s="223"/>
      <c r="BD2563" s="223"/>
      <c r="BE2563" s="223"/>
      <c r="BF2563" s="223"/>
      <c r="BG2563" s="223"/>
      <c r="BH2563" s="223"/>
      <c r="BI2563" s="223"/>
      <c r="BJ2563" s="223"/>
      <c r="BK2563" s="223"/>
      <c r="BL2563" s="223"/>
      <c r="BM2563" s="223"/>
      <c r="BN2563" s="223"/>
      <c r="BO2563" s="223"/>
      <c r="BP2563" s="223"/>
      <c r="BQ2563" s="223"/>
      <c r="BR2563" s="223"/>
      <c r="BS2563" s="223"/>
      <c r="BT2563" s="223"/>
      <c r="BU2563" s="223"/>
      <c r="BV2563" s="223"/>
      <c r="BW2563" s="223"/>
      <c r="BX2563" s="223"/>
      <c r="BY2563" s="223"/>
      <c r="BZ2563" s="223"/>
      <c r="CA2563" s="223"/>
      <c r="CB2563" s="223"/>
      <c r="CC2563" s="223"/>
      <c r="CD2563" s="223"/>
      <c r="CE2563" s="223"/>
      <c r="CF2563" s="223"/>
      <c r="CG2563" s="223"/>
      <c r="CH2563" s="223"/>
      <c r="CI2563" s="223"/>
      <c r="CJ2563" s="223"/>
      <c r="CK2563" s="223"/>
      <c r="CL2563" s="223"/>
      <c r="CM2563" s="223"/>
      <c r="CN2563" s="223"/>
      <c r="CO2563" s="223"/>
      <c r="CP2563" s="223"/>
      <c r="CQ2563" s="223"/>
      <c r="CR2563" s="223"/>
      <c r="CS2563" s="223"/>
      <c r="CT2563" s="223"/>
      <c r="CU2563" s="223"/>
      <c r="CV2563" s="223"/>
      <c r="CW2563" s="223"/>
      <c r="CX2563" s="223"/>
      <c r="CY2563" s="223"/>
      <c r="CZ2563" s="223"/>
      <c r="DA2563" s="223"/>
      <c r="DB2563" s="223"/>
      <c r="DC2563" s="223"/>
      <c r="DD2563" s="223"/>
      <c r="DE2563" s="223"/>
      <c r="DF2563" s="223"/>
      <c r="DG2563" s="223"/>
      <c r="DH2563" s="223"/>
      <c r="DI2563" s="223"/>
      <c r="DJ2563" s="223"/>
      <c r="DK2563" s="223"/>
      <c r="DL2563" s="223"/>
      <c r="DM2563" s="223"/>
      <c r="DN2563" s="223"/>
      <c r="DO2563" s="223"/>
      <c r="DP2563" s="223"/>
      <c r="DQ2563" s="223"/>
      <c r="DR2563" s="223"/>
      <c r="DS2563" s="223"/>
      <c r="DT2563" s="223"/>
      <c r="DU2563" s="223"/>
      <c r="DV2563" s="223"/>
      <c r="DW2563" s="223"/>
      <c r="DX2563" s="223"/>
      <c r="DY2563" s="223"/>
      <c r="DZ2563" s="223"/>
      <c r="EA2563" s="223"/>
      <c r="EB2563" s="223"/>
      <c r="EC2563" s="223"/>
      <c r="ED2563" s="223"/>
      <c r="EE2563" s="223"/>
      <c r="EF2563" s="223"/>
      <c r="EG2563" s="223"/>
      <c r="EH2563" s="223"/>
      <c r="EI2563" s="223"/>
      <c r="EJ2563" s="223"/>
      <c r="EK2563" s="223"/>
      <c r="EL2563" s="223"/>
      <c r="EM2563" s="223"/>
      <c r="EN2563" s="223"/>
      <c r="EO2563" s="223"/>
      <c r="EP2563" s="223"/>
      <c r="EQ2563" s="223"/>
      <c r="ER2563" s="223"/>
      <c r="ES2563" s="223"/>
      <c r="ET2563" s="223"/>
      <c r="EU2563" s="223"/>
      <c r="EV2563" s="223"/>
      <c r="EW2563" s="223"/>
      <c r="EX2563" s="223"/>
      <c r="EY2563" s="223"/>
      <c r="EZ2563" s="223"/>
      <c r="FA2563" s="223"/>
      <c r="FB2563" s="223"/>
      <c r="FC2563" s="223"/>
      <c r="FD2563" s="223"/>
      <c r="FE2563" s="223"/>
      <c r="FF2563" s="223"/>
      <c r="FG2563" s="223"/>
      <c r="FH2563" s="223"/>
      <c r="FI2563" s="223"/>
      <c r="FJ2563" s="223"/>
      <c r="FK2563" s="223"/>
      <c r="FL2563" s="223"/>
      <c r="FM2563" s="223"/>
      <c r="FN2563" s="223"/>
      <c r="FO2563" s="223"/>
      <c r="FP2563" s="223"/>
      <c r="FQ2563" s="223"/>
      <c r="FR2563" s="223"/>
      <c r="FS2563" s="223"/>
      <c r="FT2563" s="223"/>
      <c r="FU2563" s="223"/>
      <c r="FV2563" s="223"/>
      <c r="FW2563" s="223"/>
      <c r="FX2563" s="223"/>
      <c r="FY2563" s="223"/>
      <c r="FZ2563" s="223"/>
      <c r="GA2563" s="223"/>
      <c r="GB2563" s="223"/>
      <c r="GC2563" s="223"/>
      <c r="GD2563" s="223"/>
      <c r="GE2563" s="223"/>
      <c r="GF2563" s="223"/>
      <c r="GG2563" s="223"/>
      <c r="GH2563" s="223"/>
      <c r="GI2563" s="223"/>
      <c r="GJ2563" s="223"/>
      <c r="GK2563" s="223"/>
      <c r="GL2563" s="223"/>
      <c r="GM2563" s="223"/>
      <c r="GN2563" s="223"/>
      <c r="GO2563" s="223"/>
      <c r="GP2563" s="223"/>
      <c r="GQ2563" s="223"/>
      <c r="GR2563" s="223"/>
      <c r="GS2563" s="223"/>
      <c r="GT2563" s="223"/>
      <c r="GU2563" s="223"/>
      <c r="GV2563" s="223"/>
      <c r="GW2563" s="223"/>
      <c r="GX2563" s="223"/>
      <c r="GY2563" s="223"/>
      <c r="GZ2563" s="223"/>
      <c r="HA2563" s="223"/>
      <c r="HB2563" s="223"/>
      <c r="HC2563" s="223"/>
      <c r="HD2563" s="223"/>
      <c r="HE2563" s="223"/>
      <c r="HF2563" s="223"/>
      <c r="HG2563" s="223"/>
      <c r="HH2563" s="223"/>
      <c r="HI2563" s="223"/>
      <c r="HJ2563" s="223"/>
      <c r="HK2563" s="223"/>
      <c r="HL2563" s="223"/>
      <c r="HM2563" s="223"/>
      <c r="HN2563" s="223"/>
      <c r="HO2563" s="223"/>
      <c r="HP2563" s="223"/>
      <c r="HQ2563" s="223"/>
      <c r="HR2563" s="223"/>
      <c r="HS2563" s="223"/>
      <c r="HT2563" s="223"/>
      <c r="HU2563" s="223"/>
      <c r="HV2563" s="223"/>
      <c r="HW2563" s="223"/>
      <c r="HX2563" s="223"/>
      <c r="HY2563" s="223"/>
      <c r="HZ2563" s="223"/>
      <c r="IA2563" s="223"/>
      <c r="IB2563" s="223"/>
      <c r="IC2563" s="223"/>
      <c r="ID2563" s="223"/>
      <c r="IE2563" s="223"/>
      <c r="IF2563" s="223"/>
      <c r="IG2563" s="223"/>
      <c r="IH2563" s="223"/>
      <c r="II2563" s="223"/>
      <c r="IJ2563" s="223"/>
      <c r="IK2563" s="223"/>
      <c r="IL2563" s="223"/>
      <c r="IM2563" s="223"/>
      <c r="IN2563" s="223"/>
      <c r="IO2563" s="223"/>
      <c r="IP2563" s="223"/>
      <c r="IQ2563" s="223"/>
      <c r="IR2563" s="223"/>
      <c r="IS2563" s="223"/>
      <c r="IT2563" s="223"/>
      <c r="IU2563" s="223"/>
      <c r="IV2563" s="223"/>
    </row>
    <row r="2564" spans="22:256" s="221" customFormat="1" x14ac:dyDescent="0.2">
      <c r="V2564" s="223"/>
      <c r="W2564" s="223"/>
      <c r="X2564" s="223"/>
      <c r="Y2564" s="223"/>
      <c r="Z2564" s="223"/>
      <c r="AA2564" s="223"/>
      <c r="AB2564" s="223"/>
      <c r="AC2564" s="223"/>
      <c r="AD2564" s="223"/>
      <c r="AE2564" s="223"/>
      <c r="AF2564" s="223"/>
      <c r="AG2564" s="223"/>
      <c r="AH2564" s="223"/>
      <c r="AI2564" s="223"/>
      <c r="AJ2564" s="223"/>
      <c r="AK2564" s="223"/>
      <c r="AL2564" s="223"/>
      <c r="AM2564" s="223"/>
      <c r="AN2564" s="223"/>
      <c r="AO2564" s="223"/>
      <c r="AP2564" s="223"/>
      <c r="AQ2564" s="223"/>
      <c r="AR2564" s="223"/>
      <c r="AS2564" s="223"/>
      <c r="AT2564" s="324"/>
      <c r="AU2564" s="324"/>
      <c r="AV2564" s="223"/>
      <c r="AW2564" s="223"/>
      <c r="AX2564" s="223"/>
      <c r="AY2564" s="223"/>
      <c r="AZ2564" s="223"/>
      <c r="BA2564" s="223"/>
      <c r="BB2564" s="223"/>
      <c r="BC2564" s="223"/>
      <c r="BD2564" s="223"/>
      <c r="BE2564" s="223"/>
      <c r="BF2564" s="223"/>
      <c r="BG2564" s="223"/>
      <c r="BH2564" s="223"/>
      <c r="BI2564" s="223"/>
      <c r="BJ2564" s="223"/>
      <c r="BK2564" s="223"/>
      <c r="BL2564" s="223"/>
      <c r="BM2564" s="223"/>
      <c r="BN2564" s="223"/>
      <c r="BO2564" s="223"/>
      <c r="BP2564" s="223"/>
      <c r="BQ2564" s="223"/>
      <c r="BR2564" s="223"/>
      <c r="BS2564" s="223"/>
      <c r="BT2564" s="223"/>
      <c r="BU2564" s="223"/>
      <c r="BV2564" s="223"/>
      <c r="BW2564" s="223"/>
      <c r="BX2564" s="223"/>
      <c r="BY2564" s="223"/>
      <c r="BZ2564" s="223"/>
      <c r="CA2564" s="223"/>
      <c r="CB2564" s="223"/>
      <c r="CC2564" s="223"/>
      <c r="CD2564" s="223"/>
      <c r="CE2564" s="223"/>
      <c r="CF2564" s="223"/>
      <c r="CG2564" s="223"/>
      <c r="CH2564" s="223"/>
      <c r="CI2564" s="223"/>
      <c r="CJ2564" s="223"/>
      <c r="CK2564" s="223"/>
      <c r="CL2564" s="223"/>
      <c r="CM2564" s="223"/>
      <c r="CN2564" s="223"/>
      <c r="CO2564" s="223"/>
      <c r="CP2564" s="223"/>
      <c r="CQ2564" s="223"/>
      <c r="CR2564" s="223"/>
      <c r="CS2564" s="223"/>
      <c r="CT2564" s="223"/>
      <c r="CU2564" s="223"/>
      <c r="CV2564" s="223"/>
      <c r="CW2564" s="223"/>
      <c r="CX2564" s="223"/>
      <c r="CY2564" s="223"/>
      <c r="CZ2564" s="223"/>
      <c r="DA2564" s="223"/>
      <c r="DB2564" s="223"/>
      <c r="DC2564" s="223"/>
      <c r="DD2564" s="223"/>
      <c r="DE2564" s="223"/>
      <c r="DF2564" s="223"/>
      <c r="DG2564" s="223"/>
      <c r="DH2564" s="223"/>
      <c r="DI2564" s="223"/>
      <c r="DJ2564" s="223"/>
      <c r="DK2564" s="223"/>
      <c r="DL2564" s="223"/>
      <c r="DM2564" s="223"/>
      <c r="DN2564" s="223"/>
      <c r="DO2564" s="223"/>
      <c r="DP2564" s="223"/>
      <c r="DQ2564" s="223"/>
      <c r="DR2564" s="223"/>
      <c r="DS2564" s="223"/>
      <c r="DT2564" s="223"/>
      <c r="DU2564" s="223"/>
      <c r="DV2564" s="223"/>
      <c r="DW2564" s="223"/>
      <c r="DX2564" s="223"/>
      <c r="DY2564" s="223"/>
      <c r="DZ2564" s="223"/>
      <c r="EA2564" s="223"/>
      <c r="EB2564" s="223"/>
      <c r="EC2564" s="223"/>
      <c r="ED2564" s="223"/>
      <c r="EE2564" s="223"/>
      <c r="EF2564" s="223"/>
      <c r="EG2564" s="223"/>
      <c r="EH2564" s="223"/>
      <c r="EI2564" s="223"/>
      <c r="EJ2564" s="223"/>
      <c r="EK2564" s="223"/>
      <c r="EL2564" s="223"/>
      <c r="EM2564" s="223"/>
      <c r="EN2564" s="223"/>
      <c r="EO2564" s="223"/>
      <c r="EP2564" s="223"/>
      <c r="EQ2564" s="223"/>
      <c r="ER2564" s="223"/>
      <c r="ES2564" s="223"/>
      <c r="ET2564" s="223"/>
      <c r="EU2564" s="223"/>
      <c r="EV2564" s="223"/>
      <c r="EW2564" s="223"/>
      <c r="EX2564" s="223"/>
      <c r="EY2564" s="223"/>
      <c r="EZ2564" s="223"/>
      <c r="FA2564" s="223"/>
      <c r="FB2564" s="223"/>
      <c r="FC2564" s="223"/>
      <c r="FD2564" s="223"/>
      <c r="FE2564" s="223"/>
      <c r="FF2564" s="223"/>
      <c r="FG2564" s="223"/>
      <c r="FH2564" s="223"/>
      <c r="FI2564" s="223"/>
      <c r="FJ2564" s="223"/>
      <c r="FK2564" s="223"/>
      <c r="FL2564" s="223"/>
      <c r="FM2564" s="223"/>
      <c r="FN2564" s="223"/>
      <c r="FO2564" s="223"/>
      <c r="FP2564" s="223"/>
      <c r="FQ2564" s="223"/>
      <c r="FR2564" s="223"/>
      <c r="FS2564" s="223"/>
      <c r="FT2564" s="223"/>
      <c r="FU2564" s="223"/>
      <c r="FV2564" s="223"/>
      <c r="FW2564" s="223"/>
      <c r="FX2564" s="223"/>
      <c r="FY2564" s="223"/>
      <c r="FZ2564" s="223"/>
      <c r="GA2564" s="223"/>
      <c r="GB2564" s="223"/>
      <c r="GC2564" s="223"/>
      <c r="GD2564" s="223"/>
      <c r="GE2564" s="223"/>
      <c r="GF2564" s="223"/>
      <c r="GG2564" s="223"/>
      <c r="GH2564" s="223"/>
      <c r="GI2564" s="223"/>
      <c r="GJ2564" s="223"/>
      <c r="GK2564" s="223"/>
      <c r="GL2564" s="223"/>
      <c r="GM2564" s="223"/>
      <c r="GN2564" s="223"/>
      <c r="GO2564" s="223"/>
      <c r="GP2564" s="223"/>
      <c r="GQ2564" s="223"/>
      <c r="GR2564" s="223"/>
      <c r="GS2564" s="223"/>
      <c r="GT2564" s="223"/>
      <c r="GU2564" s="223"/>
      <c r="GV2564" s="223"/>
      <c r="GW2564" s="223"/>
      <c r="GX2564" s="223"/>
      <c r="GY2564" s="223"/>
      <c r="GZ2564" s="223"/>
      <c r="HA2564" s="223"/>
      <c r="HB2564" s="223"/>
      <c r="HC2564" s="223"/>
      <c r="HD2564" s="223"/>
      <c r="HE2564" s="223"/>
      <c r="HF2564" s="223"/>
      <c r="HG2564" s="223"/>
      <c r="HH2564" s="223"/>
      <c r="HI2564" s="223"/>
      <c r="HJ2564" s="223"/>
      <c r="HK2564" s="223"/>
      <c r="HL2564" s="223"/>
      <c r="HM2564" s="223"/>
      <c r="HN2564" s="223"/>
      <c r="HO2564" s="223"/>
      <c r="HP2564" s="223"/>
      <c r="HQ2564" s="223"/>
      <c r="HR2564" s="223"/>
      <c r="HS2564" s="223"/>
      <c r="HT2564" s="223"/>
      <c r="HU2564" s="223"/>
      <c r="HV2564" s="223"/>
      <c r="HW2564" s="223"/>
      <c r="HX2564" s="223"/>
      <c r="HY2564" s="223"/>
      <c r="HZ2564" s="223"/>
      <c r="IA2564" s="223"/>
      <c r="IB2564" s="223"/>
      <c r="IC2564" s="223"/>
      <c r="ID2564" s="223"/>
      <c r="IE2564" s="223"/>
      <c r="IF2564" s="223"/>
      <c r="IG2564" s="223"/>
      <c r="IH2564" s="223"/>
      <c r="II2564" s="223"/>
      <c r="IJ2564" s="223"/>
      <c r="IK2564" s="223"/>
      <c r="IL2564" s="223"/>
      <c r="IM2564" s="223"/>
      <c r="IN2564" s="223"/>
      <c r="IO2564" s="223"/>
      <c r="IP2564" s="223"/>
      <c r="IQ2564" s="223"/>
      <c r="IR2564" s="223"/>
      <c r="IS2564" s="223"/>
      <c r="IT2564" s="223"/>
      <c r="IU2564" s="223"/>
      <c r="IV2564" s="223"/>
    </row>
    <row r="2565" spans="22:256" s="221" customFormat="1" x14ac:dyDescent="0.2">
      <c r="V2565" s="223"/>
      <c r="W2565" s="223"/>
      <c r="X2565" s="223"/>
      <c r="Y2565" s="223"/>
      <c r="Z2565" s="223"/>
      <c r="AA2565" s="223"/>
      <c r="AB2565" s="223"/>
      <c r="AC2565" s="223"/>
      <c r="AD2565" s="223"/>
      <c r="AE2565" s="223"/>
      <c r="AF2565" s="223"/>
      <c r="AG2565" s="223"/>
      <c r="AH2565" s="223"/>
      <c r="AI2565" s="223"/>
      <c r="AJ2565" s="223"/>
      <c r="AK2565" s="223"/>
      <c r="AL2565" s="223"/>
      <c r="AM2565" s="223"/>
      <c r="AN2565" s="223"/>
      <c r="AO2565" s="223"/>
      <c r="AP2565" s="223"/>
      <c r="AQ2565" s="223"/>
      <c r="AR2565" s="223"/>
      <c r="AS2565" s="223"/>
      <c r="AT2565" s="324"/>
      <c r="AU2565" s="324"/>
      <c r="AV2565" s="223"/>
      <c r="AW2565" s="223"/>
      <c r="AX2565" s="223"/>
      <c r="AY2565" s="223"/>
      <c r="AZ2565" s="223"/>
      <c r="BA2565" s="223"/>
      <c r="BB2565" s="223"/>
      <c r="BC2565" s="223"/>
      <c r="BD2565" s="223"/>
      <c r="BE2565" s="223"/>
      <c r="BF2565" s="223"/>
      <c r="BG2565" s="223"/>
      <c r="BH2565" s="223"/>
      <c r="BI2565" s="223"/>
      <c r="BJ2565" s="223"/>
      <c r="BK2565" s="223"/>
      <c r="BL2565" s="223"/>
      <c r="BM2565" s="223"/>
      <c r="BN2565" s="223"/>
      <c r="BO2565" s="223"/>
      <c r="BP2565" s="223"/>
      <c r="BQ2565" s="223"/>
      <c r="BR2565" s="223"/>
      <c r="BS2565" s="223"/>
      <c r="BT2565" s="223"/>
      <c r="BU2565" s="223"/>
      <c r="BV2565" s="223"/>
      <c r="BW2565" s="223"/>
      <c r="BX2565" s="223"/>
      <c r="BY2565" s="223"/>
      <c r="BZ2565" s="223"/>
      <c r="CA2565" s="223"/>
      <c r="CB2565" s="223"/>
      <c r="CC2565" s="223"/>
      <c r="CD2565" s="223"/>
      <c r="CE2565" s="223"/>
      <c r="CF2565" s="223"/>
      <c r="CG2565" s="223"/>
      <c r="CH2565" s="223"/>
      <c r="CI2565" s="223"/>
      <c r="CJ2565" s="223"/>
      <c r="CK2565" s="223"/>
      <c r="CL2565" s="223"/>
      <c r="CM2565" s="223"/>
      <c r="CN2565" s="223"/>
      <c r="CO2565" s="223"/>
      <c r="CP2565" s="223"/>
      <c r="CQ2565" s="223"/>
      <c r="CR2565" s="223"/>
      <c r="CS2565" s="223"/>
      <c r="CT2565" s="223"/>
      <c r="CU2565" s="223"/>
      <c r="CV2565" s="223"/>
      <c r="CW2565" s="223"/>
      <c r="CX2565" s="223"/>
      <c r="CY2565" s="223"/>
      <c r="CZ2565" s="223"/>
      <c r="DA2565" s="223"/>
      <c r="DB2565" s="223"/>
      <c r="DC2565" s="223"/>
      <c r="DD2565" s="223"/>
      <c r="DE2565" s="223"/>
      <c r="DF2565" s="223"/>
      <c r="DG2565" s="223"/>
      <c r="DH2565" s="223"/>
      <c r="DI2565" s="223"/>
      <c r="DJ2565" s="223"/>
      <c r="DK2565" s="223"/>
      <c r="DL2565" s="223"/>
      <c r="DM2565" s="223"/>
      <c r="DN2565" s="223"/>
      <c r="DO2565" s="223"/>
      <c r="DP2565" s="223"/>
      <c r="DQ2565" s="223"/>
      <c r="DR2565" s="223"/>
      <c r="DS2565" s="223"/>
      <c r="DT2565" s="223"/>
      <c r="DU2565" s="223"/>
      <c r="DV2565" s="223"/>
      <c r="DW2565" s="223"/>
      <c r="DX2565" s="223"/>
      <c r="DY2565" s="223"/>
      <c r="DZ2565" s="223"/>
      <c r="EA2565" s="223"/>
      <c r="EB2565" s="223"/>
      <c r="EC2565" s="223"/>
      <c r="ED2565" s="223"/>
      <c r="EE2565" s="223"/>
      <c r="EF2565" s="223"/>
      <c r="EG2565" s="223"/>
      <c r="EH2565" s="223"/>
      <c r="EI2565" s="223"/>
      <c r="EJ2565" s="223"/>
      <c r="EK2565" s="223"/>
      <c r="EL2565" s="223"/>
      <c r="EM2565" s="223"/>
      <c r="EN2565" s="223"/>
      <c r="EO2565" s="223"/>
      <c r="EP2565" s="223"/>
      <c r="EQ2565" s="223"/>
      <c r="ER2565" s="223"/>
      <c r="ES2565" s="223"/>
      <c r="ET2565" s="223"/>
      <c r="EU2565" s="223"/>
      <c r="EV2565" s="223"/>
      <c r="EW2565" s="223"/>
      <c r="EX2565" s="223"/>
      <c r="EY2565" s="223"/>
      <c r="EZ2565" s="223"/>
      <c r="FA2565" s="223"/>
      <c r="FB2565" s="223"/>
      <c r="FC2565" s="223"/>
      <c r="FD2565" s="223"/>
      <c r="FE2565" s="223"/>
      <c r="FF2565" s="223"/>
      <c r="FG2565" s="223"/>
      <c r="FH2565" s="223"/>
      <c r="FI2565" s="223"/>
      <c r="FJ2565" s="223"/>
      <c r="FK2565" s="223"/>
      <c r="FL2565" s="223"/>
      <c r="FM2565" s="223"/>
      <c r="FN2565" s="223"/>
      <c r="FO2565" s="223"/>
      <c r="FP2565" s="223"/>
      <c r="FQ2565" s="223"/>
      <c r="FR2565" s="223"/>
      <c r="FS2565" s="223"/>
      <c r="FT2565" s="223"/>
      <c r="FU2565" s="223"/>
      <c r="FV2565" s="223"/>
      <c r="FW2565" s="223"/>
      <c r="FX2565" s="223"/>
      <c r="FY2565" s="223"/>
      <c r="FZ2565" s="223"/>
      <c r="GA2565" s="223"/>
      <c r="GB2565" s="223"/>
      <c r="GC2565" s="223"/>
      <c r="GD2565" s="223"/>
      <c r="GE2565" s="223"/>
      <c r="GF2565" s="223"/>
      <c r="GG2565" s="223"/>
      <c r="GH2565" s="223"/>
      <c r="GI2565" s="223"/>
      <c r="GJ2565" s="223"/>
      <c r="GK2565" s="223"/>
      <c r="GL2565" s="223"/>
      <c r="GM2565" s="223"/>
      <c r="GN2565" s="223"/>
      <c r="GO2565" s="223"/>
      <c r="GP2565" s="223"/>
      <c r="GQ2565" s="223"/>
      <c r="GR2565" s="223"/>
      <c r="GS2565" s="223"/>
      <c r="GT2565" s="223"/>
      <c r="GU2565" s="223"/>
      <c r="GV2565" s="223"/>
      <c r="GW2565" s="223"/>
      <c r="GX2565" s="223"/>
      <c r="GY2565" s="223"/>
      <c r="GZ2565" s="223"/>
      <c r="HA2565" s="223"/>
      <c r="HB2565" s="223"/>
      <c r="HC2565" s="223"/>
      <c r="HD2565" s="223"/>
      <c r="HE2565" s="223"/>
      <c r="HF2565" s="223"/>
      <c r="HG2565" s="223"/>
      <c r="HH2565" s="223"/>
      <c r="HI2565" s="223"/>
      <c r="HJ2565" s="223"/>
      <c r="HK2565" s="223"/>
      <c r="HL2565" s="223"/>
      <c r="HM2565" s="223"/>
      <c r="HN2565" s="223"/>
      <c r="HO2565" s="223"/>
      <c r="HP2565" s="223"/>
      <c r="HQ2565" s="223"/>
      <c r="HR2565" s="223"/>
      <c r="HS2565" s="223"/>
      <c r="HT2565" s="223"/>
      <c r="HU2565" s="223"/>
      <c r="HV2565" s="223"/>
      <c r="HW2565" s="223"/>
      <c r="HX2565" s="223"/>
      <c r="HY2565" s="223"/>
      <c r="HZ2565" s="223"/>
      <c r="IA2565" s="223"/>
      <c r="IB2565" s="223"/>
      <c r="IC2565" s="223"/>
      <c r="ID2565" s="223"/>
      <c r="IE2565" s="223"/>
      <c r="IF2565" s="223"/>
      <c r="IG2565" s="223"/>
      <c r="IH2565" s="223"/>
      <c r="II2565" s="223"/>
      <c r="IJ2565" s="223"/>
      <c r="IK2565" s="223"/>
      <c r="IL2565" s="223"/>
      <c r="IM2565" s="223"/>
      <c r="IN2565" s="223"/>
      <c r="IO2565" s="223"/>
      <c r="IP2565" s="223"/>
      <c r="IQ2565" s="223"/>
      <c r="IR2565" s="223"/>
      <c r="IS2565" s="223"/>
      <c r="IT2565" s="223"/>
      <c r="IU2565" s="223"/>
      <c r="IV2565" s="223"/>
    </row>
    <row r="2566" spans="22:256" s="221" customFormat="1" x14ac:dyDescent="0.2">
      <c r="V2566" s="223"/>
      <c r="W2566" s="223"/>
      <c r="X2566" s="223"/>
      <c r="Y2566" s="223"/>
      <c r="Z2566" s="223"/>
      <c r="AA2566" s="223"/>
      <c r="AB2566" s="223"/>
      <c r="AC2566" s="223"/>
      <c r="AD2566" s="223"/>
      <c r="AE2566" s="223"/>
      <c r="AF2566" s="223"/>
      <c r="AG2566" s="223"/>
      <c r="AH2566" s="223"/>
      <c r="AI2566" s="223"/>
      <c r="AJ2566" s="223"/>
      <c r="AK2566" s="223"/>
      <c r="AL2566" s="223"/>
      <c r="AM2566" s="223"/>
      <c r="AN2566" s="223"/>
      <c r="AO2566" s="223"/>
      <c r="AP2566" s="223"/>
      <c r="AQ2566" s="223"/>
      <c r="AR2566" s="223"/>
      <c r="AS2566" s="223"/>
      <c r="AT2566" s="324"/>
      <c r="AU2566" s="324"/>
      <c r="AV2566" s="223"/>
      <c r="AW2566" s="223"/>
      <c r="AX2566" s="223"/>
      <c r="AY2566" s="223"/>
      <c r="AZ2566" s="223"/>
      <c r="BA2566" s="223"/>
      <c r="BB2566" s="223"/>
      <c r="BC2566" s="223"/>
      <c r="BD2566" s="223"/>
      <c r="BE2566" s="223"/>
      <c r="BF2566" s="223"/>
      <c r="BG2566" s="223"/>
      <c r="BH2566" s="223"/>
      <c r="BI2566" s="223"/>
      <c r="BJ2566" s="223"/>
      <c r="BK2566" s="223"/>
      <c r="BL2566" s="223"/>
      <c r="BM2566" s="223"/>
      <c r="BN2566" s="223"/>
      <c r="BO2566" s="223"/>
      <c r="BP2566" s="223"/>
      <c r="BQ2566" s="223"/>
      <c r="BR2566" s="223"/>
      <c r="BS2566" s="223"/>
      <c r="BT2566" s="223"/>
      <c r="BU2566" s="223"/>
      <c r="BV2566" s="223"/>
      <c r="BW2566" s="223"/>
      <c r="BX2566" s="223"/>
      <c r="BY2566" s="223"/>
      <c r="BZ2566" s="223"/>
      <c r="CA2566" s="223"/>
      <c r="CB2566" s="223"/>
      <c r="CC2566" s="223"/>
      <c r="CD2566" s="223"/>
      <c r="CE2566" s="223"/>
      <c r="CF2566" s="223"/>
      <c r="CG2566" s="223"/>
      <c r="CH2566" s="223"/>
      <c r="CI2566" s="223"/>
      <c r="CJ2566" s="223"/>
      <c r="CK2566" s="223"/>
      <c r="CL2566" s="223"/>
      <c r="CM2566" s="223"/>
      <c r="CN2566" s="223"/>
      <c r="CO2566" s="223"/>
      <c r="CP2566" s="223"/>
      <c r="CQ2566" s="223"/>
      <c r="CR2566" s="223"/>
      <c r="CS2566" s="223"/>
      <c r="CT2566" s="223"/>
      <c r="CU2566" s="223"/>
      <c r="CV2566" s="223"/>
      <c r="CW2566" s="223"/>
      <c r="CX2566" s="223"/>
      <c r="CY2566" s="223"/>
      <c r="CZ2566" s="223"/>
      <c r="DA2566" s="223"/>
      <c r="DB2566" s="223"/>
      <c r="DC2566" s="223"/>
      <c r="DD2566" s="223"/>
      <c r="DE2566" s="223"/>
      <c r="DF2566" s="223"/>
      <c r="DG2566" s="223"/>
      <c r="DH2566" s="223"/>
      <c r="DI2566" s="223"/>
      <c r="DJ2566" s="223"/>
      <c r="DK2566" s="223"/>
      <c r="DL2566" s="223"/>
      <c r="DM2566" s="223"/>
      <c r="DN2566" s="223"/>
      <c r="DO2566" s="223"/>
      <c r="DP2566" s="223"/>
      <c r="DQ2566" s="223"/>
      <c r="DR2566" s="223"/>
      <c r="DS2566" s="223"/>
      <c r="DT2566" s="223"/>
      <c r="DU2566" s="223"/>
      <c r="DV2566" s="223"/>
      <c r="DW2566" s="223"/>
      <c r="DX2566" s="223"/>
      <c r="DY2566" s="223"/>
      <c r="DZ2566" s="223"/>
      <c r="EA2566" s="223"/>
      <c r="EB2566" s="223"/>
      <c r="EC2566" s="223"/>
      <c r="ED2566" s="223"/>
      <c r="EE2566" s="223"/>
      <c r="EF2566" s="223"/>
      <c r="EG2566" s="223"/>
      <c r="EH2566" s="223"/>
      <c r="EI2566" s="223"/>
      <c r="EJ2566" s="223"/>
      <c r="EK2566" s="223"/>
      <c r="EL2566" s="223"/>
      <c r="EM2566" s="223"/>
      <c r="EN2566" s="223"/>
      <c r="EO2566" s="223"/>
      <c r="EP2566" s="223"/>
      <c r="EQ2566" s="223"/>
      <c r="ER2566" s="223"/>
      <c r="ES2566" s="223"/>
      <c r="ET2566" s="223"/>
      <c r="EU2566" s="223"/>
      <c r="EV2566" s="223"/>
      <c r="EW2566" s="223"/>
      <c r="EX2566" s="223"/>
      <c r="EY2566" s="223"/>
      <c r="EZ2566" s="223"/>
      <c r="FA2566" s="223"/>
      <c r="FB2566" s="223"/>
      <c r="FC2566" s="223"/>
      <c r="FD2566" s="223"/>
      <c r="FE2566" s="223"/>
      <c r="FF2566" s="223"/>
      <c r="FG2566" s="223"/>
      <c r="FH2566" s="223"/>
      <c r="FI2566" s="223"/>
      <c r="FJ2566" s="223"/>
      <c r="FK2566" s="223"/>
      <c r="FL2566" s="223"/>
      <c r="FM2566" s="223"/>
      <c r="FN2566" s="223"/>
      <c r="FO2566" s="223"/>
      <c r="FP2566" s="223"/>
      <c r="FQ2566" s="223"/>
      <c r="FR2566" s="223"/>
      <c r="FS2566" s="223"/>
      <c r="FT2566" s="223"/>
      <c r="FU2566" s="223"/>
      <c r="FV2566" s="223"/>
      <c r="FW2566" s="223"/>
      <c r="FX2566" s="223"/>
      <c r="FY2566" s="223"/>
      <c r="FZ2566" s="223"/>
      <c r="GA2566" s="223"/>
      <c r="GB2566" s="223"/>
      <c r="GC2566" s="223"/>
      <c r="GD2566" s="223"/>
      <c r="GE2566" s="223"/>
      <c r="GF2566" s="223"/>
      <c r="GG2566" s="223"/>
      <c r="GH2566" s="223"/>
      <c r="GI2566" s="223"/>
      <c r="GJ2566" s="223"/>
      <c r="GK2566" s="223"/>
      <c r="GL2566" s="223"/>
      <c r="GM2566" s="223"/>
      <c r="GN2566" s="223"/>
      <c r="GO2566" s="223"/>
      <c r="GP2566" s="223"/>
      <c r="GQ2566" s="223"/>
      <c r="GR2566" s="223"/>
      <c r="GS2566" s="223"/>
      <c r="GT2566" s="223"/>
      <c r="GU2566" s="223"/>
      <c r="GV2566" s="223"/>
      <c r="GW2566" s="223"/>
      <c r="GX2566" s="223"/>
      <c r="GY2566" s="223"/>
      <c r="GZ2566" s="223"/>
      <c r="HA2566" s="223"/>
      <c r="HB2566" s="223"/>
      <c r="HC2566" s="223"/>
      <c r="HD2566" s="223"/>
      <c r="HE2566" s="223"/>
      <c r="HF2566" s="223"/>
      <c r="HG2566" s="223"/>
      <c r="HH2566" s="223"/>
      <c r="HI2566" s="223"/>
      <c r="HJ2566" s="223"/>
      <c r="HK2566" s="223"/>
      <c r="HL2566" s="223"/>
      <c r="HM2566" s="223"/>
      <c r="HN2566" s="223"/>
      <c r="HO2566" s="223"/>
      <c r="HP2566" s="223"/>
      <c r="HQ2566" s="223"/>
      <c r="HR2566" s="223"/>
      <c r="HS2566" s="223"/>
      <c r="HT2566" s="223"/>
      <c r="HU2566" s="223"/>
      <c r="HV2566" s="223"/>
      <c r="HW2566" s="223"/>
      <c r="HX2566" s="223"/>
      <c r="HY2566" s="223"/>
      <c r="HZ2566" s="223"/>
      <c r="IA2566" s="223"/>
      <c r="IB2566" s="223"/>
      <c r="IC2566" s="223"/>
      <c r="ID2566" s="223"/>
      <c r="IE2566" s="223"/>
      <c r="IF2566" s="223"/>
      <c r="IG2566" s="223"/>
      <c r="IH2566" s="223"/>
      <c r="II2566" s="223"/>
      <c r="IJ2566" s="223"/>
      <c r="IK2566" s="223"/>
      <c r="IL2566" s="223"/>
      <c r="IM2566" s="223"/>
      <c r="IN2566" s="223"/>
      <c r="IO2566" s="223"/>
      <c r="IP2566" s="223"/>
      <c r="IQ2566" s="223"/>
      <c r="IR2566" s="223"/>
      <c r="IS2566" s="223"/>
      <c r="IT2566" s="223"/>
      <c r="IU2566" s="223"/>
      <c r="IV2566" s="223"/>
    </row>
    <row r="2567" spans="22:256" s="221" customFormat="1" x14ac:dyDescent="0.2">
      <c r="V2567" s="223"/>
      <c r="W2567" s="223"/>
      <c r="X2567" s="223"/>
      <c r="Y2567" s="223"/>
      <c r="Z2567" s="223"/>
      <c r="AA2567" s="223"/>
      <c r="AB2567" s="223"/>
      <c r="AC2567" s="223"/>
      <c r="AD2567" s="223"/>
      <c r="AE2567" s="223"/>
      <c r="AF2567" s="223"/>
      <c r="AG2567" s="223"/>
      <c r="AH2567" s="223"/>
      <c r="AI2567" s="223"/>
      <c r="AJ2567" s="223"/>
      <c r="AK2567" s="223"/>
      <c r="AL2567" s="223"/>
      <c r="AM2567" s="223"/>
      <c r="AN2567" s="223"/>
      <c r="AO2567" s="223"/>
      <c r="AP2567" s="223"/>
      <c r="AQ2567" s="223"/>
      <c r="AR2567" s="223"/>
      <c r="AS2567" s="223"/>
      <c r="AT2567" s="324"/>
      <c r="AU2567" s="324"/>
      <c r="AV2567" s="223"/>
      <c r="AW2567" s="223"/>
      <c r="AX2567" s="223"/>
      <c r="AY2567" s="223"/>
      <c r="AZ2567" s="223"/>
      <c r="BA2567" s="223"/>
      <c r="BB2567" s="223"/>
      <c r="BC2567" s="223"/>
      <c r="BD2567" s="223"/>
      <c r="BE2567" s="223"/>
      <c r="BF2567" s="223"/>
      <c r="BG2567" s="223"/>
      <c r="BH2567" s="223"/>
      <c r="BI2567" s="223"/>
      <c r="BJ2567" s="223"/>
      <c r="BK2567" s="223"/>
      <c r="BL2567" s="223"/>
      <c r="BM2567" s="223"/>
      <c r="BN2567" s="223"/>
      <c r="BO2567" s="223"/>
      <c r="BP2567" s="223"/>
      <c r="BQ2567" s="223"/>
      <c r="BR2567" s="223"/>
      <c r="BS2567" s="223"/>
      <c r="BT2567" s="223"/>
      <c r="BU2567" s="223"/>
      <c r="BV2567" s="223"/>
      <c r="BW2567" s="223"/>
      <c r="BX2567" s="223"/>
      <c r="BY2567" s="223"/>
      <c r="BZ2567" s="223"/>
      <c r="CA2567" s="223"/>
      <c r="CB2567" s="223"/>
      <c r="CC2567" s="223"/>
      <c r="CD2567" s="223"/>
      <c r="CE2567" s="223"/>
      <c r="CF2567" s="223"/>
      <c r="CG2567" s="223"/>
      <c r="CH2567" s="223"/>
      <c r="CI2567" s="223"/>
      <c r="CJ2567" s="223"/>
      <c r="CK2567" s="223"/>
      <c r="CL2567" s="223"/>
      <c r="CM2567" s="223"/>
      <c r="CN2567" s="223"/>
      <c r="CO2567" s="223"/>
      <c r="CP2567" s="223"/>
      <c r="CQ2567" s="223"/>
      <c r="CR2567" s="223"/>
      <c r="CS2567" s="223"/>
      <c r="CT2567" s="223"/>
      <c r="CU2567" s="223"/>
      <c r="CV2567" s="223"/>
      <c r="CW2567" s="223"/>
      <c r="CX2567" s="223"/>
      <c r="CY2567" s="223"/>
      <c r="CZ2567" s="223"/>
      <c r="DA2567" s="223"/>
      <c r="DB2567" s="223"/>
      <c r="DC2567" s="223"/>
      <c r="DD2567" s="223"/>
      <c r="DE2567" s="223"/>
      <c r="DF2567" s="223"/>
      <c r="DG2567" s="223"/>
      <c r="DH2567" s="223"/>
      <c r="DI2567" s="223"/>
      <c r="DJ2567" s="223"/>
      <c r="DK2567" s="223"/>
      <c r="DL2567" s="223"/>
      <c r="DM2567" s="223"/>
      <c r="DN2567" s="223"/>
      <c r="DO2567" s="223"/>
      <c r="DP2567" s="223"/>
      <c r="DQ2567" s="223"/>
      <c r="DR2567" s="223"/>
      <c r="DS2567" s="223"/>
      <c r="DT2567" s="223"/>
      <c r="DU2567" s="223"/>
      <c r="DV2567" s="223"/>
      <c r="DW2567" s="223"/>
      <c r="DX2567" s="223"/>
      <c r="DY2567" s="223"/>
      <c r="DZ2567" s="223"/>
      <c r="EA2567" s="223"/>
      <c r="EB2567" s="223"/>
      <c r="EC2567" s="223"/>
      <c r="ED2567" s="223"/>
      <c r="EE2567" s="223"/>
      <c r="EF2567" s="223"/>
      <c r="EG2567" s="223"/>
      <c r="EH2567" s="223"/>
      <c r="EI2567" s="223"/>
      <c r="EJ2567" s="223"/>
      <c r="EK2567" s="223"/>
      <c r="EL2567" s="223"/>
      <c r="EM2567" s="223"/>
      <c r="EN2567" s="223"/>
      <c r="EO2567" s="223"/>
      <c r="EP2567" s="223"/>
      <c r="EQ2567" s="223"/>
      <c r="ER2567" s="223"/>
      <c r="ES2567" s="223"/>
      <c r="ET2567" s="223"/>
      <c r="EU2567" s="223"/>
      <c r="EV2567" s="223"/>
      <c r="EW2567" s="223"/>
      <c r="EX2567" s="223"/>
      <c r="EY2567" s="223"/>
      <c r="EZ2567" s="223"/>
      <c r="FA2567" s="223"/>
      <c r="FB2567" s="223"/>
      <c r="FC2567" s="223"/>
      <c r="FD2567" s="223"/>
      <c r="FE2567" s="223"/>
      <c r="FF2567" s="223"/>
      <c r="FG2567" s="223"/>
      <c r="FH2567" s="223"/>
      <c r="FI2567" s="223"/>
      <c r="FJ2567" s="223"/>
      <c r="FK2567" s="223"/>
      <c r="FL2567" s="223"/>
      <c r="FM2567" s="223"/>
      <c r="FN2567" s="223"/>
      <c r="FO2567" s="223"/>
      <c r="FP2567" s="223"/>
      <c r="FQ2567" s="223"/>
      <c r="FR2567" s="223"/>
      <c r="FS2567" s="223"/>
      <c r="FT2567" s="223"/>
      <c r="FU2567" s="223"/>
      <c r="FV2567" s="223"/>
      <c r="FW2567" s="223"/>
      <c r="FX2567" s="223"/>
      <c r="FY2567" s="223"/>
      <c r="FZ2567" s="223"/>
      <c r="GA2567" s="223"/>
      <c r="GB2567" s="223"/>
      <c r="GC2567" s="223"/>
      <c r="GD2567" s="223"/>
      <c r="GE2567" s="223"/>
      <c r="GF2567" s="223"/>
      <c r="GG2567" s="223"/>
      <c r="GH2567" s="223"/>
      <c r="GI2567" s="223"/>
      <c r="GJ2567" s="223"/>
      <c r="GK2567" s="223"/>
      <c r="GL2567" s="223"/>
      <c r="GM2567" s="223"/>
      <c r="GN2567" s="223"/>
      <c r="GO2567" s="223"/>
      <c r="GP2567" s="223"/>
      <c r="GQ2567" s="223"/>
      <c r="GR2567" s="223"/>
      <c r="GS2567" s="223"/>
      <c r="GT2567" s="223"/>
      <c r="GU2567" s="223"/>
      <c r="GV2567" s="223"/>
      <c r="GW2567" s="223"/>
      <c r="GX2567" s="223"/>
      <c r="GY2567" s="223"/>
      <c r="GZ2567" s="223"/>
      <c r="HA2567" s="223"/>
      <c r="HB2567" s="223"/>
      <c r="HC2567" s="223"/>
      <c r="HD2567" s="223"/>
      <c r="HE2567" s="223"/>
      <c r="HF2567" s="223"/>
      <c r="HG2567" s="223"/>
      <c r="HH2567" s="223"/>
      <c r="HI2567" s="223"/>
      <c r="HJ2567" s="223"/>
      <c r="HK2567" s="223"/>
      <c r="HL2567" s="223"/>
      <c r="HM2567" s="223"/>
      <c r="HN2567" s="223"/>
      <c r="HO2567" s="223"/>
      <c r="HP2567" s="223"/>
      <c r="HQ2567" s="223"/>
      <c r="HR2567" s="223"/>
      <c r="HS2567" s="223"/>
      <c r="HT2567" s="223"/>
      <c r="HU2567" s="223"/>
      <c r="HV2567" s="223"/>
      <c r="HW2567" s="223"/>
      <c r="HX2567" s="223"/>
      <c r="HY2567" s="223"/>
      <c r="HZ2567" s="223"/>
      <c r="IA2567" s="223"/>
      <c r="IB2567" s="223"/>
      <c r="IC2567" s="223"/>
      <c r="ID2567" s="223"/>
      <c r="IE2567" s="223"/>
      <c r="IF2567" s="223"/>
      <c r="IG2567" s="223"/>
      <c r="IH2567" s="223"/>
      <c r="II2567" s="223"/>
      <c r="IJ2567" s="223"/>
      <c r="IK2567" s="223"/>
      <c r="IL2567" s="223"/>
      <c r="IM2567" s="223"/>
      <c r="IN2567" s="223"/>
      <c r="IO2567" s="223"/>
      <c r="IP2567" s="223"/>
      <c r="IQ2567" s="223"/>
      <c r="IR2567" s="223"/>
      <c r="IS2567" s="223"/>
      <c r="IT2567" s="223"/>
      <c r="IU2567" s="223"/>
      <c r="IV2567" s="223"/>
    </row>
    <row r="2568" spans="22:256" s="221" customFormat="1" x14ac:dyDescent="0.2">
      <c r="V2568" s="223"/>
      <c r="W2568" s="223"/>
      <c r="X2568" s="223"/>
      <c r="Y2568" s="223"/>
      <c r="Z2568" s="223"/>
      <c r="AA2568" s="223"/>
      <c r="AB2568" s="223"/>
      <c r="AC2568" s="223"/>
      <c r="AD2568" s="223"/>
      <c r="AE2568" s="223"/>
      <c r="AF2568" s="223"/>
      <c r="AG2568" s="223"/>
      <c r="AH2568" s="223"/>
      <c r="AI2568" s="223"/>
      <c r="AJ2568" s="223"/>
      <c r="AK2568" s="223"/>
      <c r="AL2568" s="223"/>
      <c r="AM2568" s="223"/>
      <c r="AN2568" s="223"/>
      <c r="AO2568" s="223"/>
      <c r="AP2568" s="223"/>
      <c r="AQ2568" s="223"/>
      <c r="AR2568" s="223"/>
      <c r="AS2568" s="223"/>
      <c r="AT2568" s="324"/>
      <c r="AU2568" s="324"/>
      <c r="AV2568" s="223"/>
      <c r="AW2568" s="223"/>
      <c r="AX2568" s="223"/>
      <c r="AY2568" s="223"/>
      <c r="AZ2568" s="223"/>
      <c r="BA2568" s="223"/>
      <c r="BB2568" s="223"/>
      <c r="BC2568" s="223"/>
      <c r="BD2568" s="223"/>
      <c r="BE2568" s="223"/>
      <c r="BF2568" s="223"/>
      <c r="BG2568" s="223"/>
      <c r="BH2568" s="223"/>
      <c r="BI2568" s="223"/>
      <c r="BJ2568" s="223"/>
      <c r="BK2568" s="223"/>
      <c r="BL2568" s="223"/>
      <c r="BM2568" s="223"/>
      <c r="BN2568" s="223"/>
      <c r="BO2568" s="223"/>
      <c r="BP2568" s="223"/>
      <c r="BQ2568" s="223"/>
      <c r="BR2568" s="223"/>
      <c r="BS2568" s="223"/>
      <c r="BT2568" s="223"/>
      <c r="BU2568" s="223"/>
      <c r="BV2568" s="223"/>
      <c r="BW2568" s="223"/>
      <c r="BX2568" s="223"/>
      <c r="BY2568" s="223"/>
      <c r="BZ2568" s="223"/>
      <c r="CA2568" s="223"/>
      <c r="CB2568" s="223"/>
      <c r="CC2568" s="223"/>
      <c r="CD2568" s="223"/>
      <c r="CE2568" s="223"/>
      <c r="CF2568" s="223"/>
      <c r="CG2568" s="223"/>
      <c r="CH2568" s="223"/>
      <c r="CI2568" s="223"/>
      <c r="CJ2568" s="223"/>
      <c r="CK2568" s="223"/>
      <c r="CL2568" s="223"/>
      <c r="CM2568" s="223"/>
      <c r="CN2568" s="223"/>
      <c r="CO2568" s="223"/>
      <c r="CP2568" s="223"/>
      <c r="CQ2568" s="223"/>
      <c r="CR2568" s="223"/>
      <c r="CS2568" s="223"/>
      <c r="CT2568" s="223"/>
      <c r="CU2568" s="223"/>
      <c r="CV2568" s="223"/>
      <c r="CW2568" s="223"/>
      <c r="CX2568" s="223"/>
      <c r="CY2568" s="223"/>
      <c r="CZ2568" s="223"/>
      <c r="DA2568" s="223"/>
      <c r="DB2568" s="223"/>
      <c r="DC2568" s="223"/>
      <c r="DD2568" s="223"/>
      <c r="DE2568" s="223"/>
      <c r="DF2568" s="223"/>
      <c r="DG2568" s="223"/>
      <c r="DH2568" s="223"/>
      <c r="DI2568" s="223"/>
      <c r="DJ2568" s="223"/>
      <c r="DK2568" s="223"/>
      <c r="DL2568" s="223"/>
      <c r="DM2568" s="223"/>
      <c r="DN2568" s="223"/>
      <c r="DO2568" s="223"/>
      <c r="DP2568" s="223"/>
      <c r="DQ2568" s="223"/>
      <c r="DR2568" s="223"/>
      <c r="DS2568" s="223"/>
      <c r="DT2568" s="223"/>
      <c r="DU2568" s="223"/>
      <c r="DV2568" s="223"/>
      <c r="DW2568" s="223"/>
      <c r="DX2568" s="223"/>
      <c r="DY2568" s="223"/>
      <c r="DZ2568" s="223"/>
      <c r="EA2568" s="223"/>
      <c r="EB2568" s="223"/>
      <c r="EC2568" s="223"/>
      <c r="ED2568" s="223"/>
      <c r="EE2568" s="223"/>
      <c r="EF2568" s="223"/>
      <c r="EG2568" s="223"/>
      <c r="EH2568" s="223"/>
      <c r="EI2568" s="223"/>
      <c r="EJ2568" s="223"/>
      <c r="EK2568" s="223"/>
      <c r="EL2568" s="223"/>
      <c r="EM2568" s="223"/>
      <c r="EN2568" s="223"/>
      <c r="EO2568" s="223"/>
      <c r="EP2568" s="223"/>
      <c r="EQ2568" s="223"/>
      <c r="ER2568" s="223"/>
      <c r="ES2568" s="223"/>
      <c r="ET2568" s="223"/>
      <c r="EU2568" s="223"/>
      <c r="EV2568" s="223"/>
      <c r="EW2568" s="223"/>
      <c r="EX2568" s="223"/>
      <c r="EY2568" s="223"/>
      <c r="EZ2568" s="223"/>
      <c r="FA2568" s="223"/>
      <c r="FB2568" s="223"/>
      <c r="FC2568" s="223"/>
      <c r="FD2568" s="223"/>
      <c r="FE2568" s="223"/>
      <c r="FF2568" s="223"/>
      <c r="FG2568" s="223"/>
      <c r="FH2568" s="223"/>
      <c r="FI2568" s="223"/>
      <c r="FJ2568" s="223"/>
      <c r="FK2568" s="223"/>
      <c r="FL2568" s="223"/>
      <c r="FM2568" s="223"/>
      <c r="FN2568" s="223"/>
      <c r="FO2568" s="223"/>
      <c r="FP2568" s="223"/>
      <c r="FQ2568" s="223"/>
      <c r="FR2568" s="223"/>
      <c r="FS2568" s="223"/>
      <c r="FT2568" s="223"/>
      <c r="FU2568" s="223"/>
      <c r="FV2568" s="223"/>
      <c r="FW2568" s="223"/>
      <c r="FX2568" s="223"/>
      <c r="FY2568" s="223"/>
      <c r="FZ2568" s="223"/>
      <c r="GA2568" s="223"/>
      <c r="GB2568" s="223"/>
      <c r="GC2568" s="223"/>
      <c r="GD2568" s="223"/>
      <c r="GE2568" s="223"/>
      <c r="GF2568" s="223"/>
      <c r="GG2568" s="223"/>
      <c r="GH2568" s="223"/>
      <c r="GI2568" s="223"/>
      <c r="GJ2568" s="223"/>
      <c r="GK2568" s="223"/>
      <c r="GL2568" s="223"/>
      <c r="GM2568" s="223"/>
      <c r="GN2568" s="223"/>
      <c r="GO2568" s="223"/>
      <c r="GP2568" s="223"/>
      <c r="GQ2568" s="223"/>
      <c r="GR2568" s="223"/>
      <c r="GS2568" s="223"/>
      <c r="GT2568" s="223"/>
      <c r="GU2568" s="223"/>
      <c r="GV2568" s="223"/>
      <c r="GW2568" s="223"/>
      <c r="GX2568" s="223"/>
      <c r="GY2568" s="223"/>
      <c r="GZ2568" s="223"/>
      <c r="HA2568" s="223"/>
      <c r="HB2568" s="223"/>
      <c r="HC2568" s="223"/>
      <c r="HD2568" s="223"/>
      <c r="HE2568" s="223"/>
      <c r="HF2568" s="223"/>
      <c r="HG2568" s="223"/>
      <c r="HH2568" s="223"/>
      <c r="HI2568" s="223"/>
      <c r="HJ2568" s="223"/>
      <c r="HK2568" s="223"/>
      <c r="HL2568" s="223"/>
      <c r="HM2568" s="223"/>
      <c r="HN2568" s="223"/>
      <c r="HO2568" s="223"/>
      <c r="HP2568" s="223"/>
      <c r="HQ2568" s="223"/>
      <c r="HR2568" s="223"/>
      <c r="HS2568" s="223"/>
      <c r="HT2568" s="223"/>
      <c r="HU2568" s="223"/>
      <c r="HV2568" s="223"/>
      <c r="HW2568" s="223"/>
      <c r="HX2568" s="223"/>
      <c r="HY2568" s="223"/>
      <c r="HZ2568" s="223"/>
      <c r="IA2568" s="223"/>
      <c r="IB2568" s="223"/>
      <c r="IC2568" s="223"/>
      <c r="ID2568" s="223"/>
      <c r="IE2568" s="223"/>
      <c r="IF2568" s="223"/>
      <c r="IG2568" s="223"/>
      <c r="IH2568" s="223"/>
      <c r="II2568" s="223"/>
      <c r="IJ2568" s="223"/>
      <c r="IK2568" s="223"/>
      <c r="IL2568" s="223"/>
      <c r="IM2568" s="223"/>
      <c r="IN2568" s="223"/>
      <c r="IO2568" s="223"/>
      <c r="IP2568" s="223"/>
      <c r="IQ2568" s="223"/>
      <c r="IR2568" s="223"/>
      <c r="IS2568" s="223"/>
      <c r="IT2568" s="223"/>
      <c r="IU2568" s="223"/>
      <c r="IV2568" s="223"/>
    </row>
    <row r="2569" spans="22:256" s="221" customFormat="1" x14ac:dyDescent="0.2">
      <c r="V2569" s="223"/>
      <c r="W2569" s="223"/>
      <c r="X2569" s="223"/>
      <c r="Y2569" s="223"/>
      <c r="Z2569" s="223"/>
      <c r="AA2569" s="223"/>
      <c r="AB2569" s="223"/>
      <c r="AC2569" s="223"/>
      <c r="AD2569" s="223"/>
      <c r="AE2569" s="223"/>
      <c r="AF2569" s="223"/>
      <c r="AG2569" s="223"/>
      <c r="AH2569" s="223"/>
      <c r="AI2569" s="223"/>
      <c r="AJ2569" s="223"/>
      <c r="AK2569" s="223"/>
      <c r="AL2569" s="223"/>
      <c r="AM2569" s="223"/>
      <c r="AN2569" s="223"/>
      <c r="AO2569" s="223"/>
      <c r="AP2569" s="223"/>
      <c r="AQ2569" s="223"/>
      <c r="AR2569" s="223"/>
      <c r="AS2569" s="223"/>
      <c r="AT2569" s="324"/>
      <c r="AU2569" s="324"/>
      <c r="AV2569" s="223"/>
      <c r="AW2569" s="223"/>
      <c r="AX2569" s="223"/>
      <c r="AY2569" s="223"/>
      <c r="AZ2569" s="223"/>
      <c r="BA2569" s="223"/>
      <c r="BB2569" s="223"/>
      <c r="BC2569" s="223"/>
      <c r="BD2569" s="223"/>
      <c r="BE2569" s="223"/>
      <c r="BF2569" s="223"/>
      <c r="BG2569" s="223"/>
      <c r="BH2569" s="223"/>
      <c r="BI2569" s="223"/>
      <c r="BJ2569" s="223"/>
      <c r="BK2569" s="223"/>
      <c r="BL2569" s="223"/>
      <c r="BM2569" s="223"/>
      <c r="BN2569" s="223"/>
      <c r="BO2569" s="223"/>
      <c r="BP2569" s="223"/>
      <c r="BQ2569" s="223"/>
      <c r="BR2569" s="223"/>
      <c r="BS2569" s="223"/>
      <c r="BT2569" s="223"/>
      <c r="BU2569" s="223"/>
      <c r="BV2569" s="223"/>
      <c r="BW2569" s="223"/>
      <c r="BX2569" s="223"/>
      <c r="BY2569" s="223"/>
      <c r="BZ2569" s="223"/>
      <c r="CA2569" s="223"/>
      <c r="CB2569" s="223"/>
      <c r="CC2569" s="223"/>
      <c r="CD2569" s="223"/>
      <c r="CE2569" s="223"/>
      <c r="CF2569" s="223"/>
      <c r="CG2569" s="223"/>
      <c r="CH2569" s="223"/>
      <c r="CI2569" s="223"/>
      <c r="CJ2569" s="223"/>
      <c r="CK2569" s="223"/>
      <c r="CL2569" s="223"/>
      <c r="CM2569" s="223"/>
      <c r="CN2569" s="223"/>
      <c r="CO2569" s="223"/>
      <c r="CP2569" s="223"/>
      <c r="CQ2569" s="223"/>
      <c r="CR2569" s="223"/>
      <c r="CS2569" s="223"/>
      <c r="CT2569" s="223"/>
      <c r="CU2569" s="223"/>
      <c r="CV2569" s="223"/>
      <c r="CW2569" s="223"/>
      <c r="CX2569" s="223"/>
      <c r="CY2569" s="223"/>
      <c r="CZ2569" s="223"/>
      <c r="DA2569" s="223"/>
      <c r="DB2569" s="223"/>
      <c r="DC2569" s="223"/>
      <c r="DD2569" s="223"/>
      <c r="DE2569" s="223"/>
      <c r="DF2569" s="223"/>
      <c r="DG2569" s="223"/>
      <c r="DH2569" s="223"/>
      <c r="DI2569" s="223"/>
      <c r="DJ2569" s="223"/>
      <c r="DK2569" s="223"/>
      <c r="DL2569" s="223"/>
      <c r="DM2569" s="223"/>
      <c r="DN2569" s="223"/>
      <c r="DO2569" s="223"/>
      <c r="DP2569" s="223"/>
      <c r="DQ2569" s="223"/>
      <c r="DR2569" s="223"/>
      <c r="DS2569" s="223"/>
      <c r="DT2569" s="223"/>
      <c r="DU2569" s="223"/>
      <c r="DV2569" s="223"/>
      <c r="DW2569" s="223"/>
      <c r="DX2569" s="223"/>
      <c r="DY2569" s="223"/>
      <c r="DZ2569" s="223"/>
      <c r="EA2569" s="223"/>
      <c r="EB2569" s="223"/>
      <c r="EC2569" s="223"/>
      <c r="ED2569" s="223"/>
      <c r="EE2569" s="223"/>
      <c r="EF2569" s="223"/>
      <c r="EG2569" s="223"/>
      <c r="EH2569" s="223"/>
      <c r="EI2569" s="223"/>
      <c r="EJ2569" s="223"/>
      <c r="EK2569" s="223"/>
      <c r="EL2569" s="223"/>
      <c r="EM2569" s="223"/>
      <c r="EN2569" s="223"/>
      <c r="EO2569" s="223"/>
      <c r="EP2569" s="223"/>
      <c r="EQ2569" s="223"/>
      <c r="ER2569" s="223"/>
      <c r="ES2569" s="223"/>
      <c r="ET2569" s="223"/>
      <c r="EU2569" s="223"/>
      <c r="EV2569" s="223"/>
      <c r="EW2569" s="223"/>
      <c r="EX2569" s="223"/>
      <c r="EY2569" s="223"/>
      <c r="EZ2569" s="223"/>
      <c r="FA2569" s="223"/>
      <c r="FB2569" s="223"/>
      <c r="FC2569" s="223"/>
      <c r="FD2569" s="223"/>
      <c r="FE2569" s="223"/>
      <c r="FF2569" s="223"/>
      <c r="FG2569" s="223"/>
      <c r="FH2569" s="223"/>
      <c r="FI2569" s="223"/>
      <c r="FJ2569" s="223"/>
      <c r="FK2569" s="223"/>
      <c r="FL2569" s="223"/>
      <c r="FM2569" s="223"/>
      <c r="FN2569" s="223"/>
      <c r="FO2569" s="223"/>
      <c r="FP2569" s="223"/>
      <c r="FQ2569" s="223"/>
      <c r="FR2569" s="223"/>
      <c r="FS2569" s="223"/>
      <c r="FT2569" s="223"/>
      <c r="FU2569" s="223"/>
      <c r="FV2569" s="223"/>
      <c r="FW2569" s="223"/>
      <c r="FX2569" s="223"/>
      <c r="FY2569" s="223"/>
      <c r="FZ2569" s="223"/>
      <c r="GA2569" s="223"/>
      <c r="GB2569" s="223"/>
      <c r="GC2569" s="223"/>
      <c r="GD2569" s="223"/>
      <c r="GE2569" s="223"/>
      <c r="GF2569" s="223"/>
      <c r="GG2569" s="223"/>
      <c r="GH2569" s="223"/>
      <c r="GI2569" s="223"/>
      <c r="GJ2569" s="223"/>
      <c r="GK2569" s="223"/>
      <c r="GL2569" s="223"/>
      <c r="GM2569" s="223"/>
      <c r="GN2569" s="223"/>
      <c r="GO2569" s="223"/>
      <c r="GP2569" s="223"/>
      <c r="GQ2569" s="223"/>
      <c r="GR2569" s="223"/>
      <c r="GS2569" s="223"/>
      <c r="GT2569" s="223"/>
      <c r="GU2569" s="223"/>
      <c r="GV2569" s="223"/>
      <c r="GW2569" s="223"/>
      <c r="GX2569" s="223"/>
      <c r="GY2569" s="223"/>
      <c r="GZ2569" s="223"/>
      <c r="HA2569" s="223"/>
      <c r="HB2569" s="223"/>
      <c r="HC2569" s="223"/>
      <c r="HD2569" s="223"/>
      <c r="HE2569" s="223"/>
      <c r="HF2569" s="223"/>
      <c r="HG2569" s="223"/>
      <c r="HH2569" s="223"/>
      <c r="HI2569" s="223"/>
      <c r="HJ2569" s="223"/>
      <c r="HK2569" s="223"/>
      <c r="HL2569" s="223"/>
      <c r="HM2569" s="223"/>
      <c r="HN2569" s="223"/>
      <c r="HO2569" s="223"/>
      <c r="HP2569" s="223"/>
      <c r="HQ2569" s="223"/>
      <c r="HR2569" s="223"/>
      <c r="HS2569" s="223"/>
      <c r="HT2569" s="223"/>
      <c r="HU2569" s="223"/>
      <c r="HV2569" s="223"/>
      <c r="HW2569" s="223"/>
      <c r="HX2569" s="223"/>
      <c r="HY2569" s="223"/>
      <c r="HZ2569" s="223"/>
      <c r="IA2569" s="223"/>
      <c r="IB2569" s="223"/>
      <c r="IC2569" s="223"/>
      <c r="ID2569" s="223"/>
      <c r="IE2569" s="223"/>
      <c r="IF2569" s="223"/>
      <c r="IG2569" s="223"/>
      <c r="IH2569" s="223"/>
      <c r="II2569" s="223"/>
      <c r="IJ2569" s="223"/>
      <c r="IK2569" s="223"/>
      <c r="IL2569" s="223"/>
      <c r="IM2569" s="223"/>
      <c r="IN2569" s="223"/>
      <c r="IO2569" s="223"/>
      <c r="IP2569" s="223"/>
      <c r="IQ2569" s="223"/>
      <c r="IR2569" s="223"/>
      <c r="IS2569" s="223"/>
      <c r="IT2569" s="223"/>
      <c r="IU2569" s="223"/>
      <c r="IV2569" s="223"/>
    </row>
    <row r="2570" spans="22:256" s="221" customFormat="1" x14ac:dyDescent="0.2">
      <c r="V2570" s="223"/>
      <c r="W2570" s="223"/>
      <c r="X2570" s="223"/>
      <c r="Y2570" s="223"/>
      <c r="Z2570" s="223"/>
      <c r="AA2570" s="223"/>
      <c r="AB2570" s="223"/>
      <c r="AC2570" s="223"/>
      <c r="AD2570" s="223"/>
      <c r="AE2570" s="223"/>
      <c r="AF2570" s="223"/>
      <c r="AG2570" s="223"/>
      <c r="AH2570" s="223"/>
      <c r="AI2570" s="223"/>
      <c r="AJ2570" s="223"/>
      <c r="AK2570" s="223"/>
      <c r="AL2570" s="223"/>
      <c r="AM2570" s="223"/>
      <c r="AN2570" s="223"/>
      <c r="AO2570" s="223"/>
      <c r="AP2570" s="223"/>
      <c r="AQ2570" s="223"/>
      <c r="AR2570" s="223"/>
      <c r="AS2570" s="223"/>
      <c r="AT2570" s="324"/>
      <c r="AU2570" s="324"/>
      <c r="AV2570" s="223"/>
      <c r="AW2570" s="223"/>
      <c r="AX2570" s="223"/>
      <c r="AY2570" s="223"/>
      <c r="AZ2570" s="223"/>
      <c r="BA2570" s="223"/>
      <c r="BB2570" s="223"/>
      <c r="BC2570" s="223"/>
      <c r="BD2570" s="223"/>
      <c r="BE2570" s="223"/>
      <c r="BF2570" s="223"/>
      <c r="BG2570" s="223"/>
      <c r="BH2570" s="223"/>
      <c r="BI2570" s="223"/>
      <c r="BJ2570" s="223"/>
      <c r="BK2570" s="223"/>
      <c r="BL2570" s="223"/>
      <c r="BM2570" s="223"/>
      <c r="BN2570" s="223"/>
      <c r="BO2570" s="223"/>
      <c r="BP2570" s="223"/>
      <c r="BQ2570" s="223"/>
      <c r="BR2570" s="223"/>
      <c r="BS2570" s="223"/>
      <c r="BT2570" s="223"/>
      <c r="BU2570" s="223"/>
      <c r="BV2570" s="223"/>
      <c r="BW2570" s="223"/>
      <c r="BX2570" s="223"/>
      <c r="BY2570" s="223"/>
      <c r="BZ2570" s="223"/>
      <c r="CA2570" s="223"/>
      <c r="CB2570" s="223"/>
      <c r="CC2570" s="223"/>
      <c r="CD2570" s="223"/>
      <c r="CE2570" s="223"/>
      <c r="CF2570" s="223"/>
      <c r="CG2570" s="223"/>
      <c r="CH2570" s="223"/>
      <c r="CI2570" s="223"/>
      <c r="CJ2570" s="223"/>
      <c r="CK2570" s="223"/>
      <c r="CL2570" s="223"/>
      <c r="CM2570" s="223"/>
      <c r="CN2570" s="223"/>
      <c r="CO2570" s="223"/>
      <c r="CP2570" s="223"/>
      <c r="CQ2570" s="223"/>
      <c r="CR2570" s="223"/>
      <c r="CS2570" s="223"/>
      <c r="CT2570" s="223"/>
      <c r="CU2570" s="223"/>
      <c r="CV2570" s="223"/>
      <c r="CW2570" s="223"/>
      <c r="CX2570" s="223"/>
      <c r="CY2570" s="223"/>
      <c r="CZ2570" s="223"/>
      <c r="DA2570" s="223"/>
      <c r="DB2570" s="223"/>
      <c r="DC2570" s="223"/>
      <c r="DD2570" s="223"/>
      <c r="DE2570" s="223"/>
      <c r="DF2570" s="223"/>
      <c r="DG2570" s="223"/>
      <c r="DH2570" s="223"/>
      <c r="DI2570" s="223"/>
      <c r="DJ2570" s="223"/>
      <c r="DK2570" s="223"/>
      <c r="DL2570" s="223"/>
      <c r="DM2570" s="223"/>
      <c r="DN2570" s="223"/>
      <c r="DO2570" s="223"/>
      <c r="DP2570" s="223"/>
      <c r="DQ2570" s="223"/>
      <c r="DR2570" s="223"/>
      <c r="DS2570" s="223"/>
      <c r="DT2570" s="223"/>
      <c r="DU2570" s="223"/>
      <c r="DV2570" s="223"/>
      <c r="DW2570" s="223"/>
      <c r="DX2570" s="223"/>
      <c r="DY2570" s="223"/>
      <c r="DZ2570" s="223"/>
      <c r="EA2570" s="223"/>
      <c r="EB2570" s="223"/>
      <c r="EC2570" s="223"/>
      <c r="ED2570" s="223"/>
      <c r="EE2570" s="223"/>
      <c r="EF2570" s="223"/>
      <c r="EG2570" s="223"/>
      <c r="EH2570" s="223"/>
      <c r="EI2570" s="223"/>
      <c r="EJ2570" s="223"/>
      <c r="EK2570" s="223"/>
      <c r="EL2570" s="223"/>
      <c r="EM2570" s="223"/>
      <c r="EN2570" s="223"/>
      <c r="EO2570" s="223"/>
      <c r="EP2570" s="223"/>
      <c r="EQ2570" s="223"/>
      <c r="ER2570" s="223"/>
      <c r="ES2570" s="223"/>
      <c r="ET2570" s="223"/>
      <c r="EU2570" s="223"/>
      <c r="EV2570" s="223"/>
      <c r="EW2570" s="223"/>
      <c r="EX2570" s="223"/>
      <c r="EY2570" s="223"/>
      <c r="EZ2570" s="223"/>
      <c r="FA2570" s="223"/>
      <c r="FB2570" s="223"/>
      <c r="FC2570" s="223"/>
      <c r="FD2570" s="223"/>
      <c r="FE2570" s="223"/>
      <c r="FF2570" s="223"/>
      <c r="FG2570" s="223"/>
      <c r="FH2570" s="223"/>
      <c r="FI2570" s="223"/>
      <c r="FJ2570" s="223"/>
      <c r="FK2570" s="223"/>
      <c r="FL2570" s="223"/>
      <c r="FM2570" s="223"/>
      <c r="FN2570" s="223"/>
      <c r="FO2570" s="223"/>
      <c r="FP2570" s="223"/>
      <c r="FQ2570" s="223"/>
      <c r="FR2570" s="223"/>
      <c r="FS2570" s="223"/>
      <c r="FT2570" s="223"/>
      <c r="FU2570" s="223"/>
      <c r="FV2570" s="223"/>
      <c r="FW2570" s="223"/>
      <c r="FX2570" s="223"/>
      <c r="FY2570" s="223"/>
      <c r="FZ2570" s="223"/>
      <c r="GA2570" s="223"/>
      <c r="GB2570" s="223"/>
      <c r="GC2570" s="223"/>
      <c r="GD2570" s="223"/>
      <c r="GE2570" s="223"/>
      <c r="GF2570" s="223"/>
      <c r="GG2570" s="223"/>
      <c r="GH2570" s="223"/>
      <c r="GI2570" s="223"/>
      <c r="GJ2570" s="223"/>
      <c r="GK2570" s="223"/>
      <c r="GL2570" s="223"/>
      <c r="GM2570" s="223"/>
      <c r="GN2570" s="223"/>
      <c r="GO2570" s="223"/>
      <c r="GP2570" s="223"/>
      <c r="GQ2570" s="223"/>
      <c r="GR2570" s="223"/>
      <c r="GS2570" s="223"/>
      <c r="GT2570" s="223"/>
      <c r="GU2570" s="223"/>
      <c r="GV2570" s="223"/>
      <c r="GW2570" s="223"/>
      <c r="GX2570" s="223"/>
      <c r="GY2570" s="223"/>
      <c r="GZ2570" s="223"/>
      <c r="HA2570" s="223"/>
      <c r="HB2570" s="223"/>
      <c r="HC2570" s="223"/>
      <c r="HD2570" s="223"/>
      <c r="HE2570" s="223"/>
      <c r="HF2570" s="223"/>
      <c r="HG2570" s="223"/>
      <c r="HH2570" s="223"/>
      <c r="HI2570" s="223"/>
      <c r="HJ2570" s="223"/>
      <c r="HK2570" s="223"/>
      <c r="HL2570" s="223"/>
      <c r="HM2570" s="223"/>
      <c r="HN2570" s="223"/>
      <c r="HO2570" s="223"/>
      <c r="HP2570" s="223"/>
      <c r="HQ2570" s="223"/>
      <c r="HR2570" s="223"/>
      <c r="HS2570" s="223"/>
      <c r="HT2570" s="223"/>
      <c r="HU2570" s="223"/>
      <c r="HV2570" s="223"/>
      <c r="HW2570" s="223"/>
      <c r="HX2570" s="223"/>
      <c r="HY2570" s="223"/>
      <c r="HZ2570" s="223"/>
      <c r="IA2570" s="223"/>
      <c r="IB2570" s="223"/>
      <c r="IC2570" s="223"/>
      <c r="ID2570" s="223"/>
      <c r="IE2570" s="223"/>
      <c r="IF2570" s="223"/>
      <c r="IG2570" s="223"/>
      <c r="IH2570" s="223"/>
      <c r="II2570" s="223"/>
      <c r="IJ2570" s="223"/>
      <c r="IK2570" s="223"/>
      <c r="IL2570" s="223"/>
      <c r="IM2570" s="223"/>
      <c r="IN2570" s="223"/>
      <c r="IO2570" s="223"/>
      <c r="IP2570" s="223"/>
      <c r="IQ2570" s="223"/>
      <c r="IR2570" s="223"/>
      <c r="IS2570" s="223"/>
      <c r="IT2570" s="223"/>
      <c r="IU2570" s="223"/>
      <c r="IV2570" s="223"/>
    </row>
    <row r="2571" spans="22:256" s="221" customFormat="1" x14ac:dyDescent="0.2">
      <c r="V2571" s="223"/>
      <c r="W2571" s="223"/>
      <c r="X2571" s="223"/>
      <c r="Y2571" s="223"/>
      <c r="Z2571" s="223"/>
      <c r="AA2571" s="223"/>
      <c r="AB2571" s="223"/>
      <c r="AC2571" s="223"/>
      <c r="AD2571" s="223"/>
      <c r="AE2571" s="223"/>
      <c r="AF2571" s="223"/>
      <c r="AG2571" s="223"/>
      <c r="AH2571" s="223"/>
      <c r="AI2571" s="223"/>
      <c r="AJ2571" s="223"/>
      <c r="AK2571" s="223"/>
      <c r="AL2571" s="223"/>
      <c r="AM2571" s="223"/>
      <c r="AN2571" s="223"/>
      <c r="AO2571" s="223"/>
      <c r="AP2571" s="223"/>
      <c r="AQ2571" s="223"/>
      <c r="AR2571" s="223"/>
      <c r="AS2571" s="223"/>
      <c r="AT2571" s="324"/>
      <c r="AU2571" s="324"/>
      <c r="AV2571" s="223"/>
      <c r="AW2571" s="223"/>
      <c r="AX2571" s="223"/>
      <c r="AY2571" s="223"/>
      <c r="AZ2571" s="223"/>
      <c r="BA2571" s="223"/>
      <c r="BB2571" s="223"/>
      <c r="BC2571" s="223"/>
      <c r="BD2571" s="223"/>
      <c r="BE2571" s="223"/>
      <c r="BF2571" s="223"/>
      <c r="BG2571" s="223"/>
      <c r="BH2571" s="223"/>
      <c r="BI2571" s="223"/>
      <c r="BJ2571" s="223"/>
      <c r="BK2571" s="223"/>
      <c r="BL2571" s="223"/>
      <c r="BM2571" s="223"/>
      <c r="BN2571" s="223"/>
      <c r="BO2571" s="223"/>
      <c r="BP2571" s="223"/>
      <c r="BQ2571" s="223"/>
      <c r="BR2571" s="223"/>
      <c r="BS2571" s="223"/>
      <c r="BT2571" s="223"/>
      <c r="BU2571" s="223"/>
      <c r="BV2571" s="223"/>
      <c r="BW2571" s="223"/>
      <c r="BX2571" s="223"/>
      <c r="BY2571" s="223"/>
      <c r="BZ2571" s="223"/>
      <c r="CA2571" s="223"/>
      <c r="CB2571" s="223"/>
      <c r="CC2571" s="223"/>
      <c r="CD2571" s="223"/>
      <c r="CE2571" s="223"/>
      <c r="CF2571" s="223"/>
      <c r="CG2571" s="223"/>
      <c r="CH2571" s="223"/>
      <c r="CI2571" s="223"/>
      <c r="CJ2571" s="223"/>
      <c r="CK2571" s="223"/>
      <c r="CL2571" s="223"/>
      <c r="CM2571" s="223"/>
      <c r="CN2571" s="223"/>
      <c r="CO2571" s="223"/>
      <c r="CP2571" s="223"/>
      <c r="CQ2571" s="223"/>
      <c r="CR2571" s="223"/>
      <c r="CS2571" s="223"/>
      <c r="CT2571" s="223"/>
      <c r="CU2571" s="223"/>
      <c r="CV2571" s="223"/>
      <c r="CW2571" s="223"/>
      <c r="CX2571" s="223"/>
      <c r="CY2571" s="223"/>
      <c r="CZ2571" s="223"/>
      <c r="DA2571" s="223"/>
      <c r="DB2571" s="223"/>
      <c r="DC2571" s="223"/>
      <c r="DD2571" s="223"/>
      <c r="DE2571" s="223"/>
      <c r="DF2571" s="223"/>
      <c r="DG2571" s="223"/>
      <c r="DH2571" s="223"/>
      <c r="DI2571" s="223"/>
      <c r="DJ2571" s="223"/>
      <c r="DK2571" s="223"/>
      <c r="DL2571" s="223"/>
      <c r="DM2571" s="223"/>
      <c r="DN2571" s="223"/>
      <c r="DO2571" s="223"/>
      <c r="DP2571" s="223"/>
      <c r="DQ2571" s="223"/>
      <c r="DR2571" s="223"/>
      <c r="DS2571" s="223"/>
      <c r="DT2571" s="223"/>
      <c r="DU2571" s="223"/>
      <c r="DV2571" s="223"/>
      <c r="DW2571" s="223"/>
      <c r="DX2571" s="223"/>
      <c r="DY2571" s="223"/>
      <c r="DZ2571" s="223"/>
      <c r="EA2571" s="223"/>
      <c r="EB2571" s="223"/>
      <c r="EC2571" s="223"/>
      <c r="ED2571" s="223"/>
      <c r="EE2571" s="223"/>
      <c r="EF2571" s="223"/>
      <c r="EG2571" s="223"/>
      <c r="EH2571" s="223"/>
      <c r="EI2571" s="223"/>
      <c r="EJ2571" s="223"/>
      <c r="EK2571" s="223"/>
      <c r="EL2571" s="223"/>
      <c r="EM2571" s="223"/>
      <c r="EN2571" s="223"/>
      <c r="EO2571" s="223"/>
      <c r="EP2571" s="223"/>
      <c r="EQ2571" s="223"/>
      <c r="ER2571" s="223"/>
      <c r="ES2571" s="223"/>
      <c r="ET2571" s="223"/>
      <c r="EU2571" s="223"/>
      <c r="EV2571" s="223"/>
      <c r="EW2571" s="223"/>
      <c r="EX2571" s="223"/>
      <c r="EY2571" s="223"/>
      <c r="EZ2571" s="223"/>
      <c r="FA2571" s="223"/>
      <c r="FB2571" s="223"/>
      <c r="FC2571" s="223"/>
      <c r="FD2571" s="223"/>
      <c r="FE2571" s="223"/>
      <c r="FF2571" s="223"/>
      <c r="FG2571" s="223"/>
      <c r="FH2571" s="223"/>
      <c r="FI2571" s="223"/>
      <c r="FJ2571" s="223"/>
      <c r="FK2571" s="223"/>
      <c r="FL2571" s="223"/>
      <c r="FM2571" s="223"/>
      <c r="FN2571" s="223"/>
      <c r="FO2571" s="223"/>
      <c r="FP2571" s="223"/>
      <c r="FQ2571" s="223"/>
      <c r="FR2571" s="223"/>
      <c r="FS2571" s="223"/>
      <c r="FT2571" s="223"/>
      <c r="FU2571" s="223"/>
      <c r="FV2571" s="223"/>
      <c r="FW2571" s="223"/>
      <c r="FX2571" s="223"/>
      <c r="FY2571" s="223"/>
      <c r="FZ2571" s="223"/>
      <c r="GA2571" s="223"/>
      <c r="GB2571" s="223"/>
      <c r="GC2571" s="223"/>
      <c r="GD2571" s="223"/>
      <c r="GE2571" s="223"/>
      <c r="GF2571" s="223"/>
      <c r="GG2571" s="223"/>
      <c r="GH2571" s="223"/>
      <c r="GI2571" s="223"/>
      <c r="GJ2571" s="223"/>
      <c r="GK2571" s="223"/>
      <c r="GL2571" s="223"/>
      <c r="GM2571" s="223"/>
      <c r="GN2571" s="223"/>
      <c r="GO2571" s="223"/>
      <c r="GP2571" s="223"/>
      <c r="GQ2571" s="223"/>
      <c r="GR2571" s="223"/>
      <c r="GS2571" s="223"/>
      <c r="GT2571" s="223"/>
      <c r="GU2571" s="223"/>
      <c r="GV2571" s="223"/>
      <c r="GW2571" s="223"/>
      <c r="GX2571" s="223"/>
      <c r="GY2571" s="223"/>
      <c r="GZ2571" s="223"/>
      <c r="HA2571" s="223"/>
      <c r="HB2571" s="223"/>
      <c r="HC2571" s="223"/>
      <c r="HD2571" s="223"/>
      <c r="HE2571" s="223"/>
      <c r="HF2571" s="223"/>
      <c r="HG2571" s="223"/>
      <c r="HH2571" s="223"/>
      <c r="HI2571" s="223"/>
      <c r="HJ2571" s="223"/>
      <c r="HK2571" s="223"/>
      <c r="HL2571" s="223"/>
      <c r="HM2571" s="223"/>
      <c r="HN2571" s="223"/>
      <c r="HO2571" s="223"/>
      <c r="HP2571" s="223"/>
      <c r="HQ2571" s="223"/>
      <c r="HR2571" s="223"/>
      <c r="HS2571" s="223"/>
      <c r="HT2571" s="223"/>
      <c r="HU2571" s="223"/>
      <c r="HV2571" s="223"/>
      <c r="HW2571" s="223"/>
      <c r="HX2571" s="223"/>
      <c r="HY2571" s="223"/>
      <c r="HZ2571" s="223"/>
      <c r="IA2571" s="223"/>
      <c r="IB2571" s="223"/>
      <c r="IC2571" s="223"/>
      <c r="ID2571" s="223"/>
      <c r="IE2571" s="223"/>
      <c r="IF2571" s="223"/>
      <c r="IG2571" s="223"/>
      <c r="IH2571" s="223"/>
      <c r="II2571" s="223"/>
      <c r="IJ2571" s="223"/>
      <c r="IK2571" s="223"/>
      <c r="IL2571" s="223"/>
      <c r="IM2571" s="223"/>
      <c r="IN2571" s="223"/>
      <c r="IO2571" s="223"/>
      <c r="IP2571" s="223"/>
      <c r="IQ2571" s="223"/>
      <c r="IR2571" s="223"/>
      <c r="IS2571" s="223"/>
      <c r="IT2571" s="223"/>
      <c r="IU2571" s="223"/>
      <c r="IV2571" s="223"/>
    </row>
    <row r="2572" spans="22:256" s="221" customFormat="1" x14ac:dyDescent="0.2">
      <c r="V2572" s="223"/>
      <c r="W2572" s="223"/>
      <c r="X2572" s="223"/>
      <c r="Y2572" s="223"/>
      <c r="Z2572" s="223"/>
      <c r="AA2572" s="223"/>
      <c r="AB2572" s="223"/>
      <c r="AC2572" s="223"/>
      <c r="AD2572" s="223"/>
      <c r="AE2572" s="223"/>
      <c r="AF2572" s="223"/>
      <c r="AG2572" s="223"/>
      <c r="AH2572" s="223"/>
      <c r="AI2572" s="223"/>
      <c r="AJ2572" s="223"/>
      <c r="AK2572" s="223"/>
      <c r="AL2572" s="223"/>
      <c r="AM2572" s="223"/>
      <c r="AN2572" s="223"/>
      <c r="AO2572" s="223"/>
      <c r="AP2572" s="223"/>
      <c r="AQ2572" s="223"/>
      <c r="AR2572" s="223"/>
      <c r="AS2572" s="223"/>
      <c r="AT2572" s="324"/>
      <c r="AU2572" s="324"/>
      <c r="AV2572" s="223"/>
      <c r="AW2572" s="223"/>
      <c r="AX2572" s="223"/>
      <c r="AY2572" s="223"/>
      <c r="AZ2572" s="223"/>
      <c r="BA2572" s="223"/>
      <c r="BB2572" s="223"/>
      <c r="BC2572" s="223"/>
      <c r="BD2572" s="223"/>
      <c r="BE2572" s="223"/>
      <c r="BF2572" s="223"/>
      <c r="BG2572" s="223"/>
      <c r="BH2572" s="223"/>
      <c r="BI2572" s="223"/>
      <c r="BJ2572" s="223"/>
      <c r="BK2572" s="223"/>
      <c r="BL2572" s="223"/>
      <c r="BM2572" s="223"/>
      <c r="BN2572" s="223"/>
      <c r="BO2572" s="223"/>
      <c r="BP2572" s="223"/>
      <c r="BQ2572" s="223"/>
      <c r="BR2572" s="223"/>
      <c r="BS2572" s="223"/>
      <c r="BT2572" s="223"/>
      <c r="BU2572" s="223"/>
      <c r="BV2572" s="223"/>
      <c r="BW2572" s="223"/>
      <c r="BX2572" s="223"/>
      <c r="BY2572" s="223"/>
      <c r="BZ2572" s="223"/>
      <c r="CA2572" s="223"/>
      <c r="CB2572" s="223"/>
      <c r="CC2572" s="223"/>
      <c r="CD2572" s="223"/>
      <c r="CE2572" s="223"/>
      <c r="CF2572" s="223"/>
      <c r="CG2572" s="223"/>
      <c r="CH2572" s="223"/>
      <c r="CI2572" s="223"/>
      <c r="CJ2572" s="223"/>
      <c r="CK2572" s="223"/>
      <c r="CL2572" s="223"/>
      <c r="CM2572" s="223"/>
      <c r="CN2572" s="223"/>
      <c r="CO2572" s="223"/>
      <c r="CP2572" s="223"/>
      <c r="CQ2572" s="223"/>
      <c r="CR2572" s="223"/>
      <c r="CS2572" s="223"/>
      <c r="CT2572" s="223"/>
      <c r="CU2572" s="223"/>
      <c r="CV2572" s="223"/>
      <c r="CW2572" s="223"/>
      <c r="CX2572" s="223"/>
      <c r="CY2572" s="223"/>
      <c r="CZ2572" s="223"/>
      <c r="DA2572" s="223"/>
      <c r="DB2572" s="223"/>
      <c r="DC2572" s="223"/>
      <c r="DD2572" s="223"/>
      <c r="DE2572" s="223"/>
      <c r="DF2572" s="223"/>
      <c r="DG2572" s="223"/>
      <c r="DH2572" s="223"/>
      <c r="DI2572" s="223"/>
      <c r="DJ2572" s="223"/>
      <c r="DK2572" s="223"/>
      <c r="DL2572" s="223"/>
      <c r="DM2572" s="223"/>
      <c r="DN2572" s="223"/>
      <c r="DO2572" s="223"/>
      <c r="DP2572" s="223"/>
      <c r="DQ2572" s="223"/>
      <c r="DR2572" s="223"/>
      <c r="DS2572" s="223"/>
      <c r="DT2572" s="223"/>
      <c r="DU2572" s="223"/>
      <c r="DV2572" s="223"/>
      <c r="DW2572" s="223"/>
      <c r="DX2572" s="223"/>
      <c r="DY2572" s="223"/>
      <c r="DZ2572" s="223"/>
      <c r="EA2572" s="223"/>
      <c r="EB2572" s="223"/>
      <c r="EC2572" s="223"/>
      <c r="ED2572" s="223"/>
      <c r="EE2572" s="223"/>
      <c r="EF2572" s="223"/>
      <c r="EG2572" s="223"/>
      <c r="EH2572" s="223"/>
      <c r="EI2572" s="223"/>
      <c r="EJ2572" s="223"/>
      <c r="EK2572" s="223"/>
      <c r="EL2572" s="223"/>
      <c r="EM2572" s="223"/>
      <c r="EN2572" s="223"/>
      <c r="EO2572" s="223"/>
      <c r="EP2572" s="223"/>
      <c r="EQ2572" s="223"/>
      <c r="ER2572" s="223"/>
      <c r="ES2572" s="223"/>
      <c r="ET2572" s="223"/>
      <c r="EU2572" s="223"/>
      <c r="EV2572" s="223"/>
      <c r="EW2572" s="223"/>
      <c r="EX2572" s="223"/>
      <c r="EY2572" s="223"/>
      <c r="EZ2572" s="223"/>
      <c r="FA2572" s="223"/>
      <c r="FB2572" s="223"/>
      <c r="FC2572" s="223"/>
      <c r="FD2572" s="223"/>
      <c r="FE2572" s="223"/>
      <c r="FF2572" s="223"/>
      <c r="FG2572" s="223"/>
      <c r="FH2572" s="223"/>
      <c r="FI2572" s="223"/>
      <c r="FJ2572" s="223"/>
      <c r="FK2572" s="223"/>
      <c r="FL2572" s="223"/>
      <c r="FM2572" s="223"/>
      <c r="FN2572" s="223"/>
      <c r="FO2572" s="223"/>
      <c r="FP2572" s="223"/>
      <c r="FQ2572" s="223"/>
      <c r="FR2572" s="223"/>
      <c r="FS2572" s="223"/>
      <c r="FT2572" s="223"/>
      <c r="FU2572" s="223"/>
      <c r="FV2572" s="223"/>
      <c r="FW2572" s="223"/>
      <c r="FX2572" s="223"/>
      <c r="FY2572" s="223"/>
      <c r="FZ2572" s="223"/>
      <c r="GA2572" s="223"/>
      <c r="GB2572" s="223"/>
      <c r="GC2572" s="223"/>
      <c r="GD2572" s="223"/>
      <c r="GE2572" s="223"/>
      <c r="GF2572" s="223"/>
      <c r="GG2572" s="223"/>
      <c r="GH2572" s="223"/>
      <c r="GI2572" s="223"/>
      <c r="GJ2572" s="223"/>
      <c r="GK2572" s="223"/>
      <c r="GL2572" s="223"/>
      <c r="GM2572" s="223"/>
      <c r="GN2572" s="223"/>
      <c r="GO2572" s="223"/>
      <c r="GP2572" s="223"/>
      <c r="GQ2572" s="223"/>
      <c r="GR2572" s="223"/>
      <c r="GS2572" s="223"/>
      <c r="GT2572" s="223"/>
      <c r="GU2572" s="223"/>
      <c r="GV2572" s="223"/>
      <c r="GW2572" s="223"/>
      <c r="GX2572" s="223"/>
      <c r="GY2572" s="223"/>
      <c r="GZ2572" s="223"/>
      <c r="HA2572" s="223"/>
      <c r="HB2572" s="223"/>
      <c r="HC2572" s="223"/>
      <c r="HD2572" s="223"/>
      <c r="HE2572" s="223"/>
      <c r="HF2572" s="223"/>
      <c r="HG2572" s="223"/>
      <c r="HH2572" s="223"/>
      <c r="HI2572" s="223"/>
      <c r="HJ2572" s="223"/>
      <c r="HK2572" s="223"/>
      <c r="HL2572" s="223"/>
      <c r="HM2572" s="223"/>
      <c r="HN2572" s="223"/>
      <c r="HO2572" s="223"/>
      <c r="HP2572" s="223"/>
      <c r="HQ2572" s="223"/>
      <c r="HR2572" s="223"/>
      <c r="HS2572" s="223"/>
      <c r="HT2572" s="223"/>
      <c r="HU2572" s="223"/>
      <c r="HV2572" s="223"/>
      <c r="HW2572" s="223"/>
      <c r="HX2572" s="223"/>
      <c r="HY2572" s="223"/>
      <c r="HZ2572" s="223"/>
      <c r="IA2572" s="223"/>
      <c r="IB2572" s="223"/>
      <c r="IC2572" s="223"/>
      <c r="ID2572" s="223"/>
      <c r="IE2572" s="223"/>
      <c r="IF2572" s="223"/>
      <c r="IG2572" s="223"/>
      <c r="IH2572" s="223"/>
      <c r="II2572" s="223"/>
      <c r="IJ2572" s="223"/>
      <c r="IK2572" s="223"/>
      <c r="IL2572" s="223"/>
      <c r="IM2572" s="223"/>
      <c r="IN2572" s="223"/>
      <c r="IO2572" s="223"/>
      <c r="IP2572" s="223"/>
      <c r="IQ2572" s="223"/>
      <c r="IR2572" s="223"/>
      <c r="IS2572" s="223"/>
      <c r="IT2572" s="223"/>
      <c r="IU2572" s="223"/>
      <c r="IV2572" s="223"/>
    </row>
    <row r="2573" spans="22:256" s="221" customFormat="1" x14ac:dyDescent="0.2">
      <c r="V2573" s="223"/>
      <c r="W2573" s="223"/>
      <c r="X2573" s="223"/>
      <c r="Y2573" s="223"/>
      <c r="Z2573" s="223"/>
      <c r="AA2573" s="223"/>
      <c r="AB2573" s="223"/>
      <c r="AC2573" s="223"/>
      <c r="AD2573" s="223"/>
      <c r="AE2573" s="223"/>
      <c r="AF2573" s="223"/>
      <c r="AG2573" s="223"/>
      <c r="AH2573" s="223"/>
      <c r="AI2573" s="223"/>
      <c r="AJ2573" s="223"/>
      <c r="AK2573" s="223"/>
      <c r="AL2573" s="223"/>
      <c r="AM2573" s="223"/>
      <c r="AN2573" s="223"/>
      <c r="AO2573" s="223"/>
      <c r="AP2573" s="223"/>
      <c r="AQ2573" s="223"/>
      <c r="AR2573" s="223"/>
      <c r="AS2573" s="223"/>
      <c r="AT2573" s="324"/>
      <c r="AU2573" s="324"/>
      <c r="AV2573" s="223"/>
      <c r="AW2573" s="223"/>
      <c r="AX2573" s="223"/>
      <c r="AY2573" s="223"/>
      <c r="AZ2573" s="223"/>
      <c r="BA2573" s="223"/>
      <c r="BB2573" s="223"/>
      <c r="BC2573" s="223"/>
      <c r="BD2573" s="223"/>
      <c r="BE2573" s="223"/>
      <c r="BF2573" s="223"/>
      <c r="BG2573" s="223"/>
      <c r="BH2573" s="223"/>
      <c r="BI2573" s="223"/>
      <c r="BJ2573" s="223"/>
      <c r="BK2573" s="223"/>
      <c r="BL2573" s="223"/>
      <c r="BM2573" s="223"/>
      <c r="BN2573" s="223"/>
      <c r="BO2573" s="223"/>
      <c r="BP2573" s="223"/>
      <c r="BQ2573" s="223"/>
      <c r="BR2573" s="223"/>
      <c r="BS2573" s="223"/>
      <c r="BT2573" s="223"/>
      <c r="BU2573" s="223"/>
      <c r="BV2573" s="223"/>
      <c r="BW2573" s="223"/>
      <c r="BX2573" s="223"/>
      <c r="BY2573" s="223"/>
      <c r="BZ2573" s="223"/>
      <c r="CA2573" s="223"/>
      <c r="CB2573" s="223"/>
      <c r="CC2573" s="223"/>
      <c r="CD2573" s="223"/>
      <c r="CE2573" s="223"/>
      <c r="CF2573" s="223"/>
      <c r="CG2573" s="223"/>
      <c r="CH2573" s="223"/>
      <c r="CI2573" s="223"/>
      <c r="CJ2573" s="223"/>
      <c r="CK2573" s="223"/>
      <c r="CL2573" s="223"/>
      <c r="CM2573" s="223"/>
      <c r="CN2573" s="223"/>
      <c r="CO2573" s="223"/>
      <c r="CP2573" s="223"/>
      <c r="CQ2573" s="223"/>
      <c r="CR2573" s="223"/>
      <c r="CS2573" s="223"/>
      <c r="CT2573" s="223"/>
      <c r="CU2573" s="223"/>
      <c r="CV2573" s="223"/>
      <c r="CW2573" s="223"/>
      <c r="CX2573" s="223"/>
      <c r="CY2573" s="223"/>
      <c r="CZ2573" s="223"/>
      <c r="DA2573" s="223"/>
      <c r="DB2573" s="223"/>
      <c r="DC2573" s="223"/>
      <c r="DD2573" s="223"/>
      <c r="DE2573" s="223"/>
      <c r="DF2573" s="223"/>
      <c r="DG2573" s="223"/>
      <c r="DH2573" s="223"/>
      <c r="DI2573" s="223"/>
      <c r="DJ2573" s="223"/>
      <c r="DK2573" s="223"/>
      <c r="DL2573" s="223"/>
      <c r="DM2573" s="223"/>
      <c r="DN2573" s="223"/>
      <c r="DO2573" s="223"/>
      <c r="DP2573" s="223"/>
      <c r="DQ2573" s="223"/>
      <c r="DR2573" s="223"/>
      <c r="DS2573" s="223"/>
      <c r="DT2573" s="223"/>
      <c r="DU2573" s="223"/>
      <c r="DV2573" s="223"/>
      <c r="DW2573" s="223"/>
      <c r="DX2573" s="223"/>
      <c r="DY2573" s="223"/>
      <c r="DZ2573" s="223"/>
      <c r="EA2573" s="223"/>
      <c r="EB2573" s="223"/>
      <c r="EC2573" s="223"/>
      <c r="ED2573" s="223"/>
      <c r="EE2573" s="223"/>
      <c r="EF2573" s="223"/>
      <c r="EG2573" s="223"/>
      <c r="EH2573" s="223"/>
      <c r="EI2573" s="223"/>
      <c r="EJ2573" s="223"/>
      <c r="EK2573" s="223"/>
      <c r="EL2573" s="223"/>
      <c r="EM2573" s="223"/>
      <c r="EN2573" s="223"/>
      <c r="EO2573" s="223"/>
      <c r="EP2573" s="223"/>
      <c r="EQ2573" s="223"/>
      <c r="ER2573" s="223"/>
      <c r="ES2573" s="223"/>
      <c r="ET2573" s="223"/>
      <c r="EU2573" s="223"/>
      <c r="EV2573" s="223"/>
      <c r="EW2573" s="223"/>
      <c r="EX2573" s="223"/>
      <c r="EY2573" s="223"/>
      <c r="EZ2573" s="223"/>
      <c r="FA2573" s="223"/>
      <c r="FB2573" s="223"/>
      <c r="FC2573" s="223"/>
      <c r="FD2573" s="223"/>
      <c r="FE2573" s="223"/>
      <c r="FF2573" s="223"/>
      <c r="FG2573" s="223"/>
      <c r="FH2573" s="223"/>
      <c r="FI2573" s="223"/>
      <c r="FJ2573" s="223"/>
      <c r="FK2573" s="223"/>
      <c r="FL2573" s="223"/>
      <c r="FM2573" s="223"/>
      <c r="FN2573" s="223"/>
      <c r="FO2573" s="223"/>
      <c r="FP2573" s="223"/>
      <c r="FQ2573" s="223"/>
      <c r="FR2573" s="223"/>
      <c r="FS2573" s="223"/>
      <c r="FT2573" s="223"/>
      <c r="FU2573" s="223"/>
      <c r="FV2573" s="223"/>
      <c r="FW2573" s="223"/>
      <c r="FX2573" s="223"/>
      <c r="FY2573" s="223"/>
      <c r="FZ2573" s="223"/>
      <c r="GA2573" s="223"/>
      <c r="GB2573" s="223"/>
      <c r="GC2573" s="223"/>
      <c r="GD2573" s="223"/>
      <c r="GE2573" s="223"/>
      <c r="GF2573" s="223"/>
      <c r="GG2573" s="223"/>
      <c r="GH2573" s="223"/>
      <c r="GI2573" s="223"/>
      <c r="GJ2573" s="223"/>
      <c r="GK2573" s="223"/>
      <c r="GL2573" s="223"/>
      <c r="GM2573" s="223"/>
      <c r="GN2573" s="223"/>
      <c r="GO2573" s="223"/>
      <c r="GP2573" s="223"/>
      <c r="GQ2573" s="223"/>
      <c r="GR2573" s="223"/>
      <c r="GS2573" s="223"/>
      <c r="GT2573" s="223"/>
      <c r="GU2573" s="223"/>
      <c r="GV2573" s="223"/>
      <c r="GW2573" s="223"/>
      <c r="GX2573" s="223"/>
      <c r="GY2573" s="223"/>
      <c r="GZ2573" s="223"/>
      <c r="HA2573" s="223"/>
      <c r="HB2573" s="223"/>
      <c r="HC2573" s="223"/>
      <c r="HD2573" s="223"/>
      <c r="HE2573" s="223"/>
      <c r="HF2573" s="223"/>
      <c r="HG2573" s="223"/>
      <c r="HH2573" s="223"/>
      <c r="HI2573" s="223"/>
      <c r="HJ2573" s="223"/>
      <c r="HK2573" s="223"/>
      <c r="HL2573" s="223"/>
      <c r="HM2573" s="223"/>
      <c r="HN2573" s="223"/>
      <c r="HO2573" s="223"/>
      <c r="HP2573" s="223"/>
      <c r="HQ2573" s="223"/>
      <c r="HR2573" s="223"/>
      <c r="HS2573" s="223"/>
      <c r="HT2573" s="223"/>
      <c r="HU2573" s="223"/>
      <c r="HV2573" s="223"/>
      <c r="HW2573" s="223"/>
      <c r="HX2573" s="223"/>
      <c r="HY2573" s="223"/>
      <c r="HZ2573" s="223"/>
      <c r="IA2573" s="223"/>
      <c r="IB2573" s="223"/>
      <c r="IC2573" s="223"/>
      <c r="ID2573" s="223"/>
      <c r="IE2573" s="223"/>
      <c r="IF2573" s="223"/>
      <c r="IG2573" s="223"/>
      <c r="IH2573" s="223"/>
      <c r="II2573" s="223"/>
      <c r="IJ2573" s="223"/>
      <c r="IK2573" s="223"/>
      <c r="IL2573" s="223"/>
      <c r="IM2573" s="223"/>
      <c r="IN2573" s="223"/>
      <c r="IO2573" s="223"/>
      <c r="IP2573" s="223"/>
      <c r="IQ2573" s="223"/>
      <c r="IR2573" s="223"/>
      <c r="IS2573" s="223"/>
      <c r="IT2573" s="223"/>
      <c r="IU2573" s="223"/>
      <c r="IV2573" s="223"/>
    </row>
    <row r="2574" spans="22:256" s="221" customFormat="1" x14ac:dyDescent="0.2">
      <c r="V2574" s="223"/>
      <c r="W2574" s="223"/>
      <c r="X2574" s="223"/>
      <c r="Y2574" s="223"/>
      <c r="Z2574" s="223"/>
      <c r="AA2574" s="223"/>
      <c r="AB2574" s="223"/>
      <c r="AC2574" s="223"/>
      <c r="AD2574" s="223"/>
      <c r="AE2574" s="223"/>
      <c r="AF2574" s="223"/>
      <c r="AG2574" s="223"/>
      <c r="AH2574" s="223"/>
      <c r="AI2574" s="223"/>
      <c r="AJ2574" s="223"/>
      <c r="AK2574" s="223"/>
      <c r="AL2574" s="223"/>
      <c r="AM2574" s="223"/>
      <c r="AN2574" s="223"/>
      <c r="AO2574" s="223"/>
      <c r="AP2574" s="223"/>
      <c r="AQ2574" s="223"/>
      <c r="AR2574" s="223"/>
      <c r="AS2574" s="223"/>
      <c r="AT2574" s="324"/>
      <c r="AU2574" s="324"/>
      <c r="AV2574" s="223"/>
      <c r="AW2574" s="223"/>
      <c r="AX2574" s="223"/>
      <c r="AY2574" s="223"/>
      <c r="AZ2574" s="223"/>
      <c r="BA2574" s="223"/>
      <c r="BB2574" s="223"/>
      <c r="BC2574" s="223"/>
      <c r="BD2574" s="223"/>
      <c r="BE2574" s="223"/>
      <c r="BF2574" s="223"/>
      <c r="BG2574" s="223"/>
      <c r="BH2574" s="223"/>
      <c r="BI2574" s="223"/>
      <c r="BJ2574" s="223"/>
      <c r="BK2574" s="223"/>
      <c r="BL2574" s="223"/>
      <c r="BM2574" s="223"/>
      <c r="BN2574" s="223"/>
      <c r="BO2574" s="223"/>
      <c r="BP2574" s="223"/>
      <c r="BQ2574" s="223"/>
      <c r="BR2574" s="223"/>
      <c r="BS2574" s="223"/>
      <c r="BT2574" s="223"/>
      <c r="BU2574" s="223"/>
      <c r="BV2574" s="223"/>
      <c r="BW2574" s="223"/>
      <c r="BX2574" s="223"/>
      <c r="BY2574" s="223"/>
      <c r="BZ2574" s="223"/>
      <c r="CA2574" s="223"/>
      <c r="CB2574" s="223"/>
      <c r="CC2574" s="223"/>
      <c r="CD2574" s="223"/>
      <c r="CE2574" s="223"/>
      <c r="CF2574" s="223"/>
      <c r="CG2574" s="223"/>
      <c r="CH2574" s="223"/>
      <c r="CI2574" s="223"/>
      <c r="CJ2574" s="223"/>
      <c r="CK2574" s="223"/>
      <c r="CL2574" s="223"/>
      <c r="CM2574" s="223"/>
      <c r="CN2574" s="223"/>
      <c r="CO2574" s="223"/>
      <c r="CP2574" s="223"/>
      <c r="CQ2574" s="223"/>
      <c r="CR2574" s="223"/>
      <c r="CS2574" s="223"/>
      <c r="CT2574" s="223"/>
      <c r="CU2574" s="223"/>
      <c r="CV2574" s="223"/>
      <c r="CW2574" s="223"/>
      <c r="CX2574" s="223"/>
      <c r="CY2574" s="223"/>
      <c r="CZ2574" s="223"/>
      <c r="DA2574" s="223"/>
      <c r="DB2574" s="223"/>
      <c r="DC2574" s="223"/>
      <c r="DD2574" s="223"/>
      <c r="DE2574" s="223"/>
      <c r="DF2574" s="223"/>
      <c r="DG2574" s="223"/>
      <c r="DH2574" s="223"/>
      <c r="DI2574" s="223"/>
      <c r="DJ2574" s="223"/>
      <c r="DK2574" s="223"/>
      <c r="DL2574" s="223"/>
      <c r="DM2574" s="223"/>
      <c r="DN2574" s="223"/>
      <c r="DO2574" s="223"/>
      <c r="DP2574" s="223"/>
      <c r="DQ2574" s="223"/>
      <c r="DR2574" s="223"/>
      <c r="DS2574" s="223"/>
      <c r="DT2574" s="223"/>
      <c r="DU2574" s="223"/>
      <c r="DV2574" s="223"/>
      <c r="DW2574" s="223"/>
      <c r="DX2574" s="223"/>
      <c r="DY2574" s="223"/>
      <c r="DZ2574" s="223"/>
      <c r="EA2574" s="223"/>
      <c r="EB2574" s="223"/>
      <c r="EC2574" s="223"/>
      <c r="ED2574" s="223"/>
      <c r="EE2574" s="223"/>
      <c r="EF2574" s="223"/>
      <c r="EG2574" s="223"/>
      <c r="EH2574" s="223"/>
      <c r="EI2574" s="223"/>
      <c r="EJ2574" s="223"/>
      <c r="EK2574" s="223"/>
      <c r="EL2574" s="223"/>
      <c r="EM2574" s="223"/>
      <c r="EN2574" s="223"/>
      <c r="EO2574" s="223"/>
      <c r="EP2574" s="223"/>
      <c r="EQ2574" s="223"/>
      <c r="ER2574" s="223"/>
      <c r="ES2574" s="223"/>
      <c r="ET2574" s="223"/>
      <c r="EU2574" s="223"/>
      <c r="EV2574" s="223"/>
      <c r="EW2574" s="223"/>
      <c r="EX2574" s="223"/>
      <c r="EY2574" s="223"/>
      <c r="EZ2574" s="223"/>
      <c r="FA2574" s="223"/>
      <c r="FB2574" s="223"/>
      <c r="FC2574" s="223"/>
      <c r="FD2574" s="223"/>
      <c r="FE2574" s="223"/>
      <c r="FF2574" s="223"/>
      <c r="FG2574" s="223"/>
      <c r="FH2574" s="223"/>
      <c r="FI2574" s="223"/>
      <c r="FJ2574" s="223"/>
      <c r="FK2574" s="223"/>
      <c r="FL2574" s="223"/>
      <c r="FM2574" s="223"/>
      <c r="FN2574" s="223"/>
      <c r="FO2574" s="223"/>
      <c r="FP2574" s="223"/>
      <c r="FQ2574" s="223"/>
      <c r="FR2574" s="223"/>
      <c r="FS2574" s="223"/>
      <c r="FT2574" s="223"/>
      <c r="FU2574" s="223"/>
      <c r="FV2574" s="223"/>
      <c r="FW2574" s="223"/>
      <c r="FX2574" s="223"/>
      <c r="FY2574" s="223"/>
      <c r="FZ2574" s="223"/>
      <c r="GA2574" s="223"/>
      <c r="GB2574" s="223"/>
      <c r="GC2574" s="223"/>
      <c r="GD2574" s="223"/>
      <c r="GE2574" s="223"/>
      <c r="GF2574" s="223"/>
      <c r="GG2574" s="223"/>
      <c r="GH2574" s="223"/>
      <c r="GI2574" s="223"/>
      <c r="GJ2574" s="223"/>
      <c r="GK2574" s="223"/>
      <c r="GL2574" s="223"/>
      <c r="GM2574" s="223"/>
      <c r="GN2574" s="223"/>
      <c r="GO2574" s="223"/>
      <c r="GP2574" s="223"/>
      <c r="GQ2574" s="223"/>
      <c r="GR2574" s="223"/>
      <c r="GS2574" s="223"/>
      <c r="GT2574" s="223"/>
      <c r="GU2574" s="223"/>
      <c r="GV2574" s="223"/>
      <c r="GW2574" s="223"/>
      <c r="GX2574" s="223"/>
      <c r="GY2574" s="223"/>
      <c r="GZ2574" s="223"/>
      <c r="HA2574" s="223"/>
      <c r="HB2574" s="223"/>
      <c r="HC2574" s="223"/>
      <c r="HD2574" s="223"/>
      <c r="HE2574" s="223"/>
      <c r="HF2574" s="223"/>
      <c r="HG2574" s="223"/>
      <c r="HH2574" s="223"/>
      <c r="HI2574" s="223"/>
      <c r="HJ2574" s="223"/>
      <c r="HK2574" s="223"/>
      <c r="HL2574" s="223"/>
      <c r="HM2574" s="223"/>
      <c r="HN2574" s="223"/>
      <c r="HO2574" s="223"/>
      <c r="HP2574" s="223"/>
      <c r="HQ2574" s="223"/>
      <c r="HR2574" s="223"/>
      <c r="HS2574" s="223"/>
      <c r="HT2574" s="223"/>
      <c r="HU2574" s="223"/>
      <c r="HV2574" s="223"/>
      <c r="HW2574" s="223"/>
      <c r="HX2574" s="223"/>
      <c r="HY2574" s="223"/>
      <c r="HZ2574" s="223"/>
      <c r="IA2574" s="223"/>
      <c r="IB2574" s="223"/>
      <c r="IC2574" s="223"/>
      <c r="ID2574" s="223"/>
      <c r="IE2574" s="223"/>
      <c r="IF2574" s="223"/>
      <c r="IG2574" s="223"/>
      <c r="IH2574" s="223"/>
      <c r="II2574" s="223"/>
      <c r="IJ2574" s="223"/>
      <c r="IK2574" s="223"/>
      <c r="IL2574" s="223"/>
      <c r="IM2574" s="223"/>
      <c r="IN2574" s="223"/>
      <c r="IO2574" s="223"/>
      <c r="IP2574" s="223"/>
      <c r="IQ2574" s="223"/>
      <c r="IR2574" s="223"/>
      <c r="IS2574" s="223"/>
      <c r="IT2574" s="223"/>
      <c r="IU2574" s="223"/>
      <c r="IV2574" s="223"/>
    </row>
    <row r="2575" spans="22:256" s="221" customFormat="1" x14ac:dyDescent="0.2">
      <c r="V2575" s="223"/>
      <c r="W2575" s="223"/>
      <c r="X2575" s="223"/>
      <c r="Y2575" s="223"/>
      <c r="Z2575" s="223"/>
      <c r="AA2575" s="223"/>
      <c r="AB2575" s="223"/>
      <c r="AC2575" s="223"/>
      <c r="AD2575" s="223"/>
      <c r="AE2575" s="223"/>
      <c r="AF2575" s="223"/>
      <c r="AG2575" s="223"/>
      <c r="AH2575" s="223"/>
      <c r="AI2575" s="223"/>
      <c r="AJ2575" s="223"/>
      <c r="AK2575" s="223"/>
      <c r="AL2575" s="223"/>
      <c r="AM2575" s="223"/>
      <c r="AN2575" s="223"/>
      <c r="AO2575" s="223"/>
      <c r="AP2575" s="223"/>
      <c r="AQ2575" s="223"/>
      <c r="AR2575" s="223"/>
      <c r="AS2575" s="223"/>
      <c r="AT2575" s="324"/>
      <c r="AU2575" s="324"/>
      <c r="AV2575" s="223"/>
      <c r="AW2575" s="223"/>
      <c r="AX2575" s="223"/>
      <c r="AY2575" s="223"/>
      <c r="AZ2575" s="223"/>
      <c r="BA2575" s="223"/>
      <c r="BB2575" s="223"/>
      <c r="BC2575" s="223"/>
      <c r="BD2575" s="223"/>
      <c r="BE2575" s="223"/>
      <c r="BF2575" s="223"/>
      <c r="BG2575" s="223"/>
      <c r="BH2575" s="223"/>
      <c r="BI2575" s="223"/>
      <c r="BJ2575" s="223"/>
      <c r="BK2575" s="223"/>
      <c r="BL2575" s="223"/>
      <c r="BM2575" s="223"/>
      <c r="BN2575" s="223"/>
      <c r="BO2575" s="223"/>
      <c r="BP2575" s="223"/>
      <c r="BQ2575" s="223"/>
      <c r="BR2575" s="223"/>
      <c r="BS2575" s="223"/>
      <c r="BT2575" s="223"/>
      <c r="BU2575" s="223"/>
      <c r="BV2575" s="223"/>
      <c r="BW2575" s="223"/>
      <c r="BX2575" s="223"/>
      <c r="BY2575" s="223"/>
      <c r="BZ2575" s="223"/>
      <c r="CA2575" s="223"/>
      <c r="CB2575" s="223"/>
      <c r="CC2575" s="223"/>
      <c r="CD2575" s="223"/>
      <c r="CE2575" s="223"/>
      <c r="CF2575" s="223"/>
      <c r="CG2575" s="223"/>
      <c r="CH2575" s="223"/>
      <c r="CI2575" s="223"/>
      <c r="CJ2575" s="223"/>
      <c r="CK2575" s="223"/>
      <c r="CL2575" s="223"/>
      <c r="CM2575" s="223"/>
      <c r="CN2575" s="223"/>
      <c r="CO2575" s="223"/>
      <c r="CP2575" s="223"/>
      <c r="CQ2575" s="223"/>
      <c r="CR2575" s="223"/>
      <c r="CS2575" s="223"/>
      <c r="CT2575" s="223"/>
      <c r="CU2575" s="223"/>
      <c r="CV2575" s="223"/>
      <c r="CW2575" s="223"/>
      <c r="CX2575" s="223"/>
      <c r="CY2575" s="223"/>
      <c r="CZ2575" s="223"/>
      <c r="DA2575" s="223"/>
      <c r="DB2575" s="223"/>
      <c r="DC2575" s="223"/>
      <c r="DD2575" s="223"/>
      <c r="DE2575" s="223"/>
      <c r="DF2575" s="223"/>
      <c r="DG2575" s="223"/>
      <c r="DH2575" s="223"/>
      <c r="DI2575" s="223"/>
      <c r="DJ2575" s="223"/>
      <c r="DK2575" s="223"/>
      <c r="DL2575" s="223"/>
      <c r="DM2575" s="223"/>
      <c r="DN2575" s="223"/>
      <c r="DO2575" s="223"/>
      <c r="DP2575" s="223"/>
      <c r="DQ2575" s="223"/>
      <c r="DR2575" s="223"/>
      <c r="DS2575" s="223"/>
      <c r="DT2575" s="223"/>
      <c r="DU2575" s="223"/>
      <c r="DV2575" s="223"/>
      <c r="DW2575" s="223"/>
      <c r="DX2575" s="223"/>
      <c r="DY2575" s="223"/>
      <c r="DZ2575" s="223"/>
      <c r="EA2575" s="223"/>
      <c r="EB2575" s="223"/>
      <c r="EC2575" s="223"/>
      <c r="ED2575" s="223"/>
      <c r="EE2575" s="223"/>
      <c r="EF2575" s="223"/>
      <c r="EG2575" s="223"/>
      <c r="EH2575" s="223"/>
      <c r="EI2575" s="223"/>
      <c r="EJ2575" s="223"/>
      <c r="EK2575" s="223"/>
      <c r="EL2575" s="223"/>
      <c r="EM2575" s="223"/>
      <c r="EN2575" s="223"/>
      <c r="EO2575" s="223"/>
      <c r="EP2575" s="223"/>
      <c r="EQ2575" s="223"/>
      <c r="ER2575" s="223"/>
      <c r="ES2575" s="223"/>
      <c r="ET2575" s="223"/>
      <c r="EU2575" s="223"/>
      <c r="EV2575" s="223"/>
      <c r="EW2575" s="223"/>
      <c r="EX2575" s="223"/>
      <c r="EY2575" s="223"/>
      <c r="EZ2575" s="223"/>
      <c r="FA2575" s="223"/>
      <c r="FB2575" s="223"/>
      <c r="FC2575" s="223"/>
      <c r="FD2575" s="223"/>
      <c r="FE2575" s="223"/>
      <c r="FF2575" s="223"/>
      <c r="FG2575" s="223"/>
      <c r="FH2575" s="223"/>
      <c r="FI2575" s="223"/>
      <c r="FJ2575" s="223"/>
      <c r="FK2575" s="223"/>
      <c r="FL2575" s="223"/>
      <c r="FM2575" s="223"/>
      <c r="FN2575" s="223"/>
      <c r="FO2575" s="223"/>
      <c r="FP2575" s="223"/>
      <c r="FQ2575" s="223"/>
      <c r="FR2575" s="223"/>
      <c r="FS2575" s="223"/>
      <c r="FT2575" s="223"/>
      <c r="FU2575" s="223"/>
      <c r="FV2575" s="223"/>
      <c r="FW2575" s="223"/>
      <c r="FX2575" s="223"/>
      <c r="FY2575" s="223"/>
      <c r="FZ2575" s="223"/>
      <c r="GA2575" s="223"/>
      <c r="GB2575" s="223"/>
      <c r="GC2575" s="223"/>
      <c r="GD2575" s="223"/>
      <c r="GE2575" s="223"/>
      <c r="GF2575" s="223"/>
      <c r="GG2575" s="223"/>
      <c r="GH2575" s="223"/>
      <c r="GI2575" s="223"/>
      <c r="GJ2575" s="223"/>
      <c r="GK2575" s="223"/>
      <c r="GL2575" s="223"/>
      <c r="GM2575" s="223"/>
      <c r="GN2575" s="223"/>
      <c r="GO2575" s="223"/>
      <c r="GP2575" s="223"/>
      <c r="GQ2575" s="223"/>
      <c r="GR2575" s="223"/>
      <c r="GS2575" s="223"/>
      <c r="GT2575" s="223"/>
      <c r="GU2575" s="223"/>
      <c r="GV2575" s="223"/>
      <c r="GW2575" s="223"/>
      <c r="GX2575" s="223"/>
      <c r="GY2575" s="223"/>
      <c r="GZ2575" s="223"/>
      <c r="HA2575" s="223"/>
      <c r="HB2575" s="223"/>
      <c r="HC2575" s="223"/>
      <c r="HD2575" s="223"/>
      <c r="HE2575" s="223"/>
      <c r="HF2575" s="223"/>
      <c r="HG2575" s="223"/>
      <c r="HH2575" s="223"/>
      <c r="HI2575" s="223"/>
      <c r="HJ2575" s="223"/>
      <c r="HK2575" s="223"/>
      <c r="HL2575" s="223"/>
      <c r="HM2575" s="223"/>
      <c r="HN2575" s="223"/>
      <c r="HO2575" s="223"/>
      <c r="HP2575" s="223"/>
      <c r="HQ2575" s="223"/>
      <c r="HR2575" s="223"/>
      <c r="HS2575" s="223"/>
      <c r="HT2575" s="223"/>
      <c r="HU2575" s="223"/>
      <c r="HV2575" s="223"/>
      <c r="HW2575" s="223"/>
      <c r="HX2575" s="223"/>
      <c r="HY2575" s="223"/>
      <c r="HZ2575" s="223"/>
      <c r="IA2575" s="223"/>
      <c r="IB2575" s="223"/>
      <c r="IC2575" s="223"/>
      <c r="ID2575" s="223"/>
      <c r="IE2575" s="223"/>
      <c r="IF2575" s="223"/>
      <c r="IG2575" s="223"/>
      <c r="IH2575" s="223"/>
      <c r="II2575" s="223"/>
      <c r="IJ2575" s="223"/>
      <c r="IK2575" s="223"/>
      <c r="IL2575" s="223"/>
      <c r="IM2575" s="223"/>
      <c r="IN2575" s="223"/>
      <c r="IO2575" s="223"/>
      <c r="IP2575" s="223"/>
      <c r="IQ2575" s="223"/>
      <c r="IR2575" s="223"/>
      <c r="IS2575" s="223"/>
      <c r="IT2575" s="223"/>
      <c r="IU2575" s="223"/>
      <c r="IV2575" s="223"/>
    </row>
    <row r="2576" spans="22:256" s="221" customFormat="1" x14ac:dyDescent="0.2">
      <c r="V2576" s="223"/>
      <c r="W2576" s="223"/>
      <c r="X2576" s="223"/>
      <c r="Y2576" s="223"/>
      <c r="Z2576" s="223"/>
      <c r="AA2576" s="223"/>
      <c r="AB2576" s="223"/>
      <c r="AC2576" s="223"/>
      <c r="AD2576" s="223"/>
      <c r="AE2576" s="223"/>
      <c r="AF2576" s="223"/>
      <c r="AG2576" s="223"/>
      <c r="AH2576" s="223"/>
      <c r="AI2576" s="223"/>
      <c r="AJ2576" s="223"/>
      <c r="AK2576" s="223"/>
      <c r="AL2576" s="223"/>
      <c r="AM2576" s="223"/>
      <c r="AN2576" s="223"/>
      <c r="AO2576" s="223"/>
      <c r="AP2576" s="223"/>
      <c r="AQ2576" s="223"/>
      <c r="AR2576" s="223"/>
      <c r="AS2576" s="223"/>
      <c r="AT2576" s="324"/>
      <c r="AU2576" s="324"/>
      <c r="AV2576" s="223"/>
      <c r="AW2576" s="223"/>
      <c r="AX2576" s="223"/>
      <c r="AY2576" s="223"/>
      <c r="AZ2576" s="223"/>
      <c r="BA2576" s="223"/>
      <c r="BB2576" s="223"/>
      <c r="BC2576" s="223"/>
      <c r="BD2576" s="223"/>
      <c r="BE2576" s="223"/>
      <c r="BF2576" s="223"/>
      <c r="BG2576" s="223"/>
      <c r="BH2576" s="223"/>
      <c r="BI2576" s="223"/>
      <c r="BJ2576" s="223"/>
      <c r="BK2576" s="223"/>
      <c r="BL2576" s="223"/>
      <c r="BM2576" s="223"/>
      <c r="BN2576" s="223"/>
      <c r="BO2576" s="223"/>
      <c r="BP2576" s="223"/>
      <c r="BQ2576" s="223"/>
      <c r="BR2576" s="223"/>
      <c r="BS2576" s="223"/>
      <c r="BT2576" s="223"/>
      <c r="BU2576" s="223"/>
      <c r="BV2576" s="223"/>
      <c r="BW2576" s="223"/>
      <c r="BX2576" s="223"/>
      <c r="BY2576" s="223"/>
      <c r="BZ2576" s="223"/>
      <c r="CA2576" s="223"/>
      <c r="CB2576" s="223"/>
      <c r="CC2576" s="223"/>
      <c r="CD2576" s="223"/>
      <c r="CE2576" s="223"/>
      <c r="CF2576" s="223"/>
      <c r="CG2576" s="223"/>
      <c r="CH2576" s="223"/>
      <c r="CI2576" s="223"/>
      <c r="CJ2576" s="223"/>
      <c r="CK2576" s="223"/>
      <c r="CL2576" s="223"/>
      <c r="CM2576" s="223"/>
      <c r="CN2576" s="223"/>
      <c r="CO2576" s="223"/>
      <c r="CP2576" s="223"/>
      <c r="CQ2576" s="223"/>
      <c r="CR2576" s="223"/>
      <c r="CS2576" s="223"/>
      <c r="CT2576" s="223"/>
      <c r="CU2576" s="223"/>
      <c r="CV2576" s="223"/>
      <c r="CW2576" s="223"/>
      <c r="CX2576" s="223"/>
      <c r="CY2576" s="223"/>
      <c r="CZ2576" s="223"/>
      <c r="DA2576" s="223"/>
      <c r="DB2576" s="223"/>
      <c r="DC2576" s="223"/>
      <c r="DD2576" s="223"/>
      <c r="DE2576" s="223"/>
      <c r="DF2576" s="223"/>
      <c r="DG2576" s="223"/>
      <c r="DH2576" s="223"/>
      <c r="DI2576" s="223"/>
      <c r="DJ2576" s="223"/>
      <c r="DK2576" s="223"/>
      <c r="DL2576" s="223"/>
      <c r="DM2576" s="223"/>
      <c r="DN2576" s="223"/>
      <c r="DO2576" s="223"/>
      <c r="DP2576" s="223"/>
      <c r="DQ2576" s="223"/>
      <c r="DR2576" s="223"/>
      <c r="DS2576" s="223"/>
      <c r="DT2576" s="223"/>
      <c r="DU2576" s="223"/>
      <c r="DV2576" s="223"/>
      <c r="DW2576" s="223"/>
      <c r="DX2576" s="223"/>
      <c r="DY2576" s="223"/>
      <c r="DZ2576" s="223"/>
      <c r="EA2576" s="223"/>
      <c r="EB2576" s="223"/>
      <c r="EC2576" s="223"/>
      <c r="ED2576" s="223"/>
      <c r="EE2576" s="223"/>
      <c r="EF2576" s="223"/>
      <c r="EG2576" s="223"/>
      <c r="EH2576" s="223"/>
      <c r="EI2576" s="223"/>
      <c r="EJ2576" s="223"/>
      <c r="EK2576" s="223"/>
      <c r="EL2576" s="223"/>
      <c r="EM2576" s="223"/>
      <c r="EN2576" s="223"/>
      <c r="EO2576" s="223"/>
      <c r="EP2576" s="223"/>
      <c r="EQ2576" s="223"/>
      <c r="ER2576" s="223"/>
      <c r="ES2576" s="223"/>
      <c r="ET2576" s="223"/>
      <c r="EU2576" s="223"/>
      <c r="EV2576" s="223"/>
      <c r="EW2576" s="223"/>
      <c r="EX2576" s="223"/>
      <c r="EY2576" s="223"/>
      <c r="EZ2576" s="223"/>
      <c r="FA2576" s="223"/>
      <c r="FB2576" s="223"/>
      <c r="FC2576" s="223"/>
      <c r="FD2576" s="223"/>
      <c r="FE2576" s="223"/>
      <c r="FF2576" s="223"/>
      <c r="FG2576" s="223"/>
      <c r="FH2576" s="223"/>
      <c r="FI2576" s="223"/>
      <c r="FJ2576" s="223"/>
      <c r="FK2576" s="223"/>
      <c r="FL2576" s="223"/>
      <c r="FM2576" s="223"/>
      <c r="FN2576" s="223"/>
      <c r="FO2576" s="223"/>
      <c r="FP2576" s="223"/>
      <c r="FQ2576" s="223"/>
      <c r="FR2576" s="223"/>
      <c r="FS2576" s="223"/>
      <c r="FT2576" s="223"/>
      <c r="FU2576" s="223"/>
      <c r="FV2576" s="223"/>
      <c r="FW2576" s="223"/>
      <c r="FX2576" s="223"/>
      <c r="FY2576" s="223"/>
      <c r="FZ2576" s="223"/>
      <c r="GA2576" s="223"/>
      <c r="GB2576" s="223"/>
      <c r="GC2576" s="223"/>
      <c r="GD2576" s="223"/>
      <c r="GE2576" s="223"/>
      <c r="GF2576" s="223"/>
      <c r="GG2576" s="223"/>
      <c r="GH2576" s="223"/>
      <c r="GI2576" s="223"/>
      <c r="GJ2576" s="223"/>
      <c r="GK2576" s="223"/>
      <c r="GL2576" s="223"/>
      <c r="GM2576" s="223"/>
      <c r="GN2576" s="223"/>
      <c r="GO2576" s="223"/>
      <c r="GP2576" s="223"/>
      <c r="GQ2576" s="223"/>
      <c r="GR2576" s="223"/>
      <c r="GS2576" s="223"/>
      <c r="GT2576" s="223"/>
      <c r="GU2576" s="223"/>
      <c r="GV2576" s="223"/>
      <c r="GW2576" s="223"/>
      <c r="GX2576" s="223"/>
      <c r="GY2576" s="223"/>
      <c r="GZ2576" s="223"/>
      <c r="HA2576" s="223"/>
      <c r="HB2576" s="223"/>
      <c r="HC2576" s="223"/>
      <c r="HD2576" s="223"/>
      <c r="HE2576" s="223"/>
      <c r="HF2576" s="223"/>
      <c r="HG2576" s="223"/>
      <c r="HH2576" s="223"/>
      <c r="HI2576" s="223"/>
      <c r="HJ2576" s="223"/>
      <c r="HK2576" s="223"/>
      <c r="HL2576" s="223"/>
      <c r="HM2576" s="223"/>
      <c r="HN2576" s="223"/>
      <c r="HO2576" s="223"/>
      <c r="HP2576" s="223"/>
      <c r="HQ2576" s="223"/>
      <c r="HR2576" s="223"/>
      <c r="HS2576" s="223"/>
      <c r="HT2576" s="223"/>
      <c r="HU2576" s="223"/>
      <c r="HV2576" s="223"/>
      <c r="HW2576" s="223"/>
      <c r="HX2576" s="223"/>
      <c r="HY2576" s="223"/>
      <c r="HZ2576" s="223"/>
      <c r="IA2576" s="223"/>
      <c r="IB2576" s="223"/>
      <c r="IC2576" s="223"/>
      <c r="ID2576" s="223"/>
      <c r="IE2576" s="223"/>
      <c r="IF2576" s="223"/>
      <c r="IG2576" s="223"/>
      <c r="IH2576" s="223"/>
      <c r="II2576" s="223"/>
      <c r="IJ2576" s="223"/>
      <c r="IK2576" s="223"/>
      <c r="IL2576" s="223"/>
      <c r="IM2576" s="223"/>
      <c r="IN2576" s="223"/>
      <c r="IO2576" s="223"/>
      <c r="IP2576" s="223"/>
      <c r="IQ2576" s="223"/>
      <c r="IR2576" s="223"/>
      <c r="IS2576" s="223"/>
      <c r="IT2576" s="223"/>
      <c r="IU2576" s="223"/>
      <c r="IV2576" s="223"/>
    </row>
    <row r="2577" spans="1:256" s="221" customFormat="1" x14ac:dyDescent="0.2">
      <c r="V2577" s="223"/>
      <c r="W2577" s="223"/>
      <c r="X2577" s="223"/>
      <c r="Y2577" s="223"/>
      <c r="Z2577" s="223"/>
      <c r="AA2577" s="223"/>
      <c r="AB2577" s="223"/>
      <c r="AC2577" s="223"/>
      <c r="AD2577" s="223"/>
      <c r="AE2577" s="223"/>
      <c r="AF2577" s="223"/>
      <c r="AG2577" s="223"/>
      <c r="AH2577" s="223"/>
      <c r="AI2577" s="223"/>
      <c r="AJ2577" s="223"/>
      <c r="AK2577" s="223"/>
      <c r="AL2577" s="223"/>
      <c r="AM2577" s="223"/>
      <c r="AN2577" s="223"/>
      <c r="AO2577" s="223"/>
      <c r="AP2577" s="223"/>
      <c r="AQ2577" s="223"/>
      <c r="AR2577" s="223"/>
      <c r="AS2577" s="223"/>
      <c r="AT2577" s="324"/>
      <c r="AU2577" s="324"/>
      <c r="AV2577" s="223"/>
      <c r="AW2577" s="223"/>
      <c r="AX2577" s="223"/>
      <c r="AY2577" s="223"/>
      <c r="AZ2577" s="223"/>
      <c r="BA2577" s="223"/>
      <c r="BB2577" s="223"/>
      <c r="BC2577" s="223"/>
      <c r="BD2577" s="223"/>
      <c r="BE2577" s="223"/>
      <c r="BF2577" s="223"/>
      <c r="BG2577" s="223"/>
      <c r="BH2577" s="223"/>
      <c r="BI2577" s="223"/>
      <c r="BJ2577" s="223"/>
      <c r="BK2577" s="223"/>
      <c r="BL2577" s="223"/>
      <c r="BM2577" s="223"/>
      <c r="BN2577" s="223"/>
      <c r="BO2577" s="223"/>
      <c r="BP2577" s="223"/>
      <c r="BQ2577" s="223"/>
      <c r="BR2577" s="223"/>
      <c r="BS2577" s="223"/>
      <c r="BT2577" s="223"/>
      <c r="BU2577" s="223"/>
      <c r="BV2577" s="223"/>
      <c r="BW2577" s="223"/>
      <c r="BX2577" s="223"/>
      <c r="BY2577" s="223"/>
      <c r="BZ2577" s="223"/>
      <c r="CA2577" s="223"/>
      <c r="CB2577" s="223"/>
      <c r="CC2577" s="223"/>
      <c r="CD2577" s="223"/>
      <c r="CE2577" s="223"/>
      <c r="CF2577" s="223"/>
      <c r="CG2577" s="223"/>
      <c r="CH2577" s="223"/>
      <c r="CI2577" s="223"/>
      <c r="CJ2577" s="223"/>
      <c r="CK2577" s="223"/>
      <c r="CL2577" s="223"/>
      <c r="CM2577" s="223"/>
      <c r="CN2577" s="223"/>
      <c r="CO2577" s="223"/>
      <c r="CP2577" s="223"/>
      <c r="CQ2577" s="223"/>
      <c r="CR2577" s="223"/>
      <c r="CS2577" s="223"/>
      <c r="CT2577" s="223"/>
      <c r="CU2577" s="223"/>
      <c r="CV2577" s="223"/>
      <c r="CW2577" s="223"/>
      <c r="CX2577" s="223"/>
      <c r="CY2577" s="223"/>
      <c r="CZ2577" s="223"/>
      <c r="DA2577" s="223"/>
      <c r="DB2577" s="223"/>
      <c r="DC2577" s="223"/>
      <c r="DD2577" s="223"/>
      <c r="DE2577" s="223"/>
      <c r="DF2577" s="223"/>
      <c r="DG2577" s="223"/>
      <c r="DH2577" s="223"/>
      <c r="DI2577" s="223"/>
      <c r="DJ2577" s="223"/>
      <c r="DK2577" s="223"/>
      <c r="DL2577" s="223"/>
      <c r="DM2577" s="223"/>
      <c r="DN2577" s="223"/>
      <c r="DO2577" s="223"/>
      <c r="DP2577" s="223"/>
      <c r="DQ2577" s="223"/>
      <c r="DR2577" s="223"/>
      <c r="DS2577" s="223"/>
      <c r="DT2577" s="223"/>
      <c r="DU2577" s="223"/>
      <c r="DV2577" s="223"/>
      <c r="DW2577" s="223"/>
      <c r="DX2577" s="223"/>
      <c r="DY2577" s="223"/>
      <c r="DZ2577" s="223"/>
      <c r="EA2577" s="223"/>
      <c r="EB2577" s="223"/>
      <c r="EC2577" s="223"/>
      <c r="ED2577" s="223"/>
      <c r="EE2577" s="223"/>
      <c r="EF2577" s="223"/>
      <c r="EG2577" s="223"/>
      <c r="EH2577" s="223"/>
      <c r="EI2577" s="223"/>
      <c r="EJ2577" s="223"/>
      <c r="EK2577" s="223"/>
      <c r="EL2577" s="223"/>
      <c r="EM2577" s="223"/>
      <c r="EN2577" s="223"/>
      <c r="EO2577" s="223"/>
      <c r="EP2577" s="223"/>
      <c r="EQ2577" s="223"/>
      <c r="ER2577" s="223"/>
      <c r="ES2577" s="223"/>
      <c r="ET2577" s="223"/>
      <c r="EU2577" s="223"/>
      <c r="EV2577" s="223"/>
      <c r="EW2577" s="223"/>
      <c r="EX2577" s="223"/>
      <c r="EY2577" s="223"/>
      <c r="EZ2577" s="223"/>
      <c r="FA2577" s="223"/>
      <c r="FB2577" s="223"/>
      <c r="FC2577" s="223"/>
      <c r="FD2577" s="223"/>
      <c r="FE2577" s="223"/>
      <c r="FF2577" s="223"/>
      <c r="FG2577" s="223"/>
      <c r="FH2577" s="223"/>
      <c r="FI2577" s="223"/>
      <c r="FJ2577" s="223"/>
      <c r="FK2577" s="223"/>
      <c r="FL2577" s="223"/>
      <c r="FM2577" s="223"/>
      <c r="FN2577" s="223"/>
      <c r="FO2577" s="223"/>
      <c r="FP2577" s="223"/>
      <c r="FQ2577" s="223"/>
      <c r="FR2577" s="223"/>
      <c r="FS2577" s="223"/>
      <c r="FT2577" s="223"/>
      <c r="FU2577" s="223"/>
      <c r="FV2577" s="223"/>
      <c r="FW2577" s="223"/>
      <c r="FX2577" s="223"/>
      <c r="FY2577" s="223"/>
      <c r="FZ2577" s="223"/>
      <c r="GA2577" s="223"/>
      <c r="GB2577" s="223"/>
      <c r="GC2577" s="223"/>
      <c r="GD2577" s="223"/>
      <c r="GE2577" s="223"/>
      <c r="GF2577" s="223"/>
      <c r="GG2577" s="223"/>
      <c r="GH2577" s="223"/>
      <c r="GI2577" s="223"/>
      <c r="GJ2577" s="223"/>
      <c r="GK2577" s="223"/>
      <c r="GL2577" s="223"/>
      <c r="GM2577" s="223"/>
      <c r="GN2577" s="223"/>
      <c r="GO2577" s="223"/>
      <c r="GP2577" s="223"/>
      <c r="GQ2577" s="223"/>
      <c r="GR2577" s="223"/>
      <c r="GS2577" s="223"/>
      <c r="GT2577" s="223"/>
      <c r="GU2577" s="223"/>
      <c r="GV2577" s="223"/>
      <c r="GW2577" s="223"/>
      <c r="GX2577" s="223"/>
      <c r="GY2577" s="223"/>
      <c r="GZ2577" s="223"/>
      <c r="HA2577" s="223"/>
      <c r="HB2577" s="223"/>
      <c r="HC2577" s="223"/>
      <c r="HD2577" s="223"/>
      <c r="HE2577" s="223"/>
      <c r="HF2577" s="223"/>
      <c r="HG2577" s="223"/>
      <c r="HH2577" s="223"/>
      <c r="HI2577" s="223"/>
      <c r="HJ2577" s="223"/>
      <c r="HK2577" s="223"/>
      <c r="HL2577" s="223"/>
      <c r="HM2577" s="223"/>
      <c r="HN2577" s="223"/>
      <c r="HO2577" s="223"/>
      <c r="HP2577" s="223"/>
      <c r="HQ2577" s="223"/>
      <c r="HR2577" s="223"/>
      <c r="HS2577" s="223"/>
      <c r="HT2577" s="223"/>
      <c r="HU2577" s="223"/>
      <c r="HV2577" s="223"/>
      <c r="HW2577" s="223"/>
      <c r="HX2577" s="223"/>
      <c r="HY2577" s="223"/>
      <c r="HZ2577" s="223"/>
      <c r="IA2577" s="223"/>
      <c r="IB2577" s="223"/>
      <c r="IC2577" s="223"/>
      <c r="ID2577" s="223"/>
      <c r="IE2577" s="223"/>
      <c r="IF2577" s="223"/>
      <c r="IG2577" s="223"/>
      <c r="IH2577" s="223"/>
      <c r="II2577" s="223"/>
      <c r="IJ2577" s="223"/>
      <c r="IK2577" s="223"/>
      <c r="IL2577" s="223"/>
      <c r="IM2577" s="223"/>
      <c r="IN2577" s="223"/>
      <c r="IO2577" s="223"/>
      <c r="IP2577" s="223"/>
      <c r="IQ2577" s="223"/>
      <c r="IR2577" s="223"/>
      <c r="IS2577" s="223"/>
      <c r="IT2577" s="223"/>
      <c r="IU2577" s="223"/>
      <c r="IV2577" s="223"/>
    </row>
    <row r="2578" spans="1:256" s="221" customFormat="1" x14ac:dyDescent="0.2">
      <c r="V2578" s="223"/>
      <c r="W2578" s="223"/>
      <c r="X2578" s="223"/>
      <c r="Y2578" s="223"/>
      <c r="Z2578" s="223"/>
      <c r="AA2578" s="223"/>
      <c r="AB2578" s="223"/>
      <c r="AC2578" s="223"/>
      <c r="AD2578" s="223"/>
      <c r="AE2578" s="223"/>
      <c r="AF2578" s="223"/>
      <c r="AG2578" s="223"/>
      <c r="AH2578" s="223"/>
      <c r="AI2578" s="223"/>
      <c r="AJ2578" s="223"/>
      <c r="AK2578" s="223"/>
      <c r="AL2578" s="223"/>
      <c r="AM2578" s="223"/>
      <c r="AN2578" s="223"/>
      <c r="AO2578" s="223"/>
      <c r="AP2578" s="223"/>
      <c r="AQ2578" s="223"/>
      <c r="AR2578" s="223"/>
      <c r="AS2578" s="223"/>
      <c r="AT2578" s="324"/>
      <c r="AU2578" s="324"/>
      <c r="AV2578" s="223"/>
      <c r="AW2578" s="223"/>
      <c r="AX2578" s="223"/>
      <c r="AY2578" s="223"/>
      <c r="AZ2578" s="223"/>
      <c r="BA2578" s="223"/>
      <c r="BB2578" s="223"/>
      <c r="BC2578" s="223"/>
      <c r="BD2578" s="223"/>
      <c r="BE2578" s="223"/>
      <c r="BF2578" s="223"/>
      <c r="BG2578" s="223"/>
      <c r="BH2578" s="223"/>
      <c r="BI2578" s="223"/>
      <c r="BJ2578" s="223"/>
      <c r="BK2578" s="223"/>
      <c r="BL2578" s="223"/>
      <c r="BM2578" s="223"/>
      <c r="BN2578" s="223"/>
      <c r="BO2578" s="223"/>
      <c r="BP2578" s="223"/>
      <c r="BQ2578" s="223"/>
      <c r="BR2578" s="223"/>
      <c r="BS2578" s="223"/>
      <c r="BT2578" s="223"/>
      <c r="BU2578" s="223"/>
      <c r="BV2578" s="223"/>
      <c r="BW2578" s="223"/>
      <c r="BX2578" s="223"/>
      <c r="BY2578" s="223"/>
      <c r="BZ2578" s="223"/>
      <c r="CA2578" s="223"/>
      <c r="CB2578" s="223"/>
      <c r="CC2578" s="223"/>
      <c r="CD2578" s="223"/>
      <c r="CE2578" s="223"/>
      <c r="CF2578" s="223"/>
      <c r="CG2578" s="223"/>
      <c r="CH2578" s="223"/>
      <c r="CI2578" s="223"/>
      <c r="CJ2578" s="223"/>
      <c r="CK2578" s="223"/>
      <c r="CL2578" s="223"/>
      <c r="CM2578" s="223"/>
      <c r="CN2578" s="223"/>
      <c r="CO2578" s="223"/>
      <c r="CP2578" s="223"/>
      <c r="CQ2578" s="223"/>
      <c r="CR2578" s="223"/>
      <c r="CS2578" s="223"/>
      <c r="CT2578" s="223"/>
      <c r="CU2578" s="223"/>
      <c r="CV2578" s="223"/>
      <c r="CW2578" s="223"/>
      <c r="CX2578" s="223"/>
      <c r="CY2578" s="223"/>
      <c r="CZ2578" s="223"/>
      <c r="DA2578" s="223"/>
      <c r="DB2578" s="223"/>
      <c r="DC2578" s="223"/>
      <c r="DD2578" s="223"/>
      <c r="DE2578" s="223"/>
      <c r="DF2578" s="223"/>
      <c r="DG2578" s="223"/>
      <c r="DH2578" s="223"/>
      <c r="DI2578" s="223"/>
      <c r="DJ2578" s="223"/>
      <c r="DK2578" s="223"/>
      <c r="DL2578" s="223"/>
      <c r="DM2578" s="223"/>
      <c r="DN2578" s="223"/>
      <c r="DO2578" s="223"/>
      <c r="DP2578" s="223"/>
      <c r="DQ2578" s="223"/>
      <c r="DR2578" s="223"/>
      <c r="DS2578" s="223"/>
      <c r="DT2578" s="223"/>
      <c r="DU2578" s="223"/>
      <c r="DV2578" s="223"/>
      <c r="DW2578" s="223"/>
      <c r="DX2578" s="223"/>
      <c r="DY2578" s="223"/>
      <c r="DZ2578" s="223"/>
      <c r="EA2578" s="223"/>
      <c r="EB2578" s="223"/>
      <c r="EC2578" s="223"/>
      <c r="ED2578" s="223"/>
      <c r="EE2578" s="223"/>
      <c r="EF2578" s="223"/>
      <c r="EG2578" s="223"/>
      <c r="EH2578" s="223"/>
      <c r="EI2578" s="223"/>
      <c r="EJ2578" s="223"/>
      <c r="EK2578" s="223"/>
      <c r="EL2578" s="223"/>
      <c r="EM2578" s="223"/>
      <c r="EN2578" s="223"/>
      <c r="EO2578" s="223"/>
      <c r="EP2578" s="223"/>
      <c r="EQ2578" s="223"/>
      <c r="ER2578" s="223"/>
      <c r="ES2578" s="223"/>
      <c r="ET2578" s="223"/>
      <c r="EU2578" s="223"/>
      <c r="EV2578" s="223"/>
      <c r="EW2578" s="223"/>
      <c r="EX2578" s="223"/>
      <c r="EY2578" s="223"/>
      <c r="EZ2578" s="223"/>
      <c r="FA2578" s="223"/>
      <c r="FB2578" s="223"/>
      <c r="FC2578" s="223"/>
      <c r="FD2578" s="223"/>
      <c r="FE2578" s="223"/>
      <c r="FF2578" s="223"/>
      <c r="FG2578" s="223"/>
      <c r="FH2578" s="223"/>
      <c r="FI2578" s="223"/>
      <c r="FJ2578" s="223"/>
      <c r="FK2578" s="223"/>
      <c r="FL2578" s="223"/>
      <c r="FM2578" s="223"/>
      <c r="FN2578" s="223"/>
      <c r="FO2578" s="223"/>
      <c r="FP2578" s="223"/>
      <c r="FQ2578" s="223"/>
      <c r="FR2578" s="223"/>
      <c r="FS2578" s="223"/>
      <c r="FT2578" s="223"/>
      <c r="FU2578" s="223"/>
      <c r="FV2578" s="223"/>
      <c r="FW2578" s="223"/>
      <c r="FX2578" s="223"/>
      <c r="FY2578" s="223"/>
      <c r="FZ2578" s="223"/>
      <c r="GA2578" s="223"/>
      <c r="GB2578" s="223"/>
      <c r="GC2578" s="223"/>
      <c r="GD2578" s="223"/>
      <c r="GE2578" s="223"/>
      <c r="GF2578" s="223"/>
      <c r="GG2578" s="223"/>
      <c r="GH2578" s="223"/>
      <c r="GI2578" s="223"/>
      <c r="GJ2578" s="223"/>
      <c r="GK2578" s="223"/>
      <c r="GL2578" s="223"/>
      <c r="GM2578" s="223"/>
      <c r="GN2578" s="223"/>
      <c r="GO2578" s="223"/>
      <c r="GP2578" s="223"/>
      <c r="GQ2578" s="223"/>
      <c r="GR2578" s="223"/>
      <c r="GS2578" s="223"/>
      <c r="GT2578" s="223"/>
      <c r="GU2578" s="223"/>
      <c r="GV2578" s="223"/>
      <c r="GW2578" s="223"/>
      <c r="GX2578" s="223"/>
      <c r="GY2578" s="223"/>
      <c r="GZ2578" s="223"/>
      <c r="HA2578" s="223"/>
      <c r="HB2578" s="223"/>
      <c r="HC2578" s="223"/>
      <c r="HD2578" s="223"/>
      <c r="HE2578" s="223"/>
      <c r="HF2578" s="223"/>
      <c r="HG2578" s="223"/>
      <c r="HH2578" s="223"/>
      <c r="HI2578" s="223"/>
      <c r="HJ2578" s="223"/>
      <c r="HK2578" s="223"/>
      <c r="HL2578" s="223"/>
      <c r="HM2578" s="223"/>
      <c r="HN2578" s="223"/>
      <c r="HO2578" s="223"/>
      <c r="HP2578" s="223"/>
      <c r="HQ2578" s="223"/>
      <c r="HR2578" s="223"/>
      <c r="HS2578" s="223"/>
      <c r="HT2578" s="223"/>
      <c r="HU2578" s="223"/>
      <c r="HV2578" s="223"/>
      <c r="HW2578" s="223"/>
      <c r="HX2578" s="223"/>
      <c r="HY2578" s="223"/>
      <c r="HZ2578" s="223"/>
      <c r="IA2578" s="223"/>
      <c r="IB2578" s="223"/>
      <c r="IC2578" s="223"/>
      <c r="ID2578" s="223"/>
      <c r="IE2578" s="223"/>
      <c r="IF2578" s="223"/>
      <c r="IG2578" s="223"/>
      <c r="IH2578" s="223"/>
      <c r="II2578" s="223"/>
      <c r="IJ2578" s="223"/>
      <c r="IK2578" s="223"/>
      <c r="IL2578" s="223"/>
      <c r="IM2578" s="223"/>
      <c r="IN2578" s="223"/>
      <c r="IO2578" s="223"/>
      <c r="IP2578" s="223"/>
      <c r="IQ2578" s="223"/>
      <c r="IR2578" s="223"/>
      <c r="IS2578" s="223"/>
      <c r="IT2578" s="223"/>
      <c r="IU2578" s="223"/>
      <c r="IV2578" s="223"/>
    </row>
    <row r="2579" spans="1:256" s="221" customFormat="1" x14ac:dyDescent="0.2">
      <c r="V2579" s="223"/>
      <c r="W2579" s="223"/>
      <c r="X2579" s="223"/>
      <c r="Y2579" s="223"/>
      <c r="Z2579" s="223"/>
      <c r="AA2579" s="223"/>
      <c r="AB2579" s="223"/>
      <c r="AC2579" s="223"/>
      <c r="AD2579" s="223"/>
      <c r="AE2579" s="223"/>
      <c r="AF2579" s="223"/>
      <c r="AG2579" s="223"/>
      <c r="AH2579" s="223"/>
      <c r="AI2579" s="223"/>
      <c r="AJ2579" s="223"/>
      <c r="AK2579" s="223"/>
      <c r="AL2579" s="223"/>
      <c r="AM2579" s="223"/>
      <c r="AN2579" s="223"/>
      <c r="AO2579" s="223"/>
      <c r="AP2579" s="223"/>
      <c r="AQ2579" s="223"/>
      <c r="AR2579" s="223"/>
      <c r="AS2579" s="223"/>
      <c r="AT2579" s="324"/>
      <c r="AU2579" s="324"/>
      <c r="AV2579" s="223"/>
      <c r="AW2579" s="223"/>
      <c r="AX2579" s="223"/>
      <c r="AY2579" s="223"/>
      <c r="AZ2579" s="223"/>
      <c r="BA2579" s="223"/>
      <c r="BB2579" s="223"/>
      <c r="BC2579" s="223"/>
      <c r="BD2579" s="223"/>
      <c r="BE2579" s="223"/>
      <c r="BF2579" s="223"/>
      <c r="BG2579" s="223"/>
      <c r="BH2579" s="223"/>
      <c r="BI2579" s="223"/>
      <c r="BJ2579" s="223"/>
      <c r="BK2579" s="223"/>
      <c r="BL2579" s="223"/>
      <c r="BM2579" s="223"/>
      <c r="BN2579" s="223"/>
      <c r="BO2579" s="223"/>
      <c r="BP2579" s="223"/>
      <c r="BQ2579" s="223"/>
      <c r="BR2579" s="223"/>
      <c r="BS2579" s="223"/>
      <c r="BT2579" s="223"/>
      <c r="BU2579" s="223"/>
      <c r="BV2579" s="223"/>
      <c r="BW2579" s="223"/>
      <c r="BX2579" s="223"/>
      <c r="BY2579" s="223"/>
      <c r="BZ2579" s="223"/>
      <c r="CA2579" s="223"/>
      <c r="CB2579" s="223"/>
      <c r="CC2579" s="223"/>
      <c r="CD2579" s="223"/>
      <c r="CE2579" s="223"/>
      <c r="CF2579" s="223"/>
      <c r="CG2579" s="223"/>
      <c r="CH2579" s="223"/>
      <c r="CI2579" s="223"/>
      <c r="CJ2579" s="223"/>
      <c r="CK2579" s="223"/>
      <c r="CL2579" s="223"/>
      <c r="CM2579" s="223"/>
      <c r="CN2579" s="223"/>
      <c r="CO2579" s="223"/>
      <c r="CP2579" s="223"/>
      <c r="CQ2579" s="223"/>
      <c r="CR2579" s="223"/>
      <c r="CS2579" s="223"/>
      <c r="CT2579" s="223"/>
      <c r="CU2579" s="223"/>
      <c r="CV2579" s="223"/>
      <c r="CW2579" s="223"/>
      <c r="CX2579" s="223"/>
      <c r="CY2579" s="223"/>
      <c r="CZ2579" s="223"/>
      <c r="DA2579" s="223"/>
      <c r="DB2579" s="223"/>
      <c r="DC2579" s="223"/>
      <c r="DD2579" s="223"/>
      <c r="DE2579" s="223"/>
      <c r="DF2579" s="223"/>
      <c r="DG2579" s="223"/>
      <c r="DH2579" s="223"/>
      <c r="DI2579" s="223"/>
      <c r="DJ2579" s="223"/>
      <c r="DK2579" s="223"/>
      <c r="DL2579" s="223"/>
      <c r="DM2579" s="223"/>
      <c r="DN2579" s="223"/>
      <c r="DO2579" s="223"/>
      <c r="DP2579" s="223"/>
      <c r="DQ2579" s="223"/>
      <c r="DR2579" s="223"/>
      <c r="DS2579" s="223"/>
      <c r="DT2579" s="223"/>
      <c r="DU2579" s="223"/>
      <c r="DV2579" s="223"/>
      <c r="DW2579" s="223"/>
      <c r="DX2579" s="223"/>
      <c r="DY2579" s="223"/>
      <c r="DZ2579" s="223"/>
      <c r="EA2579" s="223"/>
      <c r="EB2579" s="223"/>
      <c r="EC2579" s="223"/>
      <c r="ED2579" s="223"/>
      <c r="EE2579" s="223"/>
      <c r="EF2579" s="223"/>
      <c r="EG2579" s="223"/>
      <c r="EH2579" s="223"/>
      <c r="EI2579" s="223"/>
      <c r="EJ2579" s="223"/>
      <c r="EK2579" s="223"/>
      <c r="EL2579" s="223"/>
      <c r="EM2579" s="223"/>
      <c r="EN2579" s="223"/>
      <c r="EO2579" s="223"/>
      <c r="EP2579" s="223"/>
      <c r="EQ2579" s="223"/>
      <c r="ER2579" s="223"/>
      <c r="ES2579" s="223"/>
      <c r="ET2579" s="223"/>
      <c r="EU2579" s="223"/>
      <c r="EV2579" s="223"/>
      <c r="EW2579" s="223"/>
      <c r="EX2579" s="223"/>
      <c r="EY2579" s="223"/>
      <c r="EZ2579" s="223"/>
      <c r="FA2579" s="223"/>
      <c r="FB2579" s="223"/>
      <c r="FC2579" s="223"/>
      <c r="FD2579" s="223"/>
      <c r="FE2579" s="223"/>
      <c r="FF2579" s="223"/>
      <c r="FG2579" s="223"/>
      <c r="FH2579" s="223"/>
      <c r="FI2579" s="223"/>
      <c r="FJ2579" s="223"/>
      <c r="FK2579" s="223"/>
      <c r="FL2579" s="223"/>
      <c r="FM2579" s="223"/>
      <c r="FN2579" s="223"/>
      <c r="FO2579" s="223"/>
      <c r="FP2579" s="223"/>
      <c r="FQ2579" s="223"/>
      <c r="FR2579" s="223"/>
      <c r="FS2579" s="223"/>
      <c r="FT2579" s="223"/>
      <c r="FU2579" s="223"/>
      <c r="FV2579" s="223"/>
      <c r="FW2579" s="223"/>
      <c r="FX2579" s="223"/>
      <c r="FY2579" s="223"/>
      <c r="FZ2579" s="223"/>
      <c r="GA2579" s="223"/>
      <c r="GB2579" s="223"/>
      <c r="GC2579" s="223"/>
      <c r="GD2579" s="223"/>
      <c r="GE2579" s="223"/>
      <c r="GF2579" s="223"/>
      <c r="GG2579" s="223"/>
      <c r="GH2579" s="223"/>
      <c r="GI2579" s="223"/>
      <c r="GJ2579" s="223"/>
      <c r="GK2579" s="223"/>
      <c r="GL2579" s="223"/>
      <c r="GM2579" s="223"/>
      <c r="GN2579" s="223"/>
      <c r="GO2579" s="223"/>
      <c r="GP2579" s="223"/>
      <c r="GQ2579" s="223"/>
      <c r="GR2579" s="223"/>
      <c r="GS2579" s="223"/>
      <c r="GT2579" s="223"/>
      <c r="GU2579" s="223"/>
      <c r="GV2579" s="223"/>
      <c r="GW2579" s="223"/>
      <c r="GX2579" s="223"/>
      <c r="GY2579" s="223"/>
      <c r="GZ2579" s="223"/>
      <c r="HA2579" s="223"/>
      <c r="HB2579" s="223"/>
      <c r="HC2579" s="223"/>
      <c r="HD2579" s="223"/>
      <c r="HE2579" s="223"/>
      <c r="HF2579" s="223"/>
      <c r="HG2579" s="223"/>
      <c r="HH2579" s="223"/>
      <c r="HI2579" s="223"/>
      <c r="HJ2579" s="223"/>
      <c r="HK2579" s="223"/>
      <c r="HL2579" s="223"/>
      <c r="HM2579" s="223"/>
      <c r="HN2579" s="223"/>
      <c r="HO2579" s="223"/>
      <c r="HP2579" s="223"/>
      <c r="HQ2579" s="223"/>
      <c r="HR2579" s="223"/>
      <c r="HS2579" s="223"/>
      <c r="HT2579" s="223"/>
      <c r="HU2579" s="223"/>
      <c r="HV2579" s="223"/>
      <c r="HW2579" s="223"/>
      <c r="HX2579" s="223"/>
      <c r="HY2579" s="223"/>
      <c r="HZ2579" s="223"/>
      <c r="IA2579" s="223"/>
      <c r="IB2579" s="223"/>
      <c r="IC2579" s="223"/>
      <c r="ID2579" s="223"/>
      <c r="IE2579" s="223"/>
      <c r="IF2579" s="223"/>
      <c r="IG2579" s="223"/>
      <c r="IH2579" s="223"/>
      <c r="II2579" s="223"/>
      <c r="IJ2579" s="223"/>
      <c r="IK2579" s="223"/>
      <c r="IL2579" s="223"/>
      <c r="IM2579" s="223"/>
      <c r="IN2579" s="223"/>
      <c r="IO2579" s="223"/>
      <c r="IP2579" s="223"/>
      <c r="IQ2579" s="223"/>
      <c r="IR2579" s="223"/>
      <c r="IS2579" s="223"/>
      <c r="IT2579" s="223"/>
      <c r="IU2579" s="223"/>
      <c r="IV2579" s="223"/>
    </row>
    <row r="2580" spans="1:256" s="221" customFormat="1" x14ac:dyDescent="0.2">
      <c r="V2580" s="223"/>
      <c r="W2580" s="223"/>
      <c r="X2580" s="223"/>
      <c r="Y2580" s="223"/>
      <c r="Z2580" s="223"/>
      <c r="AA2580" s="223"/>
      <c r="AB2580" s="223"/>
      <c r="AC2580" s="223"/>
      <c r="AD2580" s="223"/>
      <c r="AE2580" s="223"/>
      <c r="AF2580" s="223"/>
      <c r="AG2580" s="223"/>
      <c r="AH2580" s="223"/>
      <c r="AI2580" s="223"/>
      <c r="AJ2580" s="223"/>
      <c r="AK2580" s="223"/>
      <c r="AL2580" s="223"/>
      <c r="AM2580" s="223"/>
      <c r="AN2580" s="223"/>
      <c r="AO2580" s="223"/>
      <c r="AP2580" s="223"/>
      <c r="AQ2580" s="223"/>
      <c r="AR2580" s="223"/>
      <c r="AS2580" s="223"/>
      <c r="AT2580" s="324"/>
      <c r="AU2580" s="324"/>
      <c r="AV2580" s="223"/>
      <c r="AW2580" s="223"/>
      <c r="AX2580" s="223"/>
      <c r="AY2580" s="223"/>
      <c r="AZ2580" s="223"/>
      <c r="BA2580" s="223"/>
      <c r="BB2580" s="223"/>
      <c r="BC2580" s="223"/>
      <c r="BD2580" s="223"/>
      <c r="BE2580" s="223"/>
      <c r="BF2580" s="223"/>
      <c r="BG2580" s="223"/>
      <c r="BH2580" s="223"/>
      <c r="BI2580" s="223"/>
      <c r="BJ2580" s="223"/>
      <c r="BK2580" s="223"/>
      <c r="BL2580" s="223"/>
      <c r="BM2580" s="223"/>
      <c r="BN2580" s="223"/>
      <c r="BO2580" s="223"/>
      <c r="BP2580" s="223"/>
      <c r="BQ2580" s="223"/>
      <c r="BR2580" s="223"/>
      <c r="BS2580" s="223"/>
      <c r="BT2580" s="223"/>
      <c r="BU2580" s="223"/>
      <c r="BV2580" s="223"/>
      <c r="BW2580" s="223"/>
      <c r="BX2580" s="223"/>
      <c r="BY2580" s="223"/>
      <c r="BZ2580" s="223"/>
      <c r="CA2580" s="223"/>
      <c r="CB2580" s="223"/>
      <c r="CC2580" s="223"/>
      <c r="CD2580" s="223"/>
      <c r="CE2580" s="223"/>
      <c r="CF2580" s="223"/>
      <c r="CG2580" s="223"/>
      <c r="CH2580" s="223"/>
      <c r="CI2580" s="223"/>
      <c r="CJ2580" s="223"/>
      <c r="CK2580" s="223"/>
      <c r="CL2580" s="223"/>
      <c r="CM2580" s="223"/>
      <c r="CN2580" s="223"/>
      <c r="CO2580" s="223"/>
      <c r="CP2580" s="223"/>
      <c r="CQ2580" s="223"/>
      <c r="CR2580" s="223"/>
      <c r="CS2580" s="223"/>
      <c r="CT2580" s="223"/>
      <c r="CU2580" s="223"/>
      <c r="CV2580" s="223"/>
      <c r="CW2580" s="223"/>
      <c r="CX2580" s="223"/>
      <c r="CY2580" s="223"/>
      <c r="CZ2580" s="223"/>
      <c r="DA2580" s="223"/>
      <c r="DB2580" s="223"/>
      <c r="DC2580" s="223"/>
      <c r="DD2580" s="223"/>
      <c r="DE2580" s="223"/>
      <c r="DF2580" s="223"/>
      <c r="DG2580" s="223"/>
      <c r="DH2580" s="223"/>
      <c r="DI2580" s="223"/>
      <c r="DJ2580" s="223"/>
      <c r="DK2580" s="223"/>
      <c r="DL2580" s="223"/>
      <c r="DM2580" s="223"/>
      <c r="DN2580" s="223"/>
      <c r="DO2580" s="223"/>
      <c r="DP2580" s="223"/>
      <c r="DQ2580" s="223"/>
      <c r="DR2580" s="223"/>
      <c r="DS2580" s="223"/>
      <c r="DT2580" s="223"/>
      <c r="DU2580" s="223"/>
      <c r="DV2580" s="223"/>
      <c r="DW2580" s="223"/>
      <c r="DX2580" s="223"/>
      <c r="DY2580" s="223"/>
      <c r="DZ2580" s="223"/>
      <c r="EA2580" s="223"/>
      <c r="EB2580" s="223"/>
      <c r="EC2580" s="223"/>
      <c r="ED2580" s="223"/>
      <c r="EE2580" s="223"/>
      <c r="EF2580" s="223"/>
      <c r="EG2580" s="223"/>
      <c r="EH2580" s="223"/>
      <c r="EI2580" s="223"/>
      <c r="EJ2580" s="223"/>
      <c r="EK2580" s="223"/>
      <c r="EL2580" s="223"/>
      <c r="EM2580" s="223"/>
      <c r="EN2580" s="223"/>
      <c r="EO2580" s="223"/>
      <c r="EP2580" s="223"/>
      <c r="EQ2580" s="223"/>
      <c r="ER2580" s="223"/>
      <c r="ES2580" s="223"/>
      <c r="ET2580" s="223"/>
      <c r="EU2580" s="223"/>
      <c r="EV2580" s="223"/>
      <c r="EW2580" s="223"/>
      <c r="EX2580" s="223"/>
      <c r="EY2580" s="223"/>
      <c r="EZ2580" s="223"/>
      <c r="FA2580" s="223"/>
      <c r="FB2580" s="223"/>
      <c r="FC2580" s="223"/>
      <c r="FD2580" s="223"/>
      <c r="FE2580" s="223"/>
      <c r="FF2580" s="223"/>
      <c r="FG2580" s="223"/>
      <c r="FH2580" s="223"/>
      <c r="FI2580" s="223"/>
      <c r="FJ2580" s="223"/>
      <c r="FK2580" s="223"/>
      <c r="FL2580" s="223"/>
      <c r="FM2580" s="223"/>
      <c r="FN2580" s="223"/>
      <c r="FO2580" s="223"/>
      <c r="FP2580" s="223"/>
      <c r="FQ2580" s="223"/>
      <c r="FR2580" s="223"/>
      <c r="FS2580" s="223"/>
      <c r="FT2580" s="223"/>
      <c r="FU2580" s="223"/>
      <c r="FV2580" s="223"/>
      <c r="FW2580" s="223"/>
      <c r="FX2580" s="223"/>
      <c r="FY2580" s="223"/>
      <c r="FZ2580" s="223"/>
      <c r="GA2580" s="223"/>
      <c r="GB2580" s="223"/>
      <c r="GC2580" s="223"/>
      <c r="GD2580" s="223"/>
      <c r="GE2580" s="223"/>
      <c r="GF2580" s="223"/>
      <c r="GG2580" s="223"/>
      <c r="GH2580" s="223"/>
      <c r="GI2580" s="223"/>
      <c r="GJ2580" s="223"/>
      <c r="GK2580" s="223"/>
      <c r="GL2580" s="223"/>
      <c r="GM2580" s="223"/>
      <c r="GN2580" s="223"/>
      <c r="GO2580" s="223"/>
      <c r="GP2580" s="223"/>
      <c r="GQ2580" s="223"/>
      <c r="GR2580" s="223"/>
      <c r="GS2580" s="223"/>
      <c r="GT2580" s="223"/>
      <c r="GU2580" s="223"/>
      <c r="GV2580" s="223"/>
      <c r="GW2580" s="223"/>
      <c r="GX2580" s="223"/>
      <c r="GY2580" s="223"/>
      <c r="GZ2580" s="223"/>
      <c r="HA2580" s="223"/>
      <c r="HB2580" s="223"/>
      <c r="HC2580" s="223"/>
      <c r="HD2580" s="223"/>
      <c r="HE2580" s="223"/>
      <c r="HF2580" s="223"/>
      <c r="HG2580" s="223"/>
      <c r="HH2580" s="223"/>
      <c r="HI2580" s="223"/>
      <c r="HJ2580" s="223"/>
      <c r="HK2580" s="223"/>
      <c r="HL2580" s="223"/>
      <c r="HM2580" s="223"/>
      <c r="HN2580" s="223"/>
      <c r="HO2580" s="223"/>
      <c r="HP2580" s="223"/>
      <c r="HQ2580" s="223"/>
      <c r="HR2580" s="223"/>
      <c r="HS2580" s="223"/>
      <c r="HT2580" s="223"/>
      <c r="HU2580" s="223"/>
      <c r="HV2580" s="223"/>
      <c r="HW2580" s="223"/>
      <c r="HX2580" s="223"/>
      <c r="HY2580" s="223"/>
      <c r="HZ2580" s="223"/>
      <c r="IA2580" s="223"/>
      <c r="IB2580" s="223"/>
      <c r="IC2580" s="223"/>
      <c r="ID2580" s="223"/>
      <c r="IE2580" s="223"/>
      <c r="IF2580" s="223"/>
      <c r="IG2580" s="223"/>
      <c r="IH2580" s="223"/>
      <c r="II2580" s="223"/>
      <c r="IJ2580" s="223"/>
      <c r="IK2580" s="223"/>
      <c r="IL2580" s="223"/>
      <c r="IM2580" s="223"/>
      <c r="IN2580" s="223"/>
      <c r="IO2580" s="223"/>
      <c r="IP2580" s="223"/>
      <c r="IQ2580" s="223"/>
      <c r="IR2580" s="223"/>
      <c r="IS2580" s="223"/>
      <c r="IT2580" s="223"/>
      <c r="IU2580" s="223"/>
      <c r="IV2580" s="223"/>
    </row>
    <row r="2581" spans="1:256" s="221" customFormat="1" x14ac:dyDescent="0.2">
      <c r="V2581" s="223"/>
      <c r="W2581" s="223"/>
      <c r="X2581" s="223"/>
      <c r="Y2581" s="223"/>
      <c r="Z2581" s="223"/>
      <c r="AA2581" s="223"/>
      <c r="AB2581" s="223"/>
      <c r="AC2581" s="223"/>
      <c r="AD2581" s="223"/>
      <c r="AE2581" s="223"/>
      <c r="AF2581" s="223"/>
      <c r="AG2581" s="223"/>
      <c r="AH2581" s="223"/>
      <c r="AI2581" s="223"/>
      <c r="AJ2581" s="223"/>
      <c r="AK2581" s="223"/>
      <c r="AL2581" s="223"/>
      <c r="AM2581" s="223"/>
      <c r="AN2581" s="223"/>
      <c r="AO2581" s="223"/>
      <c r="AP2581" s="223"/>
      <c r="AQ2581" s="223"/>
      <c r="AR2581" s="223"/>
      <c r="AS2581" s="223"/>
      <c r="AT2581" s="324"/>
      <c r="AU2581" s="324"/>
      <c r="AV2581" s="223"/>
      <c r="AW2581" s="223"/>
      <c r="AX2581" s="223"/>
      <c r="AY2581" s="223"/>
      <c r="AZ2581" s="223"/>
      <c r="BA2581" s="223"/>
      <c r="BB2581" s="223"/>
      <c r="BC2581" s="223"/>
      <c r="BD2581" s="223"/>
      <c r="BE2581" s="223"/>
      <c r="BF2581" s="223"/>
      <c r="BG2581" s="223"/>
      <c r="BH2581" s="223"/>
      <c r="BI2581" s="223"/>
      <c r="BJ2581" s="223"/>
      <c r="BK2581" s="223"/>
      <c r="BL2581" s="223"/>
      <c r="BM2581" s="223"/>
      <c r="BN2581" s="223"/>
      <c r="BO2581" s="223"/>
      <c r="BP2581" s="223"/>
      <c r="BQ2581" s="223"/>
      <c r="BR2581" s="223"/>
      <c r="BS2581" s="223"/>
      <c r="BT2581" s="223"/>
      <c r="BU2581" s="223"/>
      <c r="BV2581" s="223"/>
      <c r="BW2581" s="223"/>
      <c r="BX2581" s="223"/>
      <c r="BY2581" s="223"/>
      <c r="BZ2581" s="223"/>
      <c r="CA2581" s="223"/>
      <c r="CB2581" s="223"/>
      <c r="CC2581" s="223"/>
      <c r="CD2581" s="223"/>
      <c r="CE2581" s="223"/>
      <c r="CF2581" s="223"/>
      <c r="CG2581" s="223"/>
      <c r="CH2581" s="223"/>
      <c r="CI2581" s="223"/>
      <c r="CJ2581" s="223"/>
      <c r="CK2581" s="223"/>
      <c r="CL2581" s="223"/>
      <c r="CM2581" s="223"/>
      <c r="CN2581" s="223"/>
      <c r="CO2581" s="223"/>
      <c r="CP2581" s="223"/>
      <c r="CQ2581" s="223"/>
      <c r="CR2581" s="223"/>
      <c r="CS2581" s="223"/>
      <c r="CT2581" s="223"/>
      <c r="CU2581" s="223"/>
      <c r="CV2581" s="223"/>
      <c r="CW2581" s="223"/>
      <c r="CX2581" s="223"/>
      <c r="CY2581" s="223"/>
      <c r="CZ2581" s="223"/>
      <c r="DA2581" s="223"/>
      <c r="DB2581" s="223"/>
      <c r="DC2581" s="223"/>
      <c r="DD2581" s="223"/>
      <c r="DE2581" s="223"/>
      <c r="DF2581" s="223"/>
      <c r="DG2581" s="223"/>
      <c r="DH2581" s="223"/>
      <c r="DI2581" s="223"/>
      <c r="DJ2581" s="223"/>
      <c r="DK2581" s="223"/>
      <c r="DL2581" s="223"/>
      <c r="DM2581" s="223"/>
      <c r="DN2581" s="223"/>
      <c r="DO2581" s="223"/>
      <c r="DP2581" s="223"/>
      <c r="DQ2581" s="223"/>
      <c r="DR2581" s="223"/>
      <c r="DS2581" s="223"/>
      <c r="DT2581" s="223"/>
      <c r="DU2581" s="223"/>
      <c r="DV2581" s="223"/>
      <c r="DW2581" s="223"/>
      <c r="DX2581" s="223"/>
      <c r="DY2581" s="223"/>
      <c r="DZ2581" s="223"/>
      <c r="EA2581" s="223"/>
      <c r="EB2581" s="223"/>
      <c r="EC2581" s="223"/>
      <c r="ED2581" s="223"/>
      <c r="EE2581" s="223"/>
      <c r="EF2581" s="223"/>
      <c r="EG2581" s="223"/>
      <c r="EH2581" s="223"/>
      <c r="EI2581" s="223"/>
      <c r="EJ2581" s="223"/>
      <c r="EK2581" s="223"/>
      <c r="EL2581" s="223"/>
      <c r="EM2581" s="223"/>
      <c r="EN2581" s="223"/>
      <c r="EO2581" s="223"/>
      <c r="EP2581" s="223"/>
      <c r="EQ2581" s="223"/>
      <c r="ER2581" s="223"/>
      <c r="ES2581" s="223"/>
      <c r="ET2581" s="223"/>
      <c r="EU2581" s="223"/>
      <c r="EV2581" s="223"/>
      <c r="EW2581" s="223"/>
      <c r="EX2581" s="223"/>
      <c r="EY2581" s="223"/>
      <c r="EZ2581" s="223"/>
      <c r="FA2581" s="223"/>
      <c r="FB2581" s="223"/>
      <c r="FC2581" s="223"/>
      <c r="FD2581" s="223"/>
      <c r="FE2581" s="223"/>
      <c r="FF2581" s="223"/>
      <c r="FG2581" s="223"/>
      <c r="FH2581" s="223"/>
      <c r="FI2581" s="223"/>
      <c r="FJ2581" s="223"/>
      <c r="FK2581" s="223"/>
      <c r="FL2581" s="223"/>
      <c r="FM2581" s="223"/>
      <c r="FN2581" s="223"/>
      <c r="FO2581" s="223"/>
      <c r="FP2581" s="223"/>
      <c r="FQ2581" s="223"/>
      <c r="FR2581" s="223"/>
      <c r="FS2581" s="223"/>
      <c r="FT2581" s="223"/>
      <c r="FU2581" s="223"/>
      <c r="FV2581" s="223"/>
      <c r="FW2581" s="223"/>
      <c r="FX2581" s="223"/>
      <c r="FY2581" s="223"/>
      <c r="FZ2581" s="223"/>
      <c r="GA2581" s="223"/>
      <c r="GB2581" s="223"/>
      <c r="GC2581" s="223"/>
      <c r="GD2581" s="223"/>
      <c r="GE2581" s="223"/>
      <c r="GF2581" s="223"/>
      <c r="GG2581" s="223"/>
      <c r="GH2581" s="223"/>
      <c r="GI2581" s="223"/>
      <c r="GJ2581" s="223"/>
      <c r="GK2581" s="223"/>
      <c r="GL2581" s="223"/>
      <c r="GM2581" s="223"/>
      <c r="GN2581" s="223"/>
      <c r="GO2581" s="223"/>
      <c r="GP2581" s="223"/>
      <c r="GQ2581" s="223"/>
      <c r="GR2581" s="223"/>
      <c r="GS2581" s="223"/>
      <c r="GT2581" s="223"/>
      <c r="GU2581" s="223"/>
      <c r="GV2581" s="223"/>
      <c r="GW2581" s="223"/>
      <c r="GX2581" s="223"/>
      <c r="GY2581" s="223"/>
      <c r="GZ2581" s="223"/>
      <c r="HA2581" s="223"/>
      <c r="HB2581" s="223"/>
      <c r="HC2581" s="223"/>
      <c r="HD2581" s="223"/>
      <c r="HE2581" s="223"/>
      <c r="HF2581" s="223"/>
      <c r="HG2581" s="223"/>
      <c r="HH2581" s="223"/>
      <c r="HI2581" s="223"/>
      <c r="HJ2581" s="223"/>
      <c r="HK2581" s="223"/>
      <c r="HL2581" s="223"/>
      <c r="HM2581" s="223"/>
      <c r="HN2581" s="223"/>
      <c r="HO2581" s="223"/>
      <c r="HP2581" s="223"/>
      <c r="HQ2581" s="223"/>
      <c r="HR2581" s="223"/>
      <c r="HS2581" s="223"/>
      <c r="HT2581" s="223"/>
      <c r="HU2581" s="223"/>
      <c r="HV2581" s="223"/>
      <c r="HW2581" s="223"/>
      <c r="HX2581" s="223"/>
      <c r="HY2581" s="223"/>
      <c r="HZ2581" s="223"/>
      <c r="IA2581" s="223"/>
      <c r="IB2581" s="223"/>
      <c r="IC2581" s="223"/>
      <c r="ID2581" s="223"/>
      <c r="IE2581" s="223"/>
      <c r="IF2581" s="223"/>
      <c r="IG2581" s="223"/>
      <c r="IH2581" s="223"/>
      <c r="II2581" s="223"/>
      <c r="IJ2581" s="223"/>
      <c r="IK2581" s="223"/>
      <c r="IL2581" s="223"/>
      <c r="IM2581" s="223"/>
      <c r="IN2581" s="223"/>
      <c r="IO2581" s="223"/>
      <c r="IP2581" s="223"/>
      <c r="IQ2581" s="223"/>
      <c r="IR2581" s="223"/>
      <c r="IS2581" s="223"/>
      <c r="IT2581" s="223"/>
      <c r="IU2581" s="223"/>
      <c r="IV2581" s="223"/>
    </row>
    <row r="2582" spans="1:256" s="221" customFormat="1" x14ac:dyDescent="0.2">
      <c r="V2582" s="223"/>
      <c r="W2582" s="223"/>
      <c r="X2582" s="223"/>
      <c r="Y2582" s="223"/>
      <c r="Z2582" s="223"/>
      <c r="AA2582" s="223"/>
      <c r="AB2582" s="223"/>
      <c r="AC2582" s="223"/>
      <c r="AD2582" s="223"/>
      <c r="AE2582" s="223"/>
      <c r="AF2582" s="223"/>
      <c r="AG2582" s="223"/>
      <c r="AH2582" s="223"/>
      <c r="AI2582" s="223"/>
      <c r="AJ2582" s="223"/>
      <c r="AK2582" s="223"/>
      <c r="AL2582" s="223"/>
      <c r="AM2582" s="223"/>
      <c r="AN2582" s="223"/>
      <c r="AO2582" s="223"/>
      <c r="AP2582" s="223"/>
      <c r="AQ2582" s="223"/>
      <c r="AR2582" s="223"/>
      <c r="AS2582" s="223"/>
      <c r="AT2582" s="324"/>
      <c r="AU2582" s="324"/>
      <c r="AV2582" s="223"/>
      <c r="AW2582" s="223"/>
      <c r="AX2582" s="223"/>
      <c r="AY2582" s="223"/>
      <c r="AZ2582" s="223"/>
      <c r="BA2582" s="223"/>
      <c r="BB2582" s="223"/>
      <c r="BC2582" s="223"/>
      <c r="BD2582" s="223"/>
      <c r="BE2582" s="223"/>
      <c r="BF2582" s="223"/>
      <c r="BG2582" s="223"/>
      <c r="BH2582" s="223"/>
      <c r="BI2582" s="223"/>
      <c r="BJ2582" s="223"/>
      <c r="BK2582" s="223"/>
      <c r="BL2582" s="223"/>
      <c r="BM2582" s="223"/>
      <c r="BN2582" s="223"/>
      <c r="BO2582" s="223"/>
      <c r="BP2582" s="223"/>
      <c r="BQ2582" s="223"/>
      <c r="BR2582" s="223"/>
      <c r="BS2582" s="223"/>
      <c r="BT2582" s="223"/>
      <c r="BU2582" s="223"/>
      <c r="BV2582" s="223"/>
      <c r="BW2582" s="223"/>
      <c r="BX2582" s="223"/>
      <c r="BY2582" s="223"/>
      <c r="BZ2582" s="223"/>
      <c r="CA2582" s="223"/>
      <c r="CB2582" s="223"/>
      <c r="CC2582" s="223"/>
      <c r="CD2582" s="223"/>
      <c r="CE2582" s="223"/>
      <c r="CF2582" s="223"/>
      <c r="CG2582" s="223"/>
      <c r="CH2582" s="223"/>
      <c r="CI2582" s="223"/>
      <c r="CJ2582" s="223"/>
      <c r="CK2582" s="223"/>
      <c r="CL2582" s="223"/>
      <c r="CM2582" s="223"/>
      <c r="CN2582" s="223"/>
      <c r="CO2582" s="223"/>
      <c r="CP2582" s="223"/>
      <c r="CQ2582" s="223"/>
      <c r="CR2582" s="223"/>
      <c r="CS2582" s="223"/>
      <c r="CT2582" s="223"/>
      <c r="CU2582" s="223"/>
      <c r="CV2582" s="223"/>
      <c r="CW2582" s="223"/>
      <c r="CX2582" s="223"/>
      <c r="CY2582" s="223"/>
      <c r="CZ2582" s="223"/>
      <c r="DA2582" s="223"/>
      <c r="DB2582" s="223"/>
      <c r="DC2582" s="223"/>
      <c r="DD2582" s="223"/>
      <c r="DE2582" s="223"/>
      <c r="DF2582" s="223"/>
      <c r="DG2582" s="223"/>
      <c r="DH2582" s="223"/>
      <c r="DI2582" s="223"/>
      <c r="DJ2582" s="223"/>
      <c r="DK2582" s="223"/>
      <c r="DL2582" s="223"/>
      <c r="DM2582" s="223"/>
      <c r="DN2582" s="223"/>
      <c r="DO2582" s="223"/>
      <c r="DP2582" s="223"/>
      <c r="DQ2582" s="223"/>
      <c r="DR2582" s="223"/>
      <c r="DS2582" s="223"/>
      <c r="DT2582" s="223"/>
      <c r="DU2582" s="223"/>
      <c r="DV2582" s="223"/>
      <c r="DW2582" s="223"/>
      <c r="DX2582" s="223"/>
      <c r="DY2582" s="223"/>
      <c r="DZ2582" s="223"/>
      <c r="EA2582" s="223"/>
      <c r="EB2582" s="223"/>
      <c r="EC2582" s="223"/>
      <c r="ED2582" s="223"/>
      <c r="EE2582" s="223"/>
      <c r="EF2582" s="223"/>
      <c r="EG2582" s="223"/>
      <c r="EH2582" s="223"/>
      <c r="EI2582" s="223"/>
      <c r="EJ2582" s="223"/>
      <c r="EK2582" s="223"/>
      <c r="EL2582" s="223"/>
      <c r="EM2582" s="223"/>
      <c r="EN2582" s="223"/>
      <c r="EO2582" s="223"/>
      <c r="EP2582" s="223"/>
      <c r="EQ2582" s="223"/>
      <c r="ER2582" s="223"/>
      <c r="ES2582" s="223"/>
      <c r="ET2582" s="223"/>
      <c r="EU2582" s="223"/>
      <c r="EV2582" s="223"/>
      <c r="EW2582" s="223"/>
      <c r="EX2582" s="223"/>
      <c r="EY2582" s="223"/>
      <c r="EZ2582" s="223"/>
      <c r="FA2582" s="223"/>
      <c r="FB2582" s="223"/>
      <c r="FC2582" s="223"/>
      <c r="FD2582" s="223"/>
      <c r="FE2582" s="223"/>
      <c r="FF2582" s="223"/>
      <c r="FG2582" s="223"/>
      <c r="FH2582" s="223"/>
      <c r="FI2582" s="223"/>
      <c r="FJ2582" s="223"/>
      <c r="FK2582" s="223"/>
      <c r="FL2582" s="223"/>
      <c r="FM2582" s="223"/>
      <c r="FN2582" s="223"/>
      <c r="FO2582" s="223"/>
      <c r="FP2582" s="223"/>
      <c r="FQ2582" s="223"/>
      <c r="FR2582" s="223"/>
      <c r="FS2582" s="223"/>
      <c r="FT2582" s="223"/>
      <c r="FU2582" s="223"/>
      <c r="FV2582" s="223"/>
      <c r="FW2582" s="223"/>
      <c r="FX2582" s="223"/>
      <c r="FY2582" s="223"/>
      <c r="FZ2582" s="223"/>
      <c r="GA2582" s="223"/>
      <c r="GB2582" s="223"/>
      <c r="GC2582" s="223"/>
      <c r="GD2582" s="223"/>
      <c r="GE2582" s="223"/>
      <c r="GF2582" s="223"/>
      <c r="GG2582" s="223"/>
      <c r="GH2582" s="223"/>
      <c r="GI2582" s="223"/>
      <c r="GJ2582" s="223"/>
      <c r="GK2582" s="223"/>
      <c r="GL2582" s="223"/>
      <c r="GM2582" s="223"/>
      <c r="GN2582" s="223"/>
      <c r="GO2582" s="223"/>
      <c r="GP2582" s="223"/>
      <c r="GQ2582" s="223"/>
      <c r="GR2582" s="223"/>
      <c r="GS2582" s="223"/>
      <c r="GT2582" s="223"/>
      <c r="GU2582" s="223"/>
      <c r="GV2582" s="223"/>
      <c r="GW2582" s="223"/>
      <c r="GX2582" s="223"/>
      <c r="GY2582" s="223"/>
      <c r="GZ2582" s="223"/>
      <c r="HA2582" s="223"/>
      <c r="HB2582" s="223"/>
      <c r="HC2582" s="223"/>
      <c r="HD2582" s="223"/>
      <c r="HE2582" s="223"/>
      <c r="HF2582" s="223"/>
      <c r="HG2582" s="223"/>
      <c r="HH2582" s="223"/>
      <c r="HI2582" s="223"/>
      <c r="HJ2582" s="223"/>
      <c r="HK2582" s="223"/>
      <c r="HL2582" s="223"/>
      <c r="HM2582" s="223"/>
      <c r="HN2582" s="223"/>
      <c r="HO2582" s="223"/>
      <c r="HP2582" s="223"/>
      <c r="HQ2582" s="223"/>
      <c r="HR2582" s="223"/>
      <c r="HS2582" s="223"/>
      <c r="HT2582" s="223"/>
      <c r="HU2582" s="223"/>
      <c r="HV2582" s="223"/>
      <c r="HW2582" s="223"/>
      <c r="HX2582" s="223"/>
      <c r="HY2582" s="223"/>
      <c r="HZ2582" s="223"/>
      <c r="IA2582" s="223"/>
      <c r="IB2582" s="223"/>
      <c r="IC2582" s="223"/>
      <c r="ID2582" s="223"/>
      <c r="IE2582" s="223"/>
      <c r="IF2582" s="223"/>
      <c r="IG2582" s="223"/>
      <c r="IH2582" s="223"/>
      <c r="II2582" s="223"/>
      <c r="IJ2582" s="223"/>
      <c r="IK2582" s="223"/>
      <c r="IL2582" s="223"/>
      <c r="IM2582" s="223"/>
      <c r="IN2582" s="223"/>
      <c r="IO2582" s="223"/>
      <c r="IP2582" s="223"/>
      <c r="IQ2582" s="223"/>
      <c r="IR2582" s="223"/>
      <c r="IS2582" s="223"/>
      <c r="IT2582" s="223"/>
      <c r="IU2582" s="223"/>
      <c r="IV2582" s="223"/>
    </row>
    <row r="2583" spans="1:256" s="221" customFormat="1" x14ac:dyDescent="0.2">
      <c r="V2583" s="223"/>
      <c r="W2583" s="223"/>
      <c r="X2583" s="223"/>
      <c r="Y2583" s="223"/>
      <c r="Z2583" s="223"/>
      <c r="AA2583" s="223"/>
      <c r="AB2583" s="223"/>
      <c r="AC2583" s="223"/>
      <c r="AD2583" s="223"/>
      <c r="AE2583" s="223"/>
      <c r="AF2583" s="223"/>
      <c r="AG2583" s="223"/>
      <c r="AH2583" s="223"/>
      <c r="AI2583" s="223"/>
      <c r="AJ2583" s="223"/>
      <c r="AK2583" s="223"/>
      <c r="AL2583" s="223"/>
      <c r="AM2583" s="223"/>
      <c r="AN2583" s="223"/>
      <c r="AO2583" s="223"/>
      <c r="AP2583" s="223"/>
      <c r="AQ2583" s="223"/>
      <c r="AR2583" s="223"/>
      <c r="AS2583" s="223"/>
      <c r="AT2583" s="324"/>
      <c r="AU2583" s="324"/>
      <c r="AV2583" s="223"/>
      <c r="AW2583" s="223"/>
      <c r="AX2583" s="223"/>
      <c r="AY2583" s="223"/>
      <c r="AZ2583" s="223"/>
      <c r="BA2583" s="223"/>
      <c r="BB2583" s="223"/>
      <c r="BC2583" s="223"/>
      <c r="BD2583" s="223"/>
      <c r="BE2583" s="223"/>
      <c r="BF2583" s="223"/>
      <c r="BG2583" s="223"/>
      <c r="BH2583" s="223"/>
      <c r="BI2583" s="223"/>
      <c r="BJ2583" s="223"/>
      <c r="BK2583" s="223"/>
      <c r="BL2583" s="223"/>
      <c r="BM2583" s="223"/>
      <c r="BN2583" s="223"/>
      <c r="BO2583" s="223"/>
      <c r="BP2583" s="223"/>
      <c r="BQ2583" s="223"/>
      <c r="BR2583" s="223"/>
      <c r="BS2583" s="223"/>
      <c r="BT2583" s="223"/>
      <c r="BU2583" s="223"/>
      <c r="BV2583" s="223"/>
      <c r="BW2583" s="223"/>
      <c r="BX2583" s="223"/>
      <c r="BY2583" s="223"/>
      <c r="BZ2583" s="223"/>
      <c r="CA2583" s="223"/>
      <c r="CB2583" s="223"/>
      <c r="CC2583" s="223"/>
      <c r="CD2583" s="223"/>
      <c r="CE2583" s="223"/>
      <c r="CF2583" s="223"/>
      <c r="CG2583" s="223"/>
      <c r="CH2583" s="223"/>
      <c r="CI2583" s="223"/>
      <c r="CJ2583" s="223"/>
      <c r="CK2583" s="223"/>
      <c r="CL2583" s="223"/>
      <c r="CM2583" s="223"/>
      <c r="CN2583" s="223"/>
      <c r="CO2583" s="223"/>
      <c r="CP2583" s="223"/>
      <c r="CQ2583" s="223"/>
      <c r="CR2583" s="223"/>
      <c r="CS2583" s="223"/>
      <c r="CT2583" s="223"/>
      <c r="CU2583" s="223"/>
      <c r="CV2583" s="223"/>
      <c r="CW2583" s="223"/>
      <c r="CX2583" s="223"/>
      <c r="CY2583" s="223"/>
      <c r="CZ2583" s="223"/>
      <c r="DA2583" s="223"/>
      <c r="DB2583" s="223"/>
      <c r="DC2583" s="223"/>
      <c r="DD2583" s="223"/>
      <c r="DE2583" s="223"/>
      <c r="DF2583" s="223"/>
      <c r="DG2583" s="223"/>
      <c r="DH2583" s="223"/>
      <c r="DI2583" s="223"/>
      <c r="DJ2583" s="223"/>
      <c r="DK2583" s="223"/>
      <c r="DL2583" s="223"/>
      <c r="DM2583" s="223"/>
      <c r="DN2583" s="223"/>
      <c r="DO2583" s="223"/>
      <c r="DP2583" s="223"/>
      <c r="DQ2583" s="223"/>
      <c r="DR2583" s="223"/>
      <c r="DS2583" s="223"/>
      <c r="DT2583" s="223"/>
      <c r="DU2583" s="223"/>
      <c r="DV2583" s="223"/>
      <c r="DW2583" s="223"/>
      <c r="DX2583" s="223"/>
      <c r="DY2583" s="223"/>
      <c r="DZ2583" s="223"/>
      <c r="EA2583" s="223"/>
      <c r="EB2583" s="223"/>
      <c r="EC2583" s="223"/>
      <c r="ED2583" s="223"/>
      <c r="EE2583" s="223"/>
      <c r="EF2583" s="223"/>
      <c r="EG2583" s="223"/>
      <c r="EH2583" s="223"/>
      <c r="EI2583" s="223"/>
      <c r="EJ2583" s="223"/>
      <c r="EK2583" s="223"/>
      <c r="EL2583" s="223"/>
      <c r="EM2583" s="223"/>
      <c r="EN2583" s="223"/>
      <c r="EO2583" s="223"/>
      <c r="EP2583" s="223"/>
      <c r="EQ2583" s="223"/>
      <c r="ER2583" s="223"/>
      <c r="ES2583" s="223"/>
      <c r="ET2583" s="223"/>
      <c r="EU2583" s="223"/>
      <c r="EV2583" s="223"/>
      <c r="EW2583" s="223"/>
      <c r="EX2583" s="223"/>
      <c r="EY2583" s="223"/>
      <c r="EZ2583" s="223"/>
      <c r="FA2583" s="223"/>
      <c r="FB2583" s="223"/>
      <c r="FC2583" s="223"/>
      <c r="FD2583" s="223"/>
      <c r="FE2583" s="223"/>
      <c r="FF2583" s="223"/>
      <c r="FG2583" s="223"/>
      <c r="FH2583" s="223"/>
      <c r="FI2583" s="223"/>
      <c r="FJ2583" s="223"/>
      <c r="FK2583" s="223"/>
      <c r="FL2583" s="223"/>
      <c r="FM2583" s="223"/>
      <c r="FN2583" s="223"/>
      <c r="FO2583" s="223"/>
      <c r="FP2583" s="223"/>
      <c r="FQ2583" s="223"/>
      <c r="FR2583" s="223"/>
      <c r="FS2583" s="223"/>
      <c r="FT2583" s="223"/>
      <c r="FU2583" s="223"/>
      <c r="FV2583" s="223"/>
      <c r="FW2583" s="223"/>
      <c r="FX2583" s="223"/>
      <c r="FY2583" s="223"/>
      <c r="FZ2583" s="223"/>
      <c r="GA2583" s="223"/>
      <c r="GB2583" s="223"/>
      <c r="GC2583" s="223"/>
      <c r="GD2583" s="223"/>
      <c r="GE2583" s="223"/>
      <c r="GF2583" s="223"/>
      <c r="GG2583" s="223"/>
      <c r="GH2583" s="223"/>
      <c r="GI2583" s="223"/>
      <c r="GJ2583" s="223"/>
      <c r="GK2583" s="223"/>
      <c r="GL2583" s="223"/>
      <c r="GM2583" s="223"/>
      <c r="GN2583" s="223"/>
      <c r="GO2583" s="223"/>
      <c r="GP2583" s="223"/>
      <c r="GQ2583" s="223"/>
      <c r="GR2583" s="223"/>
      <c r="GS2583" s="223"/>
      <c r="GT2583" s="223"/>
      <c r="GU2583" s="223"/>
      <c r="GV2583" s="223"/>
      <c r="GW2583" s="223"/>
      <c r="GX2583" s="223"/>
      <c r="GY2583" s="223"/>
      <c r="GZ2583" s="223"/>
      <c r="HA2583" s="223"/>
      <c r="HB2583" s="223"/>
      <c r="HC2583" s="223"/>
      <c r="HD2583" s="223"/>
      <c r="HE2583" s="223"/>
      <c r="HF2583" s="223"/>
      <c r="HG2583" s="223"/>
      <c r="HH2583" s="223"/>
      <c r="HI2583" s="223"/>
      <c r="HJ2583" s="223"/>
      <c r="HK2583" s="223"/>
      <c r="HL2583" s="223"/>
      <c r="HM2583" s="223"/>
      <c r="HN2583" s="223"/>
      <c r="HO2583" s="223"/>
      <c r="HP2583" s="223"/>
      <c r="HQ2583" s="223"/>
      <c r="HR2583" s="223"/>
      <c r="HS2583" s="223"/>
      <c r="HT2583" s="223"/>
      <c r="HU2583" s="223"/>
      <c r="HV2583" s="223"/>
      <c r="HW2583" s="223"/>
      <c r="HX2583" s="223"/>
      <c r="HY2583" s="223"/>
      <c r="HZ2583" s="223"/>
      <c r="IA2583" s="223"/>
      <c r="IB2583" s="223"/>
      <c r="IC2583" s="223"/>
      <c r="ID2583" s="223"/>
      <c r="IE2583" s="223"/>
      <c r="IF2583" s="223"/>
      <c r="IG2583" s="223"/>
      <c r="IH2583" s="223"/>
      <c r="II2583" s="223"/>
      <c r="IJ2583" s="223"/>
      <c r="IK2583" s="223"/>
      <c r="IL2583" s="223"/>
      <c r="IM2583" s="223"/>
      <c r="IN2583" s="223"/>
      <c r="IO2583" s="223"/>
      <c r="IP2583" s="223"/>
      <c r="IQ2583" s="223"/>
      <c r="IR2583" s="223"/>
      <c r="IS2583" s="223"/>
      <c r="IT2583" s="223"/>
      <c r="IU2583" s="223"/>
      <c r="IV2583" s="223"/>
    </row>
    <row r="2584" spans="1:256" s="221" customFormat="1" x14ac:dyDescent="0.2">
      <c r="V2584" s="223"/>
      <c r="W2584" s="223"/>
      <c r="X2584" s="223"/>
      <c r="Y2584" s="223"/>
      <c r="Z2584" s="223"/>
      <c r="AA2584" s="223"/>
      <c r="AB2584" s="223"/>
      <c r="AC2584" s="223"/>
      <c r="AD2584" s="223"/>
      <c r="AE2584" s="223"/>
      <c r="AF2584" s="223"/>
      <c r="AG2584" s="223"/>
      <c r="AH2584" s="223"/>
      <c r="AI2584" s="223"/>
      <c r="AJ2584" s="223"/>
      <c r="AK2584" s="223"/>
      <c r="AL2584" s="223"/>
      <c r="AM2584" s="223"/>
      <c r="AN2584" s="223"/>
      <c r="AO2584" s="223"/>
      <c r="AP2584" s="223"/>
      <c r="AQ2584" s="223"/>
      <c r="AR2584" s="223"/>
      <c r="AS2584" s="223"/>
      <c r="AT2584" s="324"/>
      <c r="AU2584" s="324"/>
      <c r="AV2584" s="223"/>
      <c r="AW2584" s="223"/>
      <c r="AX2584" s="223"/>
      <c r="AY2584" s="223"/>
      <c r="AZ2584" s="223"/>
      <c r="BA2584" s="223"/>
      <c r="BB2584" s="223"/>
      <c r="BC2584" s="223"/>
      <c r="BD2584" s="223"/>
      <c r="BE2584" s="223"/>
      <c r="BF2584" s="223"/>
      <c r="BG2584" s="223"/>
      <c r="BH2584" s="223"/>
      <c r="BI2584" s="223"/>
      <c r="BJ2584" s="223"/>
      <c r="BK2584" s="223"/>
      <c r="BL2584" s="223"/>
      <c r="BM2584" s="223"/>
      <c r="BN2584" s="223"/>
      <c r="BO2584" s="223"/>
      <c r="BP2584" s="223"/>
      <c r="BQ2584" s="223"/>
      <c r="BR2584" s="223"/>
      <c r="BS2584" s="223"/>
      <c r="BT2584" s="223"/>
      <c r="BU2584" s="223"/>
      <c r="BV2584" s="223"/>
      <c r="BW2584" s="223"/>
      <c r="BX2584" s="223"/>
      <c r="BY2584" s="223"/>
      <c r="BZ2584" s="223"/>
      <c r="CA2584" s="223"/>
      <c r="CB2584" s="223"/>
      <c r="CC2584" s="223"/>
      <c r="CD2584" s="223"/>
      <c r="CE2584" s="223"/>
      <c r="CF2584" s="223"/>
      <c r="CG2584" s="223"/>
      <c r="CH2584" s="223"/>
      <c r="CI2584" s="223"/>
      <c r="CJ2584" s="223"/>
      <c r="CK2584" s="223"/>
      <c r="CL2584" s="223"/>
      <c r="CM2584" s="223"/>
      <c r="CN2584" s="223"/>
      <c r="CO2584" s="223"/>
      <c r="CP2584" s="223"/>
      <c r="CQ2584" s="223"/>
      <c r="CR2584" s="223"/>
      <c r="CS2584" s="223"/>
      <c r="CT2584" s="223"/>
      <c r="CU2584" s="223"/>
      <c r="CV2584" s="223"/>
      <c r="CW2584" s="223"/>
      <c r="CX2584" s="223"/>
      <c r="CY2584" s="223"/>
      <c r="CZ2584" s="223"/>
      <c r="DA2584" s="223"/>
      <c r="DB2584" s="223"/>
      <c r="DC2584" s="223"/>
      <c r="DD2584" s="223"/>
      <c r="DE2584" s="223"/>
      <c r="DF2584" s="223"/>
      <c r="DG2584" s="223"/>
      <c r="DH2584" s="223"/>
      <c r="DI2584" s="223"/>
      <c r="DJ2584" s="223"/>
      <c r="DK2584" s="223"/>
      <c r="DL2584" s="223"/>
      <c r="DM2584" s="223"/>
      <c r="DN2584" s="223"/>
      <c r="DO2584" s="223"/>
      <c r="DP2584" s="223"/>
      <c r="DQ2584" s="223"/>
      <c r="DR2584" s="223"/>
      <c r="DS2584" s="223"/>
      <c r="DT2584" s="223"/>
      <c r="DU2584" s="223"/>
      <c r="DV2584" s="223"/>
      <c r="DW2584" s="223"/>
      <c r="DX2584" s="223"/>
      <c r="DY2584" s="223"/>
      <c r="DZ2584" s="223"/>
      <c r="EA2584" s="223"/>
      <c r="EB2584" s="223"/>
      <c r="EC2584" s="223"/>
      <c r="ED2584" s="223"/>
      <c r="EE2584" s="223"/>
      <c r="EF2584" s="223"/>
      <c r="EG2584" s="223"/>
      <c r="EH2584" s="223"/>
      <c r="EI2584" s="223"/>
      <c r="EJ2584" s="223"/>
      <c r="EK2584" s="223"/>
      <c r="EL2584" s="223"/>
      <c r="EM2584" s="223"/>
      <c r="EN2584" s="223"/>
      <c r="EO2584" s="223"/>
      <c r="EP2584" s="223"/>
      <c r="EQ2584" s="223"/>
      <c r="ER2584" s="223"/>
      <c r="ES2584" s="223"/>
      <c r="ET2584" s="223"/>
      <c r="EU2584" s="223"/>
      <c r="EV2584" s="223"/>
      <c r="EW2584" s="223"/>
      <c r="EX2584" s="223"/>
      <c r="EY2584" s="223"/>
      <c r="EZ2584" s="223"/>
      <c r="FA2584" s="223"/>
      <c r="FB2584" s="223"/>
      <c r="FC2584" s="223"/>
      <c r="FD2584" s="223"/>
      <c r="FE2584" s="223"/>
      <c r="FF2584" s="223"/>
      <c r="FG2584" s="223"/>
      <c r="FH2584" s="223"/>
      <c r="FI2584" s="223"/>
      <c r="FJ2584" s="223"/>
      <c r="FK2584" s="223"/>
      <c r="FL2584" s="223"/>
      <c r="FM2584" s="223"/>
      <c r="FN2584" s="223"/>
      <c r="FO2584" s="223"/>
      <c r="FP2584" s="223"/>
      <c r="FQ2584" s="223"/>
      <c r="FR2584" s="223"/>
      <c r="FS2584" s="223"/>
      <c r="FT2584" s="223"/>
      <c r="FU2584" s="223"/>
      <c r="FV2584" s="223"/>
      <c r="FW2584" s="223"/>
      <c r="FX2584" s="223"/>
      <c r="FY2584" s="223"/>
      <c r="FZ2584" s="223"/>
      <c r="GA2584" s="223"/>
      <c r="GB2584" s="223"/>
      <c r="GC2584" s="223"/>
      <c r="GD2584" s="223"/>
      <c r="GE2584" s="223"/>
      <c r="GF2584" s="223"/>
      <c r="GG2584" s="223"/>
      <c r="GH2584" s="223"/>
      <c r="GI2584" s="223"/>
      <c r="GJ2584" s="223"/>
      <c r="GK2584" s="223"/>
      <c r="GL2584" s="223"/>
      <c r="GM2584" s="223"/>
      <c r="GN2584" s="223"/>
      <c r="GO2584" s="223"/>
      <c r="GP2584" s="223"/>
      <c r="GQ2584" s="223"/>
      <c r="GR2584" s="223"/>
      <c r="GS2584" s="223"/>
      <c r="GT2584" s="223"/>
      <c r="GU2584" s="223"/>
      <c r="GV2584" s="223"/>
      <c r="GW2584" s="223"/>
      <c r="GX2584" s="223"/>
      <c r="GY2584" s="223"/>
      <c r="GZ2584" s="223"/>
      <c r="HA2584" s="223"/>
      <c r="HB2584" s="223"/>
      <c r="HC2584" s="223"/>
      <c r="HD2584" s="223"/>
      <c r="HE2584" s="223"/>
      <c r="HF2584" s="223"/>
      <c r="HG2584" s="223"/>
      <c r="HH2584" s="223"/>
      <c r="HI2584" s="223"/>
      <c r="HJ2584" s="223"/>
      <c r="HK2584" s="223"/>
      <c r="HL2584" s="223"/>
      <c r="HM2584" s="223"/>
      <c r="HN2584" s="223"/>
      <c r="HO2584" s="223"/>
      <c r="HP2584" s="223"/>
      <c r="HQ2584" s="223"/>
      <c r="HR2584" s="223"/>
      <c r="HS2584" s="223"/>
      <c r="HT2584" s="223"/>
      <c r="HU2584" s="223"/>
      <c r="HV2584" s="223"/>
      <c r="HW2584" s="223"/>
      <c r="HX2584" s="223"/>
      <c r="HY2584" s="223"/>
      <c r="HZ2584" s="223"/>
      <c r="IA2584" s="223"/>
      <c r="IB2584" s="223"/>
      <c r="IC2584" s="223"/>
      <c r="ID2584" s="223"/>
      <c r="IE2584" s="223"/>
      <c r="IF2584" s="223"/>
      <c r="IG2584" s="223"/>
      <c r="IH2584" s="223"/>
      <c r="II2584" s="223"/>
      <c r="IJ2584" s="223"/>
      <c r="IK2584" s="223"/>
      <c r="IL2584" s="223"/>
      <c r="IM2584" s="223"/>
      <c r="IN2584" s="223"/>
      <c r="IO2584" s="223"/>
      <c r="IP2584" s="223"/>
      <c r="IQ2584" s="223"/>
      <c r="IR2584" s="223"/>
      <c r="IS2584" s="223"/>
      <c r="IT2584" s="223"/>
      <c r="IU2584" s="223"/>
      <c r="IV2584" s="223"/>
    </row>
    <row r="2585" spans="1:256" s="221" customFormat="1" x14ac:dyDescent="0.2">
      <c r="V2585" s="223"/>
      <c r="W2585" s="223"/>
      <c r="X2585" s="223"/>
      <c r="Y2585" s="223"/>
      <c r="Z2585" s="223"/>
      <c r="AA2585" s="223"/>
      <c r="AB2585" s="223"/>
      <c r="AC2585" s="223"/>
      <c r="AD2585" s="223"/>
      <c r="AE2585" s="223"/>
      <c r="AF2585" s="223"/>
      <c r="AG2585" s="223"/>
      <c r="AH2585" s="223"/>
      <c r="AI2585" s="223"/>
      <c r="AJ2585" s="223"/>
      <c r="AK2585" s="223"/>
      <c r="AL2585" s="223"/>
      <c r="AM2585" s="223"/>
      <c r="AN2585" s="223"/>
      <c r="AO2585" s="223"/>
      <c r="AP2585" s="223"/>
      <c r="AQ2585" s="223"/>
      <c r="AR2585" s="223"/>
      <c r="AS2585" s="223"/>
      <c r="AT2585" s="324"/>
      <c r="AU2585" s="324"/>
      <c r="AV2585" s="223"/>
      <c r="AW2585" s="223"/>
      <c r="AX2585" s="223"/>
      <c r="AY2585" s="223"/>
      <c r="AZ2585" s="223"/>
      <c r="BA2585" s="223"/>
      <c r="BB2585" s="223"/>
      <c r="BC2585" s="223"/>
      <c r="BD2585" s="223"/>
      <c r="BE2585" s="223"/>
      <c r="BF2585" s="223"/>
      <c r="BG2585" s="223"/>
      <c r="BH2585" s="223"/>
      <c r="BI2585" s="223"/>
      <c r="BJ2585" s="223"/>
      <c r="BK2585" s="223"/>
      <c r="BL2585" s="223"/>
      <c r="BM2585" s="223"/>
      <c r="BN2585" s="223"/>
      <c r="BO2585" s="223"/>
      <c r="BP2585" s="223"/>
      <c r="BQ2585" s="223"/>
      <c r="BR2585" s="223"/>
      <c r="BS2585" s="223"/>
      <c r="BT2585" s="223"/>
      <c r="BU2585" s="223"/>
      <c r="BV2585" s="223"/>
      <c r="BW2585" s="223"/>
      <c r="BX2585" s="223"/>
      <c r="BY2585" s="223"/>
      <c r="BZ2585" s="223"/>
      <c r="CA2585" s="223"/>
      <c r="CB2585" s="223"/>
      <c r="CC2585" s="223"/>
      <c r="CD2585" s="223"/>
      <c r="CE2585" s="223"/>
      <c r="CF2585" s="223"/>
      <c r="CG2585" s="223"/>
      <c r="CH2585" s="223"/>
      <c r="CI2585" s="223"/>
      <c r="CJ2585" s="223"/>
      <c r="CK2585" s="223"/>
      <c r="CL2585" s="223"/>
      <c r="CM2585" s="223"/>
      <c r="CN2585" s="223"/>
      <c r="CO2585" s="223"/>
      <c r="CP2585" s="223"/>
      <c r="CQ2585" s="223"/>
      <c r="CR2585" s="223"/>
      <c r="CS2585" s="223"/>
      <c r="CT2585" s="223"/>
      <c r="CU2585" s="223"/>
      <c r="CV2585" s="223"/>
      <c r="CW2585" s="223"/>
      <c r="CX2585" s="223"/>
      <c r="CY2585" s="223"/>
      <c r="CZ2585" s="223"/>
      <c r="DA2585" s="223"/>
      <c r="DB2585" s="223"/>
      <c r="DC2585" s="223"/>
      <c r="DD2585" s="223"/>
      <c r="DE2585" s="223"/>
      <c r="DF2585" s="223"/>
      <c r="DG2585" s="223"/>
      <c r="DH2585" s="223"/>
      <c r="DI2585" s="223"/>
      <c r="DJ2585" s="223"/>
      <c r="DK2585" s="223"/>
      <c r="DL2585" s="223"/>
      <c r="DM2585" s="223"/>
      <c r="DN2585" s="223"/>
      <c r="DO2585" s="223"/>
      <c r="DP2585" s="223"/>
      <c r="DQ2585" s="223"/>
      <c r="DR2585" s="223"/>
      <c r="DS2585" s="223"/>
      <c r="DT2585" s="223"/>
      <c r="DU2585" s="223"/>
      <c r="DV2585" s="223"/>
      <c r="DW2585" s="223"/>
      <c r="DX2585" s="223"/>
      <c r="DY2585" s="223"/>
      <c r="DZ2585" s="223"/>
      <c r="EA2585" s="223"/>
      <c r="EB2585" s="223"/>
      <c r="EC2585" s="223"/>
      <c r="ED2585" s="223"/>
      <c r="EE2585" s="223"/>
      <c r="EF2585" s="223"/>
      <c r="EG2585" s="223"/>
      <c r="EH2585" s="223"/>
      <c r="EI2585" s="223"/>
      <c r="EJ2585" s="223"/>
      <c r="EK2585" s="223"/>
      <c r="EL2585" s="223"/>
      <c r="EM2585" s="223"/>
      <c r="EN2585" s="223"/>
      <c r="EO2585" s="223"/>
      <c r="EP2585" s="223"/>
      <c r="EQ2585" s="223"/>
      <c r="ER2585" s="223"/>
      <c r="ES2585" s="223"/>
      <c r="ET2585" s="223"/>
      <c r="EU2585" s="223"/>
      <c r="EV2585" s="223"/>
      <c r="EW2585" s="223"/>
      <c r="EX2585" s="223"/>
      <c r="EY2585" s="223"/>
      <c r="EZ2585" s="223"/>
      <c r="FA2585" s="223"/>
      <c r="FB2585" s="223"/>
      <c r="FC2585" s="223"/>
      <c r="FD2585" s="223"/>
      <c r="FE2585" s="223"/>
      <c r="FF2585" s="223"/>
      <c r="FG2585" s="223"/>
      <c r="FH2585" s="223"/>
      <c r="FI2585" s="223"/>
      <c r="FJ2585" s="223"/>
      <c r="FK2585" s="223"/>
      <c r="FL2585" s="223"/>
      <c r="FM2585" s="223"/>
      <c r="FN2585" s="223"/>
      <c r="FO2585" s="223"/>
      <c r="FP2585" s="223"/>
      <c r="FQ2585" s="223"/>
      <c r="FR2585" s="223"/>
      <c r="FS2585" s="223"/>
      <c r="FT2585" s="223"/>
      <c r="FU2585" s="223"/>
      <c r="FV2585" s="223"/>
      <c r="FW2585" s="223"/>
      <c r="FX2585" s="223"/>
      <c r="FY2585" s="223"/>
      <c r="FZ2585" s="223"/>
      <c r="GA2585" s="223"/>
      <c r="GB2585" s="223"/>
      <c r="GC2585" s="223"/>
      <c r="GD2585" s="223"/>
      <c r="GE2585" s="223"/>
      <c r="GF2585" s="223"/>
      <c r="GG2585" s="223"/>
      <c r="GH2585" s="223"/>
      <c r="GI2585" s="223"/>
      <c r="GJ2585" s="223"/>
      <c r="GK2585" s="223"/>
      <c r="GL2585" s="223"/>
      <c r="GM2585" s="223"/>
      <c r="GN2585" s="223"/>
      <c r="GO2585" s="223"/>
      <c r="GP2585" s="223"/>
      <c r="GQ2585" s="223"/>
      <c r="GR2585" s="223"/>
      <c r="GS2585" s="223"/>
      <c r="GT2585" s="223"/>
      <c r="GU2585" s="223"/>
      <c r="GV2585" s="223"/>
      <c r="GW2585" s="223"/>
      <c r="GX2585" s="223"/>
      <c r="GY2585" s="223"/>
      <c r="GZ2585" s="223"/>
      <c r="HA2585" s="223"/>
      <c r="HB2585" s="223"/>
      <c r="HC2585" s="223"/>
      <c r="HD2585" s="223"/>
      <c r="HE2585" s="223"/>
      <c r="HF2585" s="223"/>
      <c r="HG2585" s="223"/>
      <c r="HH2585" s="223"/>
      <c r="HI2585" s="223"/>
      <c r="HJ2585" s="223"/>
      <c r="HK2585" s="223"/>
      <c r="HL2585" s="223"/>
      <c r="HM2585" s="223"/>
      <c r="HN2585" s="223"/>
      <c r="HO2585" s="223"/>
      <c r="HP2585" s="223"/>
      <c r="HQ2585" s="223"/>
      <c r="HR2585" s="223"/>
      <c r="HS2585" s="223"/>
      <c r="HT2585" s="223"/>
      <c r="HU2585" s="223"/>
      <c r="HV2585" s="223"/>
      <c r="HW2585" s="223"/>
      <c r="HX2585" s="223"/>
      <c r="HY2585" s="223"/>
      <c r="HZ2585" s="223"/>
      <c r="IA2585" s="223"/>
      <c r="IB2585" s="223"/>
      <c r="IC2585" s="223"/>
      <c r="ID2585" s="223"/>
      <c r="IE2585" s="223"/>
      <c r="IF2585" s="223"/>
      <c r="IG2585" s="223"/>
      <c r="IH2585" s="223"/>
      <c r="II2585" s="223"/>
      <c r="IJ2585" s="223"/>
      <c r="IK2585" s="223"/>
      <c r="IL2585" s="223"/>
      <c r="IM2585" s="223"/>
      <c r="IN2585" s="223"/>
      <c r="IO2585" s="223"/>
      <c r="IP2585" s="223"/>
      <c r="IQ2585" s="223"/>
      <c r="IR2585" s="223"/>
      <c r="IS2585" s="223"/>
      <c r="IT2585" s="223"/>
      <c r="IU2585" s="223"/>
      <c r="IV2585" s="223"/>
    </row>
    <row r="2586" spans="1:256" s="221" customFormat="1" x14ac:dyDescent="0.2">
      <c r="V2586" s="223"/>
      <c r="W2586" s="223"/>
      <c r="X2586" s="223"/>
      <c r="Y2586" s="223"/>
      <c r="Z2586" s="223"/>
      <c r="AA2586" s="223"/>
      <c r="AB2586" s="223"/>
      <c r="AC2586" s="223"/>
      <c r="AD2586" s="223"/>
      <c r="AE2586" s="223"/>
      <c r="AF2586" s="223"/>
      <c r="AG2586" s="223"/>
      <c r="AH2586" s="223"/>
      <c r="AI2586" s="223"/>
      <c r="AJ2586" s="223"/>
      <c r="AK2586" s="223"/>
      <c r="AL2586" s="223"/>
      <c r="AM2586" s="223"/>
      <c r="AN2586" s="223"/>
      <c r="AO2586" s="223"/>
      <c r="AP2586" s="223"/>
      <c r="AQ2586" s="223"/>
      <c r="AR2586" s="223"/>
      <c r="AS2586" s="223"/>
      <c r="AT2586" s="324"/>
      <c r="AU2586" s="324"/>
      <c r="AV2586" s="223"/>
      <c r="AW2586" s="223"/>
      <c r="AX2586" s="223"/>
      <c r="AY2586" s="223"/>
      <c r="AZ2586" s="223"/>
      <c r="BA2586" s="223"/>
      <c r="BB2586" s="223"/>
      <c r="BC2586" s="223"/>
      <c r="BD2586" s="223"/>
      <c r="BE2586" s="223"/>
      <c r="BF2586" s="223"/>
      <c r="BG2586" s="223"/>
      <c r="BH2586" s="223"/>
      <c r="BI2586" s="223"/>
      <c r="BJ2586" s="223"/>
      <c r="BK2586" s="223"/>
      <c r="BL2586" s="223"/>
      <c r="BM2586" s="223"/>
      <c r="BN2586" s="223"/>
      <c r="BO2586" s="223"/>
      <c r="BP2586" s="223"/>
      <c r="BQ2586" s="223"/>
      <c r="BR2586" s="223"/>
      <c r="BS2586" s="223"/>
      <c r="BT2586" s="223"/>
      <c r="BU2586" s="223"/>
      <c r="BV2586" s="223"/>
      <c r="BW2586" s="223"/>
      <c r="BX2586" s="223"/>
      <c r="BY2586" s="223"/>
      <c r="BZ2586" s="223"/>
      <c r="CA2586" s="223"/>
      <c r="CB2586" s="223"/>
      <c r="CC2586" s="223"/>
      <c r="CD2586" s="223"/>
      <c r="CE2586" s="223"/>
      <c r="CF2586" s="223"/>
      <c r="CG2586" s="223"/>
      <c r="CH2586" s="223"/>
      <c r="CI2586" s="223"/>
      <c r="CJ2586" s="223"/>
      <c r="CK2586" s="223"/>
      <c r="CL2586" s="223"/>
      <c r="CM2586" s="223"/>
      <c r="CN2586" s="223"/>
      <c r="CO2586" s="223"/>
      <c r="CP2586" s="223"/>
      <c r="CQ2586" s="223"/>
      <c r="CR2586" s="223"/>
      <c r="CS2586" s="223"/>
      <c r="CT2586" s="223"/>
      <c r="CU2586" s="223"/>
      <c r="CV2586" s="223"/>
      <c r="CW2586" s="223"/>
      <c r="CX2586" s="223"/>
      <c r="CY2586" s="223"/>
      <c r="CZ2586" s="223"/>
      <c r="DA2586" s="223"/>
      <c r="DB2586" s="223"/>
      <c r="DC2586" s="223"/>
      <c r="DD2586" s="223"/>
      <c r="DE2586" s="223"/>
      <c r="DF2586" s="223"/>
      <c r="DG2586" s="223"/>
      <c r="DH2586" s="223"/>
      <c r="DI2586" s="223"/>
      <c r="DJ2586" s="223"/>
      <c r="DK2586" s="223"/>
      <c r="DL2586" s="223"/>
      <c r="DM2586" s="223"/>
      <c r="DN2586" s="223"/>
      <c r="DO2586" s="223"/>
      <c r="DP2586" s="223"/>
      <c r="DQ2586" s="223"/>
      <c r="DR2586" s="223"/>
      <c r="DS2586" s="223"/>
      <c r="DT2586" s="223"/>
      <c r="DU2586" s="223"/>
      <c r="DV2586" s="223"/>
      <c r="DW2586" s="223"/>
      <c r="DX2586" s="223"/>
      <c r="DY2586" s="223"/>
      <c r="DZ2586" s="223"/>
      <c r="EA2586" s="223"/>
      <c r="EB2586" s="223"/>
      <c r="EC2586" s="223"/>
      <c r="ED2586" s="223"/>
      <c r="EE2586" s="223"/>
      <c r="EF2586" s="223"/>
      <c r="EG2586" s="223"/>
      <c r="EH2586" s="223"/>
      <c r="EI2586" s="223"/>
      <c r="EJ2586" s="223"/>
      <c r="EK2586" s="223"/>
      <c r="EL2586" s="223"/>
      <c r="EM2586" s="223"/>
      <c r="EN2586" s="223"/>
      <c r="EO2586" s="223"/>
      <c r="EP2586" s="223"/>
      <c r="EQ2586" s="223"/>
      <c r="ER2586" s="223"/>
      <c r="ES2586" s="223"/>
      <c r="ET2586" s="223"/>
      <c r="EU2586" s="223"/>
      <c r="EV2586" s="223"/>
      <c r="EW2586" s="223"/>
      <c r="EX2586" s="223"/>
      <c r="EY2586" s="223"/>
      <c r="EZ2586" s="223"/>
      <c r="FA2586" s="223"/>
      <c r="FB2586" s="223"/>
      <c r="FC2586" s="223"/>
      <c r="FD2586" s="223"/>
      <c r="FE2586" s="223"/>
      <c r="FF2586" s="223"/>
      <c r="FG2586" s="223"/>
      <c r="FH2586" s="223"/>
      <c r="FI2586" s="223"/>
      <c r="FJ2586" s="223"/>
      <c r="FK2586" s="223"/>
      <c r="FL2586" s="223"/>
      <c r="FM2586" s="223"/>
      <c r="FN2586" s="223"/>
      <c r="FO2586" s="223"/>
      <c r="FP2586" s="223"/>
      <c r="FQ2586" s="223"/>
      <c r="FR2586" s="223"/>
      <c r="FS2586" s="223"/>
      <c r="FT2586" s="223"/>
      <c r="FU2586" s="223"/>
      <c r="FV2586" s="223"/>
      <c r="FW2586" s="223"/>
      <c r="FX2586" s="223"/>
      <c r="FY2586" s="223"/>
      <c r="FZ2586" s="223"/>
      <c r="GA2586" s="223"/>
      <c r="GB2586" s="223"/>
      <c r="GC2586" s="223"/>
      <c r="GD2586" s="223"/>
      <c r="GE2586" s="223"/>
      <c r="GF2586" s="223"/>
      <c r="GG2586" s="223"/>
      <c r="GH2586" s="223"/>
      <c r="GI2586" s="223"/>
      <c r="GJ2586" s="223"/>
      <c r="GK2586" s="223"/>
      <c r="GL2586" s="223"/>
      <c r="GM2586" s="223"/>
      <c r="GN2586" s="223"/>
      <c r="GO2586" s="223"/>
      <c r="GP2586" s="223"/>
      <c r="GQ2586" s="223"/>
      <c r="GR2586" s="223"/>
      <c r="GS2586" s="223"/>
      <c r="GT2586" s="223"/>
      <c r="GU2586" s="223"/>
      <c r="GV2586" s="223"/>
      <c r="GW2586" s="223"/>
      <c r="GX2586" s="223"/>
      <c r="GY2586" s="223"/>
      <c r="GZ2586" s="223"/>
      <c r="HA2586" s="223"/>
      <c r="HB2586" s="223"/>
      <c r="HC2586" s="223"/>
      <c r="HD2586" s="223"/>
      <c r="HE2586" s="223"/>
      <c r="HF2586" s="223"/>
      <c r="HG2586" s="223"/>
      <c r="HH2586" s="223"/>
      <c r="HI2586" s="223"/>
      <c r="HJ2586" s="223"/>
      <c r="HK2586" s="223"/>
      <c r="HL2586" s="223"/>
      <c r="HM2586" s="223"/>
      <c r="HN2586" s="223"/>
      <c r="HO2586" s="223"/>
      <c r="HP2586" s="223"/>
      <c r="HQ2586" s="223"/>
      <c r="HR2586" s="223"/>
      <c r="HS2586" s="223"/>
      <c r="HT2586" s="223"/>
      <c r="HU2586" s="223"/>
      <c r="HV2586" s="223"/>
      <c r="HW2586" s="223"/>
      <c r="HX2586" s="223"/>
      <c r="HY2586" s="223"/>
      <c r="HZ2586" s="223"/>
      <c r="IA2586" s="223"/>
      <c r="IB2586" s="223"/>
      <c r="IC2586" s="223"/>
      <c r="ID2586" s="223"/>
      <c r="IE2586" s="223"/>
      <c r="IF2586" s="223"/>
      <c r="IG2586" s="223"/>
      <c r="IH2586" s="223"/>
      <c r="II2586" s="223"/>
      <c r="IJ2586" s="223"/>
      <c r="IK2586" s="223"/>
      <c r="IL2586" s="223"/>
      <c r="IM2586" s="223"/>
      <c r="IN2586" s="223"/>
      <c r="IO2586" s="223"/>
      <c r="IP2586" s="223"/>
      <c r="IQ2586" s="223"/>
      <c r="IR2586" s="223"/>
      <c r="IS2586" s="223"/>
      <c r="IT2586" s="223"/>
      <c r="IU2586" s="223"/>
      <c r="IV2586" s="223"/>
    </row>
    <row r="2587" spans="1:256" s="221" customFormat="1" x14ac:dyDescent="0.2">
      <c r="V2587" s="223"/>
      <c r="W2587" s="223"/>
      <c r="X2587" s="223"/>
      <c r="Y2587" s="223"/>
      <c r="Z2587" s="223"/>
      <c r="AA2587" s="223"/>
      <c r="AB2587" s="223"/>
      <c r="AC2587" s="223"/>
      <c r="AD2587" s="223"/>
      <c r="AE2587" s="223"/>
      <c r="AF2587" s="223"/>
      <c r="AG2587" s="223"/>
      <c r="AH2587" s="223"/>
      <c r="AI2587" s="223"/>
      <c r="AJ2587" s="223"/>
      <c r="AK2587" s="223"/>
      <c r="AL2587" s="223"/>
      <c r="AM2587" s="223"/>
      <c r="AN2587" s="223"/>
      <c r="AO2587" s="223"/>
      <c r="AP2587" s="223"/>
      <c r="AQ2587" s="223"/>
      <c r="AR2587" s="223"/>
      <c r="AS2587" s="223"/>
      <c r="AT2587" s="324"/>
      <c r="AU2587" s="324"/>
      <c r="AV2587" s="223"/>
      <c r="AW2587" s="223"/>
      <c r="AX2587" s="223"/>
      <c r="AY2587" s="223"/>
      <c r="AZ2587" s="223"/>
      <c r="BA2587" s="223"/>
      <c r="BB2587" s="223"/>
      <c r="BC2587" s="223"/>
      <c r="BD2587" s="223"/>
      <c r="BE2587" s="223"/>
      <c r="BF2587" s="223"/>
      <c r="BG2587" s="223"/>
      <c r="BH2587" s="223"/>
      <c r="BI2587" s="223"/>
      <c r="BJ2587" s="223"/>
      <c r="BK2587" s="223"/>
      <c r="BL2587" s="223"/>
      <c r="BM2587" s="223"/>
      <c r="BN2587" s="223"/>
      <c r="BO2587" s="223"/>
      <c r="BP2587" s="223"/>
      <c r="BQ2587" s="223"/>
      <c r="BR2587" s="223"/>
      <c r="BS2587" s="223"/>
      <c r="BT2587" s="223"/>
      <c r="BU2587" s="223"/>
      <c r="BV2587" s="223"/>
      <c r="BW2587" s="223"/>
      <c r="BX2587" s="223"/>
      <c r="BY2587" s="223"/>
      <c r="BZ2587" s="223"/>
      <c r="CA2587" s="223"/>
      <c r="CB2587" s="223"/>
      <c r="CC2587" s="223"/>
      <c r="CD2587" s="223"/>
      <c r="CE2587" s="223"/>
      <c r="CF2587" s="223"/>
      <c r="CG2587" s="223"/>
      <c r="CH2587" s="223"/>
      <c r="CI2587" s="223"/>
      <c r="CJ2587" s="223"/>
      <c r="CK2587" s="223"/>
      <c r="CL2587" s="223"/>
      <c r="CM2587" s="223"/>
      <c r="CN2587" s="223"/>
      <c r="CO2587" s="223"/>
      <c r="CP2587" s="223"/>
      <c r="CQ2587" s="223"/>
      <c r="CR2587" s="223"/>
      <c r="CS2587" s="223"/>
      <c r="CT2587" s="223"/>
      <c r="CU2587" s="223"/>
      <c r="CV2587" s="223"/>
      <c r="CW2587" s="223"/>
      <c r="CX2587" s="223"/>
      <c r="CY2587" s="223"/>
      <c r="CZ2587" s="223"/>
      <c r="DA2587" s="223"/>
      <c r="DB2587" s="223"/>
      <c r="DC2587" s="223"/>
      <c r="DD2587" s="223"/>
      <c r="DE2587" s="223"/>
      <c r="DF2587" s="223"/>
      <c r="DG2587" s="223"/>
      <c r="DH2587" s="223"/>
      <c r="DI2587" s="223"/>
      <c r="DJ2587" s="223"/>
      <c r="DK2587" s="223"/>
      <c r="DL2587" s="223"/>
      <c r="DM2587" s="223"/>
      <c r="DN2587" s="223"/>
      <c r="DO2587" s="223"/>
      <c r="DP2587" s="223"/>
      <c r="DQ2587" s="223"/>
      <c r="DR2587" s="223"/>
      <c r="DS2587" s="223"/>
      <c r="DT2587" s="223"/>
      <c r="DU2587" s="223"/>
      <c r="DV2587" s="223"/>
      <c r="DW2587" s="223"/>
      <c r="DX2587" s="223"/>
      <c r="DY2587" s="223"/>
      <c r="DZ2587" s="223"/>
      <c r="EA2587" s="223"/>
      <c r="EB2587" s="223"/>
      <c r="EC2587" s="223"/>
      <c r="ED2587" s="223"/>
      <c r="EE2587" s="223"/>
      <c r="EF2587" s="223"/>
      <c r="EG2587" s="223"/>
      <c r="EH2587" s="223"/>
      <c r="EI2587" s="223"/>
      <c r="EJ2587" s="223"/>
      <c r="EK2587" s="223"/>
      <c r="EL2587" s="223"/>
      <c r="EM2587" s="223"/>
      <c r="EN2587" s="223"/>
      <c r="EO2587" s="223"/>
      <c r="EP2587" s="223"/>
      <c r="EQ2587" s="223"/>
      <c r="ER2587" s="223"/>
      <c r="ES2587" s="223"/>
      <c r="ET2587" s="223"/>
      <c r="EU2587" s="223"/>
      <c r="EV2587" s="223"/>
      <c r="EW2587" s="223"/>
      <c r="EX2587" s="223"/>
      <c r="EY2587" s="223"/>
      <c r="EZ2587" s="223"/>
      <c r="FA2587" s="223"/>
      <c r="FB2587" s="223"/>
      <c r="FC2587" s="223"/>
      <c r="FD2587" s="223"/>
      <c r="FE2587" s="223"/>
      <c r="FF2587" s="223"/>
      <c r="FG2587" s="223"/>
      <c r="FH2587" s="223"/>
      <c r="FI2587" s="223"/>
      <c r="FJ2587" s="223"/>
      <c r="FK2587" s="223"/>
      <c r="FL2587" s="223"/>
      <c r="FM2587" s="223"/>
      <c r="FN2587" s="223"/>
      <c r="FO2587" s="223"/>
      <c r="FP2587" s="223"/>
      <c r="FQ2587" s="223"/>
      <c r="FR2587" s="223"/>
      <c r="FS2587" s="223"/>
      <c r="FT2587" s="223"/>
      <c r="FU2587" s="223"/>
      <c r="FV2587" s="223"/>
      <c r="FW2587" s="223"/>
      <c r="FX2587" s="223"/>
      <c r="FY2587" s="223"/>
      <c r="FZ2587" s="223"/>
      <c r="GA2587" s="223"/>
      <c r="GB2587" s="223"/>
      <c r="GC2587" s="223"/>
      <c r="GD2587" s="223"/>
      <c r="GE2587" s="223"/>
      <c r="GF2587" s="223"/>
      <c r="GG2587" s="223"/>
      <c r="GH2587" s="223"/>
      <c r="GI2587" s="223"/>
      <c r="GJ2587" s="223"/>
      <c r="GK2587" s="223"/>
      <c r="GL2587" s="223"/>
      <c r="GM2587" s="223"/>
      <c r="GN2587" s="223"/>
      <c r="GO2587" s="223"/>
      <c r="GP2587" s="223"/>
      <c r="GQ2587" s="223"/>
      <c r="GR2587" s="223"/>
      <c r="GS2587" s="223"/>
      <c r="GT2587" s="223"/>
      <c r="GU2587" s="223"/>
      <c r="GV2587" s="223"/>
      <c r="GW2587" s="223"/>
      <c r="GX2587" s="223"/>
      <c r="GY2587" s="223"/>
      <c r="GZ2587" s="223"/>
      <c r="HA2587" s="223"/>
      <c r="HB2587" s="223"/>
      <c r="HC2587" s="223"/>
      <c r="HD2587" s="223"/>
      <c r="HE2587" s="223"/>
      <c r="HF2587" s="223"/>
      <c r="HG2587" s="223"/>
      <c r="HH2587" s="223"/>
      <c r="HI2587" s="223"/>
      <c r="HJ2587" s="223"/>
      <c r="HK2587" s="223"/>
      <c r="HL2587" s="223"/>
      <c r="HM2587" s="223"/>
      <c r="HN2587" s="223"/>
      <c r="HO2587" s="223"/>
      <c r="HP2587" s="223"/>
      <c r="HQ2587" s="223"/>
      <c r="HR2587" s="223"/>
      <c r="HS2587" s="223"/>
      <c r="HT2587" s="223"/>
      <c r="HU2587" s="223"/>
      <c r="HV2587" s="223"/>
      <c r="HW2587" s="223"/>
      <c r="HX2587" s="223"/>
      <c r="HY2587" s="223"/>
      <c r="HZ2587" s="223"/>
      <c r="IA2587" s="223"/>
      <c r="IB2587" s="223"/>
      <c r="IC2587" s="223"/>
      <c r="ID2587" s="223"/>
      <c r="IE2587" s="223"/>
      <c r="IF2587" s="223"/>
      <c r="IG2587" s="223"/>
      <c r="IH2587" s="223"/>
      <c r="II2587" s="223"/>
      <c r="IJ2587" s="223"/>
      <c r="IK2587" s="223"/>
      <c r="IL2587" s="223"/>
      <c r="IM2587" s="223"/>
      <c r="IN2587" s="223"/>
      <c r="IO2587" s="223"/>
      <c r="IP2587" s="223"/>
      <c r="IQ2587" s="223"/>
      <c r="IR2587" s="223"/>
      <c r="IS2587" s="223"/>
      <c r="IT2587" s="223"/>
      <c r="IU2587" s="223"/>
      <c r="IV2587" s="223"/>
    </row>
    <row r="2588" spans="1:256" s="221" customFormat="1" x14ac:dyDescent="0.2">
      <c r="G2588" s="223"/>
      <c r="V2588" s="223"/>
      <c r="W2588" s="223"/>
      <c r="X2588" s="223"/>
      <c r="Y2588" s="223"/>
      <c r="Z2588" s="223"/>
      <c r="AA2588" s="223"/>
      <c r="AB2588" s="223"/>
      <c r="AC2588" s="223"/>
      <c r="AD2588" s="223"/>
      <c r="AE2588" s="223"/>
      <c r="AF2588" s="223"/>
      <c r="AG2588" s="223"/>
      <c r="AH2588" s="223"/>
      <c r="AI2588" s="223"/>
      <c r="AJ2588" s="223"/>
      <c r="AK2588" s="223"/>
      <c r="AL2588" s="223"/>
      <c r="AM2588" s="223"/>
      <c r="AN2588" s="223"/>
      <c r="AO2588" s="223"/>
      <c r="AP2588" s="223"/>
      <c r="AQ2588" s="223"/>
      <c r="AR2588" s="223"/>
      <c r="AS2588" s="223"/>
      <c r="AT2588" s="324"/>
      <c r="AU2588" s="324"/>
      <c r="AV2588" s="223"/>
      <c r="AW2588" s="223"/>
      <c r="AX2588" s="223"/>
      <c r="AY2588" s="223"/>
      <c r="AZ2588" s="223"/>
      <c r="BA2588" s="223"/>
      <c r="BB2588" s="223"/>
      <c r="BC2588" s="223"/>
      <c r="BD2588" s="223"/>
      <c r="BE2588" s="223"/>
      <c r="BF2588" s="223"/>
      <c r="BG2588" s="223"/>
      <c r="BH2588" s="223"/>
      <c r="BI2588" s="223"/>
      <c r="BJ2588" s="223"/>
      <c r="BK2588" s="223"/>
      <c r="BL2588" s="223"/>
      <c r="BM2588" s="223"/>
      <c r="BN2588" s="223"/>
      <c r="BO2588" s="223"/>
      <c r="BP2588" s="223"/>
      <c r="BQ2588" s="223"/>
      <c r="BR2588" s="223"/>
      <c r="BS2588" s="223"/>
      <c r="BT2588" s="223"/>
      <c r="BU2588" s="223"/>
      <c r="BV2588" s="223"/>
      <c r="BW2588" s="223"/>
      <c r="BX2588" s="223"/>
      <c r="BY2588" s="223"/>
      <c r="BZ2588" s="223"/>
      <c r="CA2588" s="223"/>
      <c r="CB2588" s="223"/>
      <c r="CC2588" s="223"/>
      <c r="CD2588" s="223"/>
      <c r="CE2588" s="223"/>
      <c r="CF2588" s="223"/>
      <c r="CG2588" s="223"/>
      <c r="CH2588" s="223"/>
      <c r="CI2588" s="223"/>
      <c r="CJ2588" s="223"/>
      <c r="CK2588" s="223"/>
      <c r="CL2588" s="223"/>
      <c r="CM2588" s="223"/>
      <c r="CN2588" s="223"/>
      <c r="CO2588" s="223"/>
      <c r="CP2588" s="223"/>
      <c r="CQ2588" s="223"/>
      <c r="CR2588" s="223"/>
      <c r="CS2588" s="223"/>
      <c r="CT2588" s="223"/>
      <c r="CU2588" s="223"/>
      <c r="CV2588" s="223"/>
      <c r="CW2588" s="223"/>
      <c r="CX2588" s="223"/>
      <c r="CY2588" s="223"/>
      <c r="CZ2588" s="223"/>
      <c r="DA2588" s="223"/>
      <c r="DB2588" s="223"/>
      <c r="DC2588" s="223"/>
      <c r="DD2588" s="223"/>
      <c r="DE2588" s="223"/>
      <c r="DF2588" s="223"/>
      <c r="DG2588" s="223"/>
      <c r="DH2588" s="223"/>
      <c r="DI2588" s="223"/>
      <c r="DJ2588" s="223"/>
      <c r="DK2588" s="223"/>
      <c r="DL2588" s="223"/>
      <c r="DM2588" s="223"/>
      <c r="DN2588" s="223"/>
      <c r="DO2588" s="223"/>
      <c r="DP2588" s="223"/>
      <c r="DQ2588" s="223"/>
      <c r="DR2588" s="223"/>
      <c r="DS2588" s="223"/>
      <c r="DT2588" s="223"/>
      <c r="DU2588" s="223"/>
      <c r="DV2588" s="223"/>
      <c r="DW2588" s="223"/>
      <c r="DX2588" s="223"/>
      <c r="DY2588" s="223"/>
      <c r="DZ2588" s="223"/>
      <c r="EA2588" s="223"/>
      <c r="EB2588" s="223"/>
      <c r="EC2588" s="223"/>
      <c r="ED2588" s="223"/>
      <c r="EE2588" s="223"/>
      <c r="EF2588" s="223"/>
      <c r="EG2588" s="223"/>
      <c r="EH2588" s="223"/>
      <c r="EI2588" s="223"/>
      <c r="EJ2588" s="223"/>
      <c r="EK2588" s="223"/>
      <c r="EL2588" s="223"/>
      <c r="EM2588" s="223"/>
      <c r="EN2588" s="223"/>
      <c r="EO2588" s="223"/>
      <c r="EP2588" s="223"/>
      <c r="EQ2588" s="223"/>
      <c r="ER2588" s="223"/>
      <c r="ES2588" s="223"/>
      <c r="ET2588" s="223"/>
      <c r="EU2588" s="223"/>
      <c r="EV2588" s="223"/>
      <c r="EW2588" s="223"/>
      <c r="EX2588" s="223"/>
      <c r="EY2588" s="223"/>
      <c r="EZ2588" s="223"/>
      <c r="FA2588" s="223"/>
      <c r="FB2588" s="223"/>
      <c r="FC2588" s="223"/>
      <c r="FD2588" s="223"/>
      <c r="FE2588" s="223"/>
      <c r="FF2588" s="223"/>
      <c r="FG2588" s="223"/>
      <c r="FH2588" s="223"/>
      <c r="FI2588" s="223"/>
      <c r="FJ2588" s="223"/>
      <c r="FK2588" s="223"/>
      <c r="FL2588" s="223"/>
      <c r="FM2588" s="223"/>
      <c r="FN2588" s="223"/>
      <c r="FO2588" s="223"/>
      <c r="FP2588" s="223"/>
      <c r="FQ2588" s="223"/>
      <c r="FR2588" s="223"/>
      <c r="FS2588" s="223"/>
      <c r="FT2588" s="223"/>
      <c r="FU2588" s="223"/>
      <c r="FV2588" s="223"/>
      <c r="FW2588" s="223"/>
      <c r="FX2588" s="223"/>
      <c r="FY2588" s="223"/>
      <c r="FZ2588" s="223"/>
      <c r="GA2588" s="223"/>
      <c r="GB2588" s="223"/>
      <c r="GC2588" s="223"/>
      <c r="GD2588" s="223"/>
      <c r="GE2588" s="223"/>
      <c r="GF2588" s="223"/>
      <c r="GG2588" s="223"/>
      <c r="GH2588" s="223"/>
      <c r="GI2588" s="223"/>
      <c r="GJ2588" s="223"/>
      <c r="GK2588" s="223"/>
      <c r="GL2588" s="223"/>
      <c r="GM2588" s="223"/>
      <c r="GN2588" s="223"/>
      <c r="GO2588" s="223"/>
      <c r="GP2588" s="223"/>
      <c r="GQ2588" s="223"/>
      <c r="GR2588" s="223"/>
      <c r="GS2588" s="223"/>
      <c r="GT2588" s="223"/>
      <c r="GU2588" s="223"/>
      <c r="GV2588" s="223"/>
      <c r="GW2588" s="223"/>
      <c r="GX2588" s="223"/>
      <c r="GY2588" s="223"/>
      <c r="GZ2588" s="223"/>
      <c r="HA2588" s="223"/>
      <c r="HB2588" s="223"/>
      <c r="HC2588" s="223"/>
      <c r="HD2588" s="223"/>
      <c r="HE2588" s="223"/>
      <c r="HF2588" s="223"/>
      <c r="HG2588" s="223"/>
      <c r="HH2588" s="223"/>
      <c r="HI2588" s="223"/>
      <c r="HJ2588" s="223"/>
      <c r="HK2588" s="223"/>
      <c r="HL2588" s="223"/>
      <c r="HM2588" s="223"/>
      <c r="HN2588" s="223"/>
      <c r="HO2588" s="223"/>
      <c r="HP2588" s="223"/>
      <c r="HQ2588" s="223"/>
      <c r="HR2588" s="223"/>
      <c r="HS2588" s="223"/>
      <c r="HT2588" s="223"/>
      <c r="HU2588" s="223"/>
      <c r="HV2588" s="223"/>
      <c r="HW2588" s="223"/>
      <c r="HX2588" s="223"/>
      <c r="HY2588" s="223"/>
      <c r="HZ2588" s="223"/>
      <c r="IA2588" s="223"/>
      <c r="IB2588" s="223"/>
      <c r="IC2588" s="223"/>
      <c r="ID2588" s="223"/>
      <c r="IE2588" s="223"/>
      <c r="IF2588" s="223"/>
      <c r="IG2588" s="223"/>
      <c r="IH2588" s="223"/>
      <c r="II2588" s="223"/>
      <c r="IJ2588" s="223"/>
      <c r="IK2588" s="223"/>
      <c r="IL2588" s="223"/>
      <c r="IM2588" s="223"/>
      <c r="IN2588" s="223"/>
      <c r="IO2588" s="223"/>
      <c r="IP2588" s="223"/>
      <c r="IQ2588" s="223"/>
      <c r="IR2588" s="223"/>
      <c r="IS2588" s="223"/>
      <c r="IT2588" s="223"/>
      <c r="IU2588" s="223"/>
      <c r="IV2588" s="223"/>
    </row>
    <row r="2589" spans="1:256" s="221" customFormat="1" x14ac:dyDescent="0.2">
      <c r="G2589" s="223"/>
      <c r="V2589" s="223"/>
      <c r="W2589" s="223"/>
      <c r="X2589" s="223"/>
      <c r="Y2589" s="223"/>
      <c r="Z2589" s="223"/>
      <c r="AA2589" s="223"/>
      <c r="AB2589" s="223"/>
      <c r="AC2589" s="223"/>
      <c r="AD2589" s="223"/>
      <c r="AE2589" s="223"/>
      <c r="AF2589" s="223"/>
      <c r="AG2589" s="223"/>
      <c r="AH2589" s="223"/>
      <c r="AI2589" s="223"/>
      <c r="AJ2589" s="223"/>
      <c r="AK2589" s="223"/>
      <c r="AL2589" s="223"/>
      <c r="AM2589" s="223"/>
      <c r="AN2589" s="223"/>
      <c r="AO2589" s="223"/>
      <c r="AP2589" s="223"/>
      <c r="AQ2589" s="223"/>
      <c r="AR2589" s="223"/>
      <c r="AS2589" s="223"/>
      <c r="AT2589" s="324"/>
      <c r="AU2589" s="324"/>
      <c r="AV2589" s="223"/>
      <c r="AW2589" s="223"/>
      <c r="AX2589" s="223"/>
      <c r="AY2589" s="223"/>
      <c r="AZ2589" s="223"/>
      <c r="BA2589" s="223"/>
      <c r="BB2589" s="223"/>
      <c r="BC2589" s="223"/>
      <c r="BD2589" s="223"/>
      <c r="BE2589" s="223"/>
      <c r="BF2589" s="223"/>
      <c r="BG2589" s="223"/>
      <c r="BH2589" s="223"/>
      <c r="BI2589" s="223"/>
      <c r="BJ2589" s="223"/>
      <c r="BK2589" s="223"/>
      <c r="BL2589" s="223"/>
      <c r="BM2589" s="223"/>
      <c r="BN2589" s="223"/>
      <c r="BO2589" s="223"/>
      <c r="BP2589" s="223"/>
      <c r="BQ2589" s="223"/>
      <c r="BR2589" s="223"/>
      <c r="BS2589" s="223"/>
      <c r="BT2589" s="223"/>
      <c r="BU2589" s="223"/>
      <c r="BV2589" s="223"/>
      <c r="BW2589" s="223"/>
      <c r="BX2589" s="223"/>
      <c r="BY2589" s="223"/>
      <c r="BZ2589" s="223"/>
      <c r="CA2589" s="223"/>
      <c r="CB2589" s="223"/>
      <c r="CC2589" s="223"/>
      <c r="CD2589" s="223"/>
      <c r="CE2589" s="223"/>
      <c r="CF2589" s="223"/>
      <c r="CG2589" s="223"/>
      <c r="CH2589" s="223"/>
      <c r="CI2589" s="223"/>
      <c r="CJ2589" s="223"/>
      <c r="CK2589" s="223"/>
      <c r="CL2589" s="223"/>
      <c r="CM2589" s="223"/>
      <c r="CN2589" s="223"/>
      <c r="CO2589" s="223"/>
      <c r="CP2589" s="223"/>
      <c r="CQ2589" s="223"/>
      <c r="CR2589" s="223"/>
      <c r="CS2589" s="223"/>
      <c r="CT2589" s="223"/>
      <c r="CU2589" s="223"/>
      <c r="CV2589" s="223"/>
      <c r="CW2589" s="223"/>
      <c r="CX2589" s="223"/>
      <c r="CY2589" s="223"/>
      <c r="CZ2589" s="223"/>
      <c r="DA2589" s="223"/>
      <c r="DB2589" s="223"/>
      <c r="DC2589" s="223"/>
      <c r="DD2589" s="223"/>
      <c r="DE2589" s="223"/>
      <c r="DF2589" s="223"/>
      <c r="DG2589" s="223"/>
      <c r="DH2589" s="223"/>
      <c r="DI2589" s="223"/>
      <c r="DJ2589" s="223"/>
      <c r="DK2589" s="223"/>
      <c r="DL2589" s="223"/>
      <c r="DM2589" s="223"/>
      <c r="DN2589" s="223"/>
      <c r="DO2589" s="223"/>
      <c r="DP2589" s="223"/>
      <c r="DQ2589" s="223"/>
      <c r="DR2589" s="223"/>
      <c r="DS2589" s="223"/>
      <c r="DT2589" s="223"/>
      <c r="DU2589" s="223"/>
      <c r="DV2589" s="223"/>
      <c r="DW2589" s="223"/>
      <c r="DX2589" s="223"/>
      <c r="DY2589" s="223"/>
      <c r="DZ2589" s="223"/>
      <c r="EA2589" s="223"/>
      <c r="EB2589" s="223"/>
      <c r="EC2589" s="223"/>
      <c r="ED2589" s="223"/>
      <c r="EE2589" s="223"/>
      <c r="EF2589" s="223"/>
      <c r="EG2589" s="223"/>
      <c r="EH2589" s="223"/>
      <c r="EI2589" s="223"/>
      <c r="EJ2589" s="223"/>
      <c r="EK2589" s="223"/>
      <c r="EL2589" s="223"/>
      <c r="EM2589" s="223"/>
      <c r="EN2589" s="223"/>
      <c r="EO2589" s="223"/>
      <c r="EP2589" s="223"/>
      <c r="EQ2589" s="223"/>
      <c r="ER2589" s="223"/>
      <c r="ES2589" s="223"/>
      <c r="ET2589" s="223"/>
      <c r="EU2589" s="223"/>
      <c r="EV2589" s="223"/>
      <c r="EW2589" s="223"/>
      <c r="EX2589" s="223"/>
      <c r="EY2589" s="223"/>
      <c r="EZ2589" s="223"/>
      <c r="FA2589" s="223"/>
      <c r="FB2589" s="223"/>
      <c r="FC2589" s="223"/>
      <c r="FD2589" s="223"/>
      <c r="FE2589" s="223"/>
      <c r="FF2589" s="223"/>
      <c r="FG2589" s="223"/>
      <c r="FH2589" s="223"/>
      <c r="FI2589" s="223"/>
      <c r="FJ2589" s="223"/>
      <c r="FK2589" s="223"/>
      <c r="FL2589" s="223"/>
      <c r="FM2589" s="223"/>
      <c r="FN2589" s="223"/>
      <c r="FO2589" s="223"/>
      <c r="FP2589" s="223"/>
      <c r="FQ2589" s="223"/>
      <c r="FR2589" s="223"/>
      <c r="FS2589" s="223"/>
      <c r="FT2589" s="223"/>
      <c r="FU2589" s="223"/>
      <c r="FV2589" s="223"/>
      <c r="FW2589" s="223"/>
      <c r="FX2589" s="223"/>
      <c r="FY2589" s="223"/>
      <c r="FZ2589" s="223"/>
      <c r="GA2589" s="223"/>
      <c r="GB2589" s="223"/>
      <c r="GC2589" s="223"/>
      <c r="GD2589" s="223"/>
      <c r="GE2589" s="223"/>
      <c r="GF2589" s="223"/>
      <c r="GG2589" s="223"/>
      <c r="GH2589" s="223"/>
      <c r="GI2589" s="223"/>
      <c r="GJ2589" s="223"/>
      <c r="GK2589" s="223"/>
      <c r="GL2589" s="223"/>
      <c r="GM2589" s="223"/>
      <c r="GN2589" s="223"/>
      <c r="GO2589" s="223"/>
      <c r="GP2589" s="223"/>
      <c r="GQ2589" s="223"/>
      <c r="GR2589" s="223"/>
      <c r="GS2589" s="223"/>
      <c r="GT2589" s="223"/>
      <c r="GU2589" s="223"/>
      <c r="GV2589" s="223"/>
      <c r="GW2589" s="223"/>
      <c r="GX2589" s="223"/>
      <c r="GY2589" s="223"/>
      <c r="GZ2589" s="223"/>
      <c r="HA2589" s="223"/>
      <c r="HB2589" s="223"/>
      <c r="HC2589" s="223"/>
      <c r="HD2589" s="223"/>
      <c r="HE2589" s="223"/>
      <c r="HF2589" s="223"/>
      <c r="HG2589" s="223"/>
      <c r="HH2589" s="223"/>
      <c r="HI2589" s="223"/>
      <c r="HJ2589" s="223"/>
      <c r="HK2589" s="223"/>
      <c r="HL2589" s="223"/>
      <c r="HM2589" s="223"/>
      <c r="HN2589" s="223"/>
      <c r="HO2589" s="223"/>
      <c r="HP2589" s="223"/>
      <c r="HQ2589" s="223"/>
      <c r="HR2589" s="223"/>
      <c r="HS2589" s="223"/>
      <c r="HT2589" s="223"/>
      <c r="HU2589" s="223"/>
      <c r="HV2589" s="223"/>
      <c r="HW2589" s="223"/>
      <c r="HX2589" s="223"/>
      <c r="HY2589" s="223"/>
      <c r="HZ2589" s="223"/>
      <c r="IA2589" s="223"/>
      <c r="IB2589" s="223"/>
      <c r="IC2589" s="223"/>
      <c r="ID2589" s="223"/>
      <c r="IE2589" s="223"/>
      <c r="IF2589" s="223"/>
      <c r="IG2589" s="223"/>
      <c r="IH2589" s="223"/>
      <c r="II2589" s="223"/>
      <c r="IJ2589" s="223"/>
      <c r="IK2589" s="223"/>
      <c r="IL2589" s="223"/>
      <c r="IM2589" s="223"/>
      <c r="IN2589" s="223"/>
      <c r="IO2589" s="223"/>
      <c r="IP2589" s="223"/>
      <c r="IQ2589" s="223"/>
      <c r="IR2589" s="223"/>
      <c r="IS2589" s="223"/>
      <c r="IT2589" s="223"/>
      <c r="IU2589" s="223"/>
      <c r="IV2589" s="223"/>
    </row>
    <row r="2590" spans="1:256" s="221" customFormat="1" x14ac:dyDescent="0.2">
      <c r="A2590" s="223"/>
      <c r="B2590" s="223"/>
      <c r="C2590" s="223"/>
      <c r="D2590" s="223"/>
      <c r="E2590" s="223"/>
      <c r="F2590" s="223"/>
      <c r="G2590" s="223"/>
      <c r="H2590" s="223"/>
      <c r="I2590" s="223"/>
      <c r="V2590" s="223"/>
      <c r="W2590" s="223"/>
      <c r="X2590" s="223"/>
      <c r="Y2590" s="223"/>
      <c r="Z2590" s="223"/>
      <c r="AA2590" s="223"/>
      <c r="AB2590" s="223"/>
      <c r="AC2590" s="223"/>
      <c r="AD2590" s="223"/>
      <c r="AE2590" s="223"/>
      <c r="AF2590" s="223"/>
      <c r="AG2590" s="223"/>
      <c r="AH2590" s="223"/>
      <c r="AI2590" s="223"/>
      <c r="AJ2590" s="223"/>
      <c r="AK2590" s="223"/>
      <c r="AL2590" s="223"/>
      <c r="AM2590" s="223"/>
      <c r="AN2590" s="223"/>
      <c r="AO2590" s="223"/>
      <c r="AP2590" s="223"/>
      <c r="AQ2590" s="223"/>
      <c r="AR2590" s="223"/>
      <c r="AS2590" s="223"/>
      <c r="AT2590" s="324"/>
      <c r="AU2590" s="324"/>
      <c r="AV2590" s="223"/>
      <c r="AW2590" s="223"/>
      <c r="AX2590" s="223"/>
      <c r="AY2590" s="223"/>
      <c r="AZ2590" s="223"/>
      <c r="BA2590" s="223"/>
      <c r="BB2590" s="223"/>
      <c r="BC2590" s="223"/>
      <c r="BD2590" s="223"/>
      <c r="BE2590" s="223"/>
      <c r="BF2590" s="223"/>
      <c r="BG2590" s="223"/>
      <c r="BH2590" s="223"/>
      <c r="BI2590" s="223"/>
      <c r="BJ2590" s="223"/>
      <c r="BK2590" s="223"/>
      <c r="BL2590" s="223"/>
      <c r="BM2590" s="223"/>
      <c r="BN2590" s="223"/>
      <c r="BO2590" s="223"/>
      <c r="BP2590" s="223"/>
      <c r="BQ2590" s="223"/>
      <c r="BR2590" s="223"/>
      <c r="BS2590" s="223"/>
      <c r="BT2590" s="223"/>
      <c r="BU2590" s="223"/>
      <c r="BV2590" s="223"/>
      <c r="BW2590" s="223"/>
      <c r="BX2590" s="223"/>
      <c r="BY2590" s="223"/>
      <c r="BZ2590" s="223"/>
      <c r="CA2590" s="223"/>
      <c r="CB2590" s="223"/>
      <c r="CC2590" s="223"/>
      <c r="CD2590" s="223"/>
      <c r="CE2590" s="223"/>
      <c r="CF2590" s="223"/>
      <c r="CG2590" s="223"/>
      <c r="CH2590" s="223"/>
      <c r="CI2590" s="223"/>
      <c r="CJ2590" s="223"/>
      <c r="CK2590" s="223"/>
      <c r="CL2590" s="223"/>
      <c r="CM2590" s="223"/>
      <c r="CN2590" s="223"/>
      <c r="CO2590" s="223"/>
      <c r="CP2590" s="223"/>
      <c r="CQ2590" s="223"/>
      <c r="CR2590" s="223"/>
      <c r="CS2590" s="223"/>
      <c r="CT2590" s="223"/>
      <c r="CU2590" s="223"/>
      <c r="CV2590" s="223"/>
      <c r="CW2590" s="223"/>
      <c r="CX2590" s="223"/>
      <c r="CY2590" s="223"/>
      <c r="CZ2590" s="223"/>
      <c r="DA2590" s="223"/>
      <c r="DB2590" s="223"/>
      <c r="DC2590" s="223"/>
      <c r="DD2590" s="223"/>
      <c r="DE2590" s="223"/>
      <c r="DF2590" s="223"/>
      <c r="DG2590" s="223"/>
      <c r="DH2590" s="223"/>
      <c r="DI2590" s="223"/>
      <c r="DJ2590" s="223"/>
      <c r="DK2590" s="223"/>
      <c r="DL2590" s="223"/>
      <c r="DM2590" s="223"/>
      <c r="DN2590" s="223"/>
      <c r="DO2590" s="223"/>
      <c r="DP2590" s="223"/>
      <c r="DQ2590" s="223"/>
      <c r="DR2590" s="223"/>
      <c r="DS2590" s="223"/>
      <c r="DT2590" s="223"/>
      <c r="DU2590" s="223"/>
      <c r="DV2590" s="223"/>
      <c r="DW2590" s="223"/>
      <c r="DX2590" s="223"/>
      <c r="DY2590" s="223"/>
      <c r="DZ2590" s="223"/>
      <c r="EA2590" s="223"/>
      <c r="EB2590" s="223"/>
      <c r="EC2590" s="223"/>
      <c r="ED2590" s="223"/>
      <c r="EE2590" s="223"/>
      <c r="EF2590" s="223"/>
      <c r="EG2590" s="223"/>
      <c r="EH2590" s="223"/>
      <c r="EI2590" s="223"/>
      <c r="EJ2590" s="223"/>
      <c r="EK2590" s="223"/>
      <c r="EL2590" s="223"/>
      <c r="EM2590" s="223"/>
      <c r="EN2590" s="223"/>
      <c r="EO2590" s="223"/>
      <c r="EP2590" s="223"/>
      <c r="EQ2590" s="223"/>
      <c r="ER2590" s="223"/>
      <c r="ES2590" s="223"/>
      <c r="ET2590" s="223"/>
      <c r="EU2590" s="223"/>
      <c r="EV2590" s="223"/>
      <c r="EW2590" s="223"/>
      <c r="EX2590" s="223"/>
      <c r="EY2590" s="223"/>
      <c r="EZ2590" s="223"/>
      <c r="FA2590" s="223"/>
      <c r="FB2590" s="223"/>
      <c r="FC2590" s="223"/>
      <c r="FD2590" s="223"/>
      <c r="FE2590" s="223"/>
      <c r="FF2590" s="223"/>
      <c r="FG2590" s="223"/>
      <c r="FH2590" s="223"/>
      <c r="FI2590" s="223"/>
      <c r="FJ2590" s="223"/>
      <c r="FK2590" s="223"/>
      <c r="FL2590" s="223"/>
      <c r="FM2590" s="223"/>
      <c r="FN2590" s="223"/>
      <c r="FO2590" s="223"/>
      <c r="FP2590" s="223"/>
      <c r="FQ2590" s="223"/>
      <c r="FR2590" s="223"/>
      <c r="FS2590" s="223"/>
      <c r="FT2590" s="223"/>
      <c r="FU2590" s="223"/>
      <c r="FV2590" s="223"/>
      <c r="FW2590" s="223"/>
      <c r="FX2590" s="223"/>
      <c r="FY2590" s="223"/>
      <c r="FZ2590" s="223"/>
      <c r="GA2590" s="223"/>
      <c r="GB2590" s="223"/>
      <c r="GC2590" s="223"/>
      <c r="GD2590" s="223"/>
      <c r="GE2590" s="223"/>
      <c r="GF2590" s="223"/>
      <c r="GG2590" s="223"/>
      <c r="GH2590" s="223"/>
      <c r="GI2590" s="223"/>
      <c r="GJ2590" s="223"/>
      <c r="GK2590" s="223"/>
      <c r="GL2590" s="223"/>
      <c r="GM2590" s="223"/>
      <c r="GN2590" s="223"/>
      <c r="GO2590" s="223"/>
      <c r="GP2590" s="223"/>
      <c r="GQ2590" s="223"/>
      <c r="GR2590" s="223"/>
      <c r="GS2590" s="223"/>
      <c r="GT2590" s="223"/>
      <c r="GU2590" s="223"/>
      <c r="GV2590" s="223"/>
      <c r="GW2590" s="223"/>
      <c r="GX2590" s="223"/>
      <c r="GY2590" s="223"/>
      <c r="GZ2590" s="223"/>
      <c r="HA2590" s="223"/>
      <c r="HB2590" s="223"/>
      <c r="HC2590" s="223"/>
      <c r="HD2590" s="223"/>
      <c r="HE2590" s="223"/>
      <c r="HF2590" s="223"/>
      <c r="HG2590" s="223"/>
      <c r="HH2590" s="223"/>
      <c r="HI2590" s="223"/>
      <c r="HJ2590" s="223"/>
      <c r="HK2590" s="223"/>
      <c r="HL2590" s="223"/>
      <c r="HM2590" s="223"/>
      <c r="HN2590" s="223"/>
      <c r="HO2590" s="223"/>
      <c r="HP2590" s="223"/>
      <c r="HQ2590" s="223"/>
      <c r="HR2590" s="223"/>
      <c r="HS2590" s="223"/>
      <c r="HT2590" s="223"/>
      <c r="HU2590" s="223"/>
      <c r="HV2590" s="223"/>
      <c r="HW2590" s="223"/>
      <c r="HX2590" s="223"/>
      <c r="HY2590" s="223"/>
      <c r="HZ2590" s="223"/>
      <c r="IA2590" s="223"/>
      <c r="IB2590" s="223"/>
      <c r="IC2590" s="223"/>
      <c r="ID2590" s="223"/>
      <c r="IE2590" s="223"/>
      <c r="IF2590" s="223"/>
      <c r="IG2590" s="223"/>
      <c r="IH2590" s="223"/>
      <c r="II2590" s="223"/>
      <c r="IJ2590" s="223"/>
      <c r="IK2590" s="223"/>
      <c r="IL2590" s="223"/>
      <c r="IM2590" s="223"/>
      <c r="IN2590" s="223"/>
      <c r="IO2590" s="223"/>
      <c r="IP2590" s="223"/>
      <c r="IQ2590" s="223"/>
      <c r="IR2590" s="223"/>
      <c r="IS2590" s="223"/>
      <c r="IT2590" s="223"/>
      <c r="IU2590" s="223"/>
      <c r="IV2590" s="223"/>
    </row>
    <row r="2591" spans="1:256" s="221" customFormat="1" x14ac:dyDescent="0.2">
      <c r="A2591" s="223"/>
      <c r="B2591" s="223"/>
      <c r="C2591" s="223"/>
      <c r="D2591" s="223"/>
      <c r="E2591" s="223"/>
      <c r="F2591" s="223"/>
      <c r="G2591" s="223"/>
      <c r="H2591" s="223"/>
      <c r="I2591" s="223"/>
      <c r="V2591" s="223"/>
      <c r="W2591" s="223"/>
      <c r="X2591" s="223"/>
      <c r="Y2591" s="223"/>
      <c r="Z2591" s="223"/>
      <c r="AA2591" s="223"/>
      <c r="AB2591" s="223"/>
      <c r="AC2591" s="223"/>
      <c r="AD2591" s="223"/>
      <c r="AE2591" s="223"/>
      <c r="AF2591" s="223"/>
      <c r="AG2591" s="223"/>
      <c r="AH2591" s="223"/>
      <c r="AI2591" s="223"/>
      <c r="AJ2591" s="223"/>
      <c r="AK2591" s="223"/>
      <c r="AL2591" s="223"/>
      <c r="AM2591" s="223"/>
      <c r="AN2591" s="223"/>
      <c r="AO2591" s="223"/>
      <c r="AP2591" s="223"/>
      <c r="AQ2591" s="223"/>
      <c r="AR2591" s="223"/>
      <c r="AS2591" s="223"/>
      <c r="AT2591" s="324"/>
      <c r="AU2591" s="324"/>
      <c r="AV2591" s="223"/>
      <c r="AW2591" s="223"/>
      <c r="AX2591" s="223"/>
      <c r="AY2591" s="223"/>
      <c r="AZ2591" s="223"/>
      <c r="BA2591" s="223"/>
      <c r="BB2591" s="223"/>
      <c r="BC2591" s="223"/>
      <c r="BD2591" s="223"/>
      <c r="BE2591" s="223"/>
      <c r="BF2591" s="223"/>
      <c r="BG2591" s="223"/>
      <c r="BH2591" s="223"/>
      <c r="BI2591" s="223"/>
      <c r="BJ2591" s="223"/>
      <c r="BK2591" s="223"/>
      <c r="BL2591" s="223"/>
      <c r="BM2591" s="223"/>
      <c r="BN2591" s="223"/>
      <c r="BO2591" s="223"/>
      <c r="BP2591" s="223"/>
      <c r="BQ2591" s="223"/>
      <c r="BR2591" s="223"/>
      <c r="BS2591" s="223"/>
      <c r="BT2591" s="223"/>
      <c r="BU2591" s="223"/>
      <c r="BV2591" s="223"/>
      <c r="BW2591" s="223"/>
      <c r="BX2591" s="223"/>
      <c r="BY2591" s="223"/>
      <c r="BZ2591" s="223"/>
      <c r="CA2591" s="223"/>
      <c r="CB2591" s="223"/>
      <c r="CC2591" s="223"/>
      <c r="CD2591" s="223"/>
      <c r="CE2591" s="223"/>
      <c r="CF2591" s="223"/>
      <c r="CG2591" s="223"/>
      <c r="CH2591" s="223"/>
      <c r="CI2591" s="223"/>
      <c r="CJ2591" s="223"/>
      <c r="CK2591" s="223"/>
      <c r="CL2591" s="223"/>
      <c r="CM2591" s="223"/>
      <c r="CN2591" s="223"/>
      <c r="CO2591" s="223"/>
      <c r="CP2591" s="223"/>
      <c r="CQ2591" s="223"/>
      <c r="CR2591" s="223"/>
      <c r="CS2591" s="223"/>
      <c r="CT2591" s="223"/>
      <c r="CU2591" s="223"/>
      <c r="CV2591" s="223"/>
      <c r="CW2591" s="223"/>
      <c r="CX2591" s="223"/>
      <c r="CY2591" s="223"/>
      <c r="CZ2591" s="223"/>
      <c r="DA2591" s="223"/>
      <c r="DB2591" s="223"/>
      <c r="DC2591" s="223"/>
      <c r="DD2591" s="223"/>
      <c r="DE2591" s="223"/>
      <c r="DF2591" s="223"/>
      <c r="DG2591" s="223"/>
      <c r="DH2591" s="223"/>
      <c r="DI2591" s="223"/>
      <c r="DJ2591" s="223"/>
      <c r="DK2591" s="223"/>
      <c r="DL2591" s="223"/>
      <c r="DM2591" s="223"/>
      <c r="DN2591" s="223"/>
      <c r="DO2591" s="223"/>
      <c r="DP2591" s="223"/>
      <c r="DQ2591" s="223"/>
      <c r="DR2591" s="223"/>
      <c r="DS2591" s="223"/>
      <c r="DT2591" s="223"/>
      <c r="DU2591" s="223"/>
      <c r="DV2591" s="223"/>
      <c r="DW2591" s="223"/>
      <c r="DX2591" s="223"/>
      <c r="DY2591" s="223"/>
      <c r="DZ2591" s="223"/>
      <c r="EA2591" s="223"/>
      <c r="EB2591" s="223"/>
      <c r="EC2591" s="223"/>
      <c r="ED2591" s="223"/>
      <c r="EE2591" s="223"/>
      <c r="EF2591" s="223"/>
      <c r="EG2591" s="223"/>
      <c r="EH2591" s="223"/>
      <c r="EI2591" s="223"/>
      <c r="EJ2591" s="223"/>
      <c r="EK2591" s="223"/>
      <c r="EL2591" s="223"/>
      <c r="EM2591" s="223"/>
      <c r="EN2591" s="223"/>
      <c r="EO2591" s="223"/>
      <c r="EP2591" s="223"/>
      <c r="EQ2591" s="223"/>
      <c r="ER2591" s="223"/>
      <c r="ES2591" s="223"/>
      <c r="ET2591" s="223"/>
      <c r="EU2591" s="223"/>
      <c r="EV2591" s="223"/>
      <c r="EW2591" s="223"/>
      <c r="EX2591" s="223"/>
      <c r="EY2591" s="223"/>
      <c r="EZ2591" s="223"/>
      <c r="FA2591" s="223"/>
      <c r="FB2591" s="223"/>
      <c r="FC2591" s="223"/>
      <c r="FD2591" s="223"/>
      <c r="FE2591" s="223"/>
      <c r="FF2591" s="223"/>
      <c r="FG2591" s="223"/>
      <c r="FH2591" s="223"/>
      <c r="FI2591" s="223"/>
      <c r="FJ2591" s="223"/>
      <c r="FK2591" s="223"/>
      <c r="FL2591" s="223"/>
      <c r="FM2591" s="223"/>
      <c r="FN2591" s="223"/>
      <c r="FO2591" s="223"/>
      <c r="FP2591" s="223"/>
      <c r="FQ2591" s="223"/>
      <c r="FR2591" s="223"/>
      <c r="FS2591" s="223"/>
      <c r="FT2591" s="223"/>
      <c r="FU2591" s="223"/>
      <c r="FV2591" s="223"/>
      <c r="FW2591" s="223"/>
      <c r="FX2591" s="223"/>
      <c r="FY2591" s="223"/>
      <c r="FZ2591" s="223"/>
      <c r="GA2591" s="223"/>
      <c r="GB2591" s="223"/>
      <c r="GC2591" s="223"/>
      <c r="GD2591" s="223"/>
      <c r="GE2591" s="223"/>
      <c r="GF2591" s="223"/>
      <c r="GG2591" s="223"/>
      <c r="GH2591" s="223"/>
      <c r="GI2591" s="223"/>
      <c r="GJ2591" s="223"/>
      <c r="GK2591" s="223"/>
      <c r="GL2591" s="223"/>
      <c r="GM2591" s="223"/>
      <c r="GN2591" s="223"/>
      <c r="GO2591" s="223"/>
      <c r="GP2591" s="223"/>
      <c r="GQ2591" s="223"/>
      <c r="GR2591" s="223"/>
      <c r="GS2591" s="223"/>
      <c r="GT2591" s="223"/>
      <c r="GU2591" s="223"/>
      <c r="GV2591" s="223"/>
      <c r="GW2591" s="223"/>
      <c r="GX2591" s="223"/>
      <c r="GY2591" s="223"/>
      <c r="GZ2591" s="223"/>
      <c r="HA2591" s="223"/>
      <c r="HB2591" s="223"/>
      <c r="HC2591" s="223"/>
      <c r="HD2591" s="223"/>
      <c r="HE2591" s="223"/>
      <c r="HF2591" s="223"/>
      <c r="HG2591" s="223"/>
      <c r="HH2591" s="223"/>
      <c r="HI2591" s="223"/>
      <c r="HJ2591" s="223"/>
      <c r="HK2591" s="223"/>
      <c r="HL2591" s="223"/>
      <c r="HM2591" s="223"/>
      <c r="HN2591" s="223"/>
      <c r="HO2591" s="223"/>
      <c r="HP2591" s="223"/>
      <c r="HQ2591" s="223"/>
      <c r="HR2591" s="223"/>
      <c r="HS2591" s="223"/>
      <c r="HT2591" s="223"/>
      <c r="HU2591" s="223"/>
      <c r="HV2591" s="223"/>
      <c r="HW2591" s="223"/>
      <c r="HX2591" s="223"/>
      <c r="HY2591" s="223"/>
      <c r="HZ2591" s="223"/>
      <c r="IA2591" s="223"/>
      <c r="IB2591" s="223"/>
      <c r="IC2591" s="223"/>
      <c r="ID2591" s="223"/>
      <c r="IE2591" s="223"/>
      <c r="IF2591" s="223"/>
      <c r="IG2591" s="223"/>
      <c r="IH2591" s="223"/>
      <c r="II2591" s="223"/>
      <c r="IJ2591" s="223"/>
      <c r="IK2591" s="223"/>
      <c r="IL2591" s="223"/>
      <c r="IM2591" s="223"/>
      <c r="IN2591" s="223"/>
      <c r="IO2591" s="223"/>
      <c r="IP2591" s="223"/>
      <c r="IQ2591" s="223"/>
      <c r="IR2591" s="223"/>
      <c r="IS2591" s="223"/>
      <c r="IT2591" s="223"/>
      <c r="IU2591" s="223"/>
      <c r="IV2591" s="223"/>
    </row>
    <row r="2592" spans="1:256" s="221" customFormat="1" x14ac:dyDescent="0.2">
      <c r="A2592" s="223"/>
      <c r="B2592" s="223"/>
      <c r="C2592" s="223"/>
      <c r="D2592" s="223"/>
      <c r="E2592" s="223"/>
      <c r="F2592" s="223"/>
      <c r="G2592" s="223"/>
      <c r="H2592" s="223"/>
      <c r="I2592" s="223"/>
      <c r="V2592" s="223"/>
      <c r="W2592" s="223"/>
      <c r="X2592" s="223"/>
      <c r="Y2592" s="223"/>
      <c r="Z2592" s="223"/>
      <c r="AA2592" s="223"/>
      <c r="AB2592" s="223"/>
      <c r="AC2592" s="223"/>
      <c r="AD2592" s="223"/>
      <c r="AE2592" s="223"/>
      <c r="AF2592" s="223"/>
      <c r="AG2592" s="223"/>
      <c r="AH2592" s="223"/>
      <c r="AI2592" s="223"/>
      <c r="AJ2592" s="223"/>
      <c r="AK2592" s="223"/>
      <c r="AL2592" s="223"/>
      <c r="AM2592" s="223"/>
      <c r="AN2592" s="223"/>
      <c r="AO2592" s="223"/>
      <c r="AP2592" s="223"/>
      <c r="AQ2592" s="223"/>
      <c r="AR2592" s="223"/>
      <c r="AS2592" s="223"/>
      <c r="AT2592" s="324"/>
      <c r="AU2592" s="324"/>
      <c r="AV2592" s="223"/>
      <c r="AW2592" s="223"/>
      <c r="AX2592" s="223"/>
      <c r="AY2592" s="223"/>
      <c r="AZ2592" s="223"/>
      <c r="BA2592" s="223"/>
      <c r="BB2592" s="223"/>
      <c r="BC2592" s="223"/>
      <c r="BD2592" s="223"/>
      <c r="BE2592" s="223"/>
      <c r="BF2592" s="223"/>
      <c r="BG2592" s="223"/>
      <c r="BH2592" s="223"/>
      <c r="BI2592" s="223"/>
      <c r="BJ2592" s="223"/>
      <c r="BK2592" s="223"/>
      <c r="BL2592" s="223"/>
      <c r="BM2592" s="223"/>
      <c r="BN2592" s="223"/>
      <c r="BO2592" s="223"/>
      <c r="BP2592" s="223"/>
      <c r="BQ2592" s="223"/>
      <c r="BR2592" s="223"/>
      <c r="BS2592" s="223"/>
      <c r="BT2592" s="223"/>
      <c r="BU2592" s="223"/>
      <c r="BV2592" s="223"/>
      <c r="BW2592" s="223"/>
      <c r="BX2592" s="223"/>
      <c r="BY2592" s="223"/>
      <c r="BZ2592" s="223"/>
      <c r="CA2592" s="223"/>
      <c r="CB2592" s="223"/>
      <c r="CC2592" s="223"/>
      <c r="CD2592" s="223"/>
      <c r="CE2592" s="223"/>
      <c r="CF2592" s="223"/>
      <c r="CG2592" s="223"/>
      <c r="CH2592" s="223"/>
      <c r="CI2592" s="223"/>
      <c r="CJ2592" s="223"/>
      <c r="CK2592" s="223"/>
      <c r="CL2592" s="223"/>
      <c r="CM2592" s="223"/>
      <c r="CN2592" s="223"/>
      <c r="CO2592" s="223"/>
      <c r="CP2592" s="223"/>
      <c r="CQ2592" s="223"/>
      <c r="CR2592" s="223"/>
      <c r="CS2592" s="223"/>
      <c r="CT2592" s="223"/>
      <c r="CU2592" s="223"/>
      <c r="CV2592" s="223"/>
      <c r="CW2592" s="223"/>
      <c r="CX2592" s="223"/>
      <c r="CY2592" s="223"/>
      <c r="CZ2592" s="223"/>
      <c r="DA2592" s="223"/>
      <c r="DB2592" s="223"/>
      <c r="DC2592" s="223"/>
      <c r="DD2592" s="223"/>
      <c r="DE2592" s="223"/>
      <c r="DF2592" s="223"/>
      <c r="DG2592" s="223"/>
      <c r="DH2592" s="223"/>
      <c r="DI2592" s="223"/>
      <c r="DJ2592" s="223"/>
      <c r="DK2592" s="223"/>
      <c r="DL2592" s="223"/>
      <c r="DM2592" s="223"/>
      <c r="DN2592" s="223"/>
      <c r="DO2592" s="223"/>
      <c r="DP2592" s="223"/>
      <c r="DQ2592" s="223"/>
      <c r="DR2592" s="223"/>
      <c r="DS2592" s="223"/>
      <c r="DT2592" s="223"/>
      <c r="DU2592" s="223"/>
      <c r="DV2592" s="223"/>
      <c r="DW2592" s="223"/>
      <c r="DX2592" s="223"/>
      <c r="DY2592" s="223"/>
      <c r="DZ2592" s="223"/>
      <c r="EA2592" s="223"/>
      <c r="EB2592" s="223"/>
      <c r="EC2592" s="223"/>
      <c r="ED2592" s="223"/>
      <c r="EE2592" s="223"/>
      <c r="EF2592" s="223"/>
      <c r="EG2592" s="223"/>
      <c r="EH2592" s="223"/>
      <c r="EI2592" s="223"/>
      <c r="EJ2592" s="223"/>
      <c r="EK2592" s="223"/>
      <c r="EL2592" s="223"/>
      <c r="EM2592" s="223"/>
      <c r="EN2592" s="223"/>
      <c r="EO2592" s="223"/>
      <c r="EP2592" s="223"/>
      <c r="EQ2592" s="223"/>
      <c r="ER2592" s="223"/>
      <c r="ES2592" s="223"/>
      <c r="ET2592" s="223"/>
      <c r="EU2592" s="223"/>
      <c r="EV2592" s="223"/>
      <c r="EW2592" s="223"/>
      <c r="EX2592" s="223"/>
      <c r="EY2592" s="223"/>
      <c r="EZ2592" s="223"/>
      <c r="FA2592" s="223"/>
      <c r="FB2592" s="223"/>
      <c r="FC2592" s="223"/>
      <c r="FD2592" s="223"/>
      <c r="FE2592" s="223"/>
      <c r="FF2592" s="223"/>
      <c r="FG2592" s="223"/>
      <c r="FH2592" s="223"/>
      <c r="FI2592" s="223"/>
      <c r="FJ2592" s="223"/>
      <c r="FK2592" s="223"/>
      <c r="FL2592" s="223"/>
      <c r="FM2592" s="223"/>
      <c r="FN2592" s="223"/>
      <c r="FO2592" s="223"/>
      <c r="FP2592" s="223"/>
      <c r="FQ2592" s="223"/>
      <c r="FR2592" s="223"/>
      <c r="FS2592" s="223"/>
      <c r="FT2592" s="223"/>
      <c r="FU2592" s="223"/>
      <c r="FV2592" s="223"/>
      <c r="FW2592" s="223"/>
      <c r="FX2592" s="223"/>
      <c r="FY2592" s="223"/>
      <c r="FZ2592" s="223"/>
      <c r="GA2592" s="223"/>
      <c r="GB2592" s="223"/>
      <c r="GC2592" s="223"/>
      <c r="GD2592" s="223"/>
      <c r="GE2592" s="223"/>
      <c r="GF2592" s="223"/>
      <c r="GG2592" s="223"/>
      <c r="GH2592" s="223"/>
      <c r="GI2592" s="223"/>
      <c r="GJ2592" s="223"/>
      <c r="GK2592" s="223"/>
      <c r="GL2592" s="223"/>
      <c r="GM2592" s="223"/>
      <c r="GN2592" s="223"/>
      <c r="GO2592" s="223"/>
      <c r="GP2592" s="223"/>
      <c r="GQ2592" s="223"/>
      <c r="GR2592" s="223"/>
      <c r="GS2592" s="223"/>
      <c r="GT2592" s="223"/>
      <c r="GU2592" s="223"/>
      <c r="GV2592" s="223"/>
      <c r="GW2592" s="223"/>
      <c r="GX2592" s="223"/>
      <c r="GY2592" s="223"/>
      <c r="GZ2592" s="223"/>
      <c r="HA2592" s="223"/>
      <c r="HB2592" s="223"/>
      <c r="HC2592" s="223"/>
      <c r="HD2592" s="223"/>
      <c r="HE2592" s="223"/>
      <c r="HF2592" s="223"/>
      <c r="HG2592" s="223"/>
      <c r="HH2592" s="223"/>
      <c r="HI2592" s="223"/>
      <c r="HJ2592" s="223"/>
      <c r="HK2592" s="223"/>
      <c r="HL2592" s="223"/>
      <c r="HM2592" s="223"/>
      <c r="HN2592" s="223"/>
      <c r="HO2592" s="223"/>
      <c r="HP2592" s="223"/>
      <c r="HQ2592" s="223"/>
      <c r="HR2592" s="223"/>
      <c r="HS2592" s="223"/>
      <c r="HT2592" s="223"/>
      <c r="HU2592" s="223"/>
      <c r="HV2592" s="223"/>
      <c r="HW2592" s="223"/>
      <c r="HX2592" s="223"/>
      <c r="HY2592" s="223"/>
      <c r="HZ2592" s="223"/>
      <c r="IA2592" s="223"/>
      <c r="IB2592" s="223"/>
      <c r="IC2592" s="223"/>
      <c r="ID2592" s="223"/>
      <c r="IE2592" s="223"/>
      <c r="IF2592" s="223"/>
      <c r="IG2592" s="223"/>
      <c r="IH2592" s="223"/>
      <c r="II2592" s="223"/>
      <c r="IJ2592" s="223"/>
      <c r="IK2592" s="223"/>
      <c r="IL2592" s="223"/>
      <c r="IM2592" s="223"/>
      <c r="IN2592" s="223"/>
      <c r="IO2592" s="223"/>
      <c r="IP2592" s="223"/>
      <c r="IQ2592" s="223"/>
      <c r="IR2592" s="223"/>
      <c r="IS2592" s="223"/>
      <c r="IT2592" s="223"/>
      <c r="IU2592" s="223"/>
      <c r="IV2592" s="223"/>
    </row>
    <row r="2593" spans="1:256" s="221" customFormat="1" x14ac:dyDescent="0.2">
      <c r="A2593" s="223"/>
      <c r="B2593" s="223"/>
      <c r="C2593" s="223"/>
      <c r="D2593" s="223"/>
      <c r="E2593" s="223"/>
      <c r="F2593" s="223"/>
      <c r="G2593" s="223"/>
      <c r="H2593" s="223"/>
      <c r="I2593" s="223"/>
      <c r="V2593" s="223"/>
      <c r="W2593" s="223"/>
      <c r="X2593" s="223"/>
      <c r="Y2593" s="223"/>
      <c r="Z2593" s="223"/>
      <c r="AA2593" s="223"/>
      <c r="AB2593" s="223"/>
      <c r="AC2593" s="223"/>
      <c r="AD2593" s="223"/>
      <c r="AE2593" s="223"/>
      <c r="AF2593" s="223"/>
      <c r="AG2593" s="223"/>
      <c r="AH2593" s="223"/>
      <c r="AI2593" s="223"/>
      <c r="AJ2593" s="223"/>
      <c r="AK2593" s="223"/>
      <c r="AL2593" s="223"/>
      <c r="AM2593" s="223"/>
      <c r="AN2593" s="223"/>
      <c r="AO2593" s="223"/>
      <c r="AP2593" s="223"/>
      <c r="AQ2593" s="223"/>
      <c r="AR2593" s="223"/>
      <c r="AS2593" s="223"/>
      <c r="AT2593" s="324"/>
      <c r="AU2593" s="324"/>
      <c r="AV2593" s="223"/>
      <c r="AW2593" s="223"/>
      <c r="AX2593" s="223"/>
      <c r="AY2593" s="223"/>
      <c r="AZ2593" s="223"/>
      <c r="BA2593" s="223"/>
      <c r="BB2593" s="223"/>
      <c r="BC2593" s="223"/>
      <c r="BD2593" s="223"/>
      <c r="BE2593" s="223"/>
      <c r="BF2593" s="223"/>
      <c r="BG2593" s="223"/>
      <c r="BH2593" s="223"/>
      <c r="BI2593" s="223"/>
      <c r="BJ2593" s="223"/>
      <c r="BK2593" s="223"/>
      <c r="BL2593" s="223"/>
      <c r="BM2593" s="223"/>
      <c r="BN2593" s="223"/>
      <c r="BO2593" s="223"/>
      <c r="BP2593" s="223"/>
      <c r="BQ2593" s="223"/>
      <c r="BR2593" s="223"/>
      <c r="BS2593" s="223"/>
      <c r="BT2593" s="223"/>
      <c r="BU2593" s="223"/>
      <c r="BV2593" s="223"/>
      <c r="BW2593" s="223"/>
      <c r="BX2593" s="223"/>
      <c r="BY2593" s="223"/>
      <c r="BZ2593" s="223"/>
      <c r="CA2593" s="223"/>
      <c r="CB2593" s="223"/>
      <c r="CC2593" s="223"/>
      <c r="CD2593" s="223"/>
      <c r="CE2593" s="223"/>
      <c r="CF2593" s="223"/>
      <c r="CG2593" s="223"/>
      <c r="CH2593" s="223"/>
      <c r="CI2593" s="223"/>
      <c r="CJ2593" s="223"/>
      <c r="CK2593" s="223"/>
      <c r="CL2593" s="223"/>
      <c r="CM2593" s="223"/>
      <c r="CN2593" s="223"/>
      <c r="CO2593" s="223"/>
      <c r="CP2593" s="223"/>
      <c r="CQ2593" s="223"/>
      <c r="CR2593" s="223"/>
      <c r="CS2593" s="223"/>
      <c r="CT2593" s="223"/>
      <c r="CU2593" s="223"/>
      <c r="CV2593" s="223"/>
      <c r="CW2593" s="223"/>
      <c r="CX2593" s="223"/>
      <c r="CY2593" s="223"/>
      <c r="CZ2593" s="223"/>
      <c r="DA2593" s="223"/>
      <c r="DB2593" s="223"/>
      <c r="DC2593" s="223"/>
      <c r="DD2593" s="223"/>
      <c r="DE2593" s="223"/>
      <c r="DF2593" s="223"/>
      <c r="DG2593" s="223"/>
      <c r="DH2593" s="223"/>
      <c r="DI2593" s="223"/>
      <c r="DJ2593" s="223"/>
      <c r="DK2593" s="223"/>
      <c r="DL2593" s="223"/>
      <c r="DM2593" s="223"/>
      <c r="DN2593" s="223"/>
      <c r="DO2593" s="223"/>
      <c r="DP2593" s="223"/>
      <c r="DQ2593" s="223"/>
      <c r="DR2593" s="223"/>
      <c r="DS2593" s="223"/>
      <c r="DT2593" s="223"/>
      <c r="DU2593" s="223"/>
      <c r="DV2593" s="223"/>
      <c r="DW2593" s="223"/>
      <c r="DX2593" s="223"/>
      <c r="DY2593" s="223"/>
      <c r="DZ2593" s="223"/>
      <c r="EA2593" s="223"/>
      <c r="EB2593" s="223"/>
      <c r="EC2593" s="223"/>
      <c r="ED2593" s="223"/>
      <c r="EE2593" s="223"/>
      <c r="EF2593" s="223"/>
      <c r="EG2593" s="223"/>
      <c r="EH2593" s="223"/>
      <c r="EI2593" s="223"/>
      <c r="EJ2593" s="223"/>
      <c r="EK2593" s="223"/>
      <c r="EL2593" s="223"/>
      <c r="EM2593" s="223"/>
      <c r="EN2593" s="223"/>
      <c r="EO2593" s="223"/>
      <c r="EP2593" s="223"/>
      <c r="EQ2593" s="223"/>
      <c r="ER2593" s="223"/>
      <c r="ES2593" s="223"/>
      <c r="ET2593" s="223"/>
      <c r="EU2593" s="223"/>
      <c r="EV2593" s="223"/>
      <c r="EW2593" s="223"/>
      <c r="EX2593" s="223"/>
      <c r="EY2593" s="223"/>
      <c r="EZ2593" s="223"/>
      <c r="FA2593" s="223"/>
      <c r="FB2593" s="223"/>
      <c r="FC2593" s="223"/>
      <c r="FD2593" s="223"/>
      <c r="FE2593" s="223"/>
      <c r="FF2593" s="223"/>
      <c r="FG2593" s="223"/>
      <c r="FH2593" s="223"/>
      <c r="FI2593" s="223"/>
      <c r="FJ2593" s="223"/>
      <c r="FK2593" s="223"/>
      <c r="FL2593" s="223"/>
      <c r="FM2593" s="223"/>
      <c r="FN2593" s="223"/>
      <c r="FO2593" s="223"/>
      <c r="FP2593" s="223"/>
      <c r="FQ2593" s="223"/>
      <c r="FR2593" s="223"/>
      <c r="FS2593" s="223"/>
      <c r="FT2593" s="223"/>
      <c r="FU2593" s="223"/>
      <c r="FV2593" s="223"/>
      <c r="FW2593" s="223"/>
      <c r="FX2593" s="223"/>
      <c r="FY2593" s="223"/>
      <c r="FZ2593" s="223"/>
      <c r="GA2593" s="223"/>
      <c r="GB2593" s="223"/>
      <c r="GC2593" s="223"/>
      <c r="GD2593" s="223"/>
      <c r="GE2593" s="223"/>
      <c r="GF2593" s="223"/>
      <c r="GG2593" s="223"/>
      <c r="GH2593" s="223"/>
      <c r="GI2593" s="223"/>
      <c r="GJ2593" s="223"/>
      <c r="GK2593" s="223"/>
      <c r="GL2593" s="223"/>
      <c r="GM2593" s="223"/>
      <c r="GN2593" s="223"/>
      <c r="GO2593" s="223"/>
      <c r="GP2593" s="223"/>
      <c r="GQ2593" s="223"/>
      <c r="GR2593" s="223"/>
      <c r="GS2593" s="223"/>
      <c r="GT2593" s="223"/>
      <c r="GU2593" s="223"/>
      <c r="GV2593" s="223"/>
      <c r="GW2593" s="223"/>
      <c r="GX2593" s="223"/>
      <c r="GY2593" s="223"/>
      <c r="GZ2593" s="223"/>
      <c r="HA2593" s="223"/>
      <c r="HB2593" s="223"/>
      <c r="HC2593" s="223"/>
      <c r="HD2593" s="223"/>
      <c r="HE2593" s="223"/>
      <c r="HF2593" s="223"/>
      <c r="HG2593" s="223"/>
      <c r="HH2593" s="223"/>
      <c r="HI2593" s="223"/>
      <c r="HJ2593" s="223"/>
      <c r="HK2593" s="223"/>
      <c r="HL2593" s="223"/>
      <c r="HM2593" s="223"/>
      <c r="HN2593" s="223"/>
      <c r="HO2593" s="223"/>
      <c r="HP2593" s="223"/>
      <c r="HQ2593" s="223"/>
      <c r="HR2593" s="223"/>
      <c r="HS2593" s="223"/>
      <c r="HT2593" s="223"/>
      <c r="HU2593" s="223"/>
      <c r="HV2593" s="223"/>
      <c r="HW2593" s="223"/>
      <c r="HX2593" s="223"/>
      <c r="HY2593" s="223"/>
      <c r="HZ2593" s="223"/>
      <c r="IA2593" s="223"/>
      <c r="IB2593" s="223"/>
      <c r="IC2593" s="223"/>
      <c r="ID2593" s="223"/>
      <c r="IE2593" s="223"/>
      <c r="IF2593" s="223"/>
      <c r="IG2593" s="223"/>
      <c r="IH2593" s="223"/>
      <c r="II2593" s="223"/>
      <c r="IJ2593" s="223"/>
      <c r="IK2593" s="223"/>
      <c r="IL2593" s="223"/>
      <c r="IM2593" s="223"/>
      <c r="IN2593" s="223"/>
      <c r="IO2593" s="223"/>
      <c r="IP2593" s="223"/>
      <c r="IQ2593" s="223"/>
      <c r="IR2593" s="223"/>
      <c r="IS2593" s="223"/>
      <c r="IT2593" s="223"/>
      <c r="IU2593" s="223"/>
      <c r="IV2593" s="223"/>
    </row>
    <row r="2594" spans="1:256" x14ac:dyDescent="0.2">
      <c r="J2594" s="221"/>
      <c r="K2594" s="221"/>
      <c r="L2594" s="221"/>
      <c r="M2594" s="221"/>
      <c r="N2594" s="221"/>
      <c r="O2594" s="221"/>
      <c r="P2594" s="221"/>
      <c r="Q2594" s="221"/>
      <c r="R2594" s="221"/>
      <c r="S2594" s="221"/>
    </row>
  </sheetData>
  <sheetProtection algorithmName="SHA-512" hashValue="2B67DDKGIf3ZasrZ6gXvVfWYEfMWCyXDx4Gyzp/k3812uAQYAEzYskHv58MARIkeNndvRd5a5N1pTPUOEzIszA==" saltValue="mE5s+eMujc1KrQWmIDX8sQ==" spinCount="100000" sheet="1" selectLockedCells="1"/>
  <mergeCells count="102">
    <mergeCell ref="B277:G277"/>
    <mergeCell ref="C326:E326"/>
    <mergeCell ref="A328:G328"/>
    <mergeCell ref="B333:C333"/>
    <mergeCell ref="B201:G201"/>
    <mergeCell ref="A282:G282"/>
    <mergeCell ref="C279:E279"/>
    <mergeCell ref="R50:S50"/>
    <mergeCell ref="L50:M50"/>
    <mergeCell ref="N50:O50"/>
    <mergeCell ref="P50:Q50"/>
    <mergeCell ref="B68:G68"/>
    <mergeCell ref="B69:G69"/>
    <mergeCell ref="B57:G57"/>
    <mergeCell ref="B58:G58"/>
    <mergeCell ref="B49:G49"/>
    <mergeCell ref="C77:E77"/>
    <mergeCell ref="C325:E325"/>
    <mergeCell ref="B35:G35"/>
    <mergeCell ref="B36:G36"/>
    <mergeCell ref="C37:D37"/>
    <mergeCell ref="C38:D38"/>
    <mergeCell ref="B59:G59"/>
    <mergeCell ref="B67:G67"/>
    <mergeCell ref="B114:D114"/>
    <mergeCell ref="A131:G131"/>
    <mergeCell ref="B80:F80"/>
    <mergeCell ref="B133:G133"/>
    <mergeCell ref="B168:C168"/>
    <mergeCell ref="B148:G148"/>
    <mergeCell ref="B197:G197"/>
    <mergeCell ref="B199:G199"/>
    <mergeCell ref="B126:G126"/>
    <mergeCell ref="B303:C303"/>
    <mergeCell ref="A198:G198"/>
    <mergeCell ref="B323:G323"/>
    <mergeCell ref="C128:E128"/>
    <mergeCell ref="C129:E129"/>
    <mergeCell ref="B203:G203"/>
    <mergeCell ref="A239:G239"/>
    <mergeCell ref="B3:G3"/>
    <mergeCell ref="C5:E5"/>
    <mergeCell ref="C6:E6"/>
    <mergeCell ref="B8:F8"/>
    <mergeCell ref="B13:G13"/>
    <mergeCell ref="B14:G14"/>
    <mergeCell ref="B15:G15"/>
    <mergeCell ref="B74:G74"/>
    <mergeCell ref="C76:E76"/>
    <mergeCell ref="B26:G26"/>
    <mergeCell ref="B27:G27"/>
    <mergeCell ref="B28:G28"/>
    <mergeCell ref="C30:D30"/>
    <mergeCell ref="B34:G34"/>
    <mergeCell ref="B480:G480"/>
    <mergeCell ref="C464:E464"/>
    <mergeCell ref="A466:G466"/>
    <mergeCell ref="B79:F79"/>
    <mergeCell ref="B334:C334"/>
    <mergeCell ref="B342:G342"/>
    <mergeCell ref="B360:G360"/>
    <mergeCell ref="C417:E417"/>
    <mergeCell ref="C371:E371"/>
    <mergeCell ref="C372:E372"/>
    <mergeCell ref="A374:G374"/>
    <mergeCell ref="B379:C379"/>
    <mergeCell ref="B380:C380"/>
    <mergeCell ref="B388:G388"/>
    <mergeCell ref="B369:G369"/>
    <mergeCell ref="B415:G415"/>
    <mergeCell ref="B245:C245"/>
    <mergeCell ref="B244:C244"/>
    <mergeCell ref="B255:G255"/>
    <mergeCell ref="C236:E236"/>
    <mergeCell ref="C237:E237"/>
    <mergeCell ref="C280:E280"/>
    <mergeCell ref="F244:G244"/>
    <mergeCell ref="B234:G234"/>
    <mergeCell ref="C555:E555"/>
    <mergeCell ref="C556:E556"/>
    <mergeCell ref="T50:U50"/>
    <mergeCell ref="B452:G452"/>
    <mergeCell ref="B434:G434"/>
    <mergeCell ref="B544:G544"/>
    <mergeCell ref="B526:G526"/>
    <mergeCell ref="C510:E510"/>
    <mergeCell ref="A512:G512"/>
    <mergeCell ref="B471:C471"/>
    <mergeCell ref="B472:C472"/>
    <mergeCell ref="C509:E509"/>
    <mergeCell ref="B507:G507"/>
    <mergeCell ref="B517:C517"/>
    <mergeCell ref="B518:C518"/>
    <mergeCell ref="A553:G553"/>
    <mergeCell ref="B425:C425"/>
    <mergeCell ref="B426:C426"/>
    <mergeCell ref="B406:G406"/>
    <mergeCell ref="C418:E418"/>
    <mergeCell ref="A420:G420"/>
    <mergeCell ref="C463:E463"/>
    <mergeCell ref="B461:G461"/>
    <mergeCell ref="B498:G498"/>
  </mergeCells>
  <phoneticPr fontId="2" type="noConversion"/>
  <pageMargins left="0.43" right="0.6" top="0.52" bottom="0.5" header="0.5" footer="0.5"/>
  <pageSetup scale="76" orientation="portrait" horizontalDpi="360" verticalDpi="300" r:id="rId1"/>
  <headerFooter alignWithMargins="0">
    <oddFooter>&amp;L&amp;D</oddFooter>
  </headerFooter>
  <rowBreaks count="10" manualBreakCount="10">
    <brk id="70" max="6" man="1"/>
    <brk id="123" max="6" man="1"/>
    <brk id="175" max="6" man="1"/>
    <brk id="231" max="6" man="1"/>
    <brk id="274" max="6" man="1"/>
    <brk id="320" max="6" man="1"/>
    <brk id="366" max="6" man="1"/>
    <brk id="412" max="6" man="1"/>
    <brk id="458" max="6" man="1"/>
    <brk id="504" max="6" man="1"/>
  </rowBreaks>
  <drawing r:id="rId2"/>
  <legacyDrawing r:id="rId3"/>
  <oleObjects>
    <mc:AlternateContent xmlns:mc="http://schemas.openxmlformats.org/markup-compatibility/2006">
      <mc:Choice Requires="x14">
        <oleObject progId="Wordpad.Document.1" shapeId="1037" r:id="rId4">
          <objectPr defaultSize="0" autoPict="0" r:id="rId5">
            <anchor moveWithCells="1">
              <from>
                <xdr:col>1</xdr:col>
                <xdr:colOff>152400</xdr:colOff>
                <xdr:row>215</xdr:row>
                <xdr:rowOff>133350</xdr:rowOff>
              </from>
              <to>
                <xdr:col>6</xdr:col>
                <xdr:colOff>666750</xdr:colOff>
                <xdr:row>222</xdr:row>
                <xdr:rowOff>85725</xdr:rowOff>
              </to>
            </anchor>
          </objectPr>
        </oleObject>
      </mc:Choice>
      <mc:Fallback>
        <oleObject progId="Wordpad.Document.1" shapeId="103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ADDRESS</vt:lpstr>
      <vt:lpstr>CUSTOMER</vt:lpstr>
      <vt:lpstr>CUSTOMERNAME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Sorenson</dc:creator>
  <cp:lastModifiedBy>Brad Sorenson</cp:lastModifiedBy>
  <cp:lastPrinted>2015-03-20T15:16:46Z</cp:lastPrinted>
  <dcterms:created xsi:type="dcterms:W3CDTF">2003-04-06T16:14:55Z</dcterms:created>
  <dcterms:modified xsi:type="dcterms:W3CDTF">2020-08-04T15:15:26Z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