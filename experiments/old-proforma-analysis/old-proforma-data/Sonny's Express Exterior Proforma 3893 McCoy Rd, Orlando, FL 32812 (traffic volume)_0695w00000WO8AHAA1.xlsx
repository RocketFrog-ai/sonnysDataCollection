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J\John Hairabedian\3893 McCoy Rd, Orlando, FL\"/>
    </mc:Choice>
  </mc:AlternateContent>
  <xr:revisionPtr revIDLastSave="0" documentId="13_ncr:1_{69A3F30B-2B9B-4348-8629-A7C63CA73832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<sst xmlns="http://schemas.openxmlformats.org/spreadsheetml/2006/main" count="437" uniqueCount="198">
  <si>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</si>
  <si>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</si>
  <si>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</si>
  <si>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</si>
  <si>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</si>
  <si>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</si>
  <si>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</si>
  <si>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</si>
  <si>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</si>
  <si>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</si>
  <si>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</si>
  <si>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</si>
  <si>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</si>
  <si>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</si>
  <si>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</si>
  <si>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</si>
  <si>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</si>
  <si>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</si>
  <si>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</si>
  <si>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</si>
  <si>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</si>
  <si>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</si>
  <si>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</si>
  <si>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</si>
  <si>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</si>
  <si>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</si>
  <si>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</si>
  <si>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</si>
  <si>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</si>
  <si>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</si>
  <si>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</si>
  <si>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</si>
  <si>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</si>
  <si>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</si>
  <si>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</si>
  <si>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</si>
  <si>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</si>
  <si>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</si>
  <si>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</si>
  <si>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</si>
  <si>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</si>
  <si>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</si>
  <si>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</si>
  <si>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</si>
  <si>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</si>
  <si>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</si>
  <si>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</si>
  <si>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</si>
  <si>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</si>
  <si>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</si>
  <si>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</si>
  <si>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</si>
  <si>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</si>
  <si>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</si>
  <si>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</si>
  <si>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</si>
  <si>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</si>
  <si>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</si>
  <si>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</si>
  <si>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</si>
  <si>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</si>
  <si>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</si>
  <si>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</si>
  <si>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</si>
  <si>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</si>
  <si>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</si>
  <si>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</si>
  <si>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</si>
  <si>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</si>
  <si>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</si>
  <si>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</si>
  <si>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</si>
  <si>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</si>
  <si>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</si>
  <si>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</si>
  <si>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</si>
  <si>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</si>
  <si>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</si>
  <si>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</si>
  <si>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</si>
  <si>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</si>
  <si>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</si>
  <si>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</si>
  <si>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</si>
  <si>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</si>
  <si>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</si>
  <si>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</si>
  <si>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</si>
  <si>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</si>
  <si>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</si>
  <si>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</si>
  <si>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</si>
  <si>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</si>
  <si>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</si>
  <si>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</si>
  <si>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</si>
  <si>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</si>
  <si>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</si>
  <si>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</si>
  <si>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</si>
  <si>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</si>
  <si>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</si>
  <si>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</si>
  <si>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</si>
  <si>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</si>
  <si>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</si>
  <si>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</si>
  <si>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</si>
  <si>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</si>
  <si>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</si>
  <si>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</si>
  <si>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</si>
  <si>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</si>
  <si>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</si>
  <si>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</si>
  <si>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</si>
  <si>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</si>
  <si>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</si>
  <si>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</si>
  <si>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</si>
  <si>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</si>
  <si>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</si>
  <si>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</si>
  <si>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</si>
  <si>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</si>
  <si>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</si>
  <si>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</si>
  <si>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</si>
  <si>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</si>
  <si>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</si>
  <si>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</si>
  <si>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</si>
  <si>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</si>
  <si>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</si>
  <si>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</si>
  <si>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</si>
  <si>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</si>
  <si>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</si>
  <si>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</si>
  <si>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</si>
  <si>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</si>
  <si>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</si>
  <si>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</si>
  <si>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</si>
  <si>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</si>
  <si>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</si>
  <si>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</si>
  <si>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</si>
  <si>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</si>
  <si>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</si>
  <si>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</si>
  <si>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</si>
  <si>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</si>
  <si>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</si>
  <si>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</si>
  <si>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</si>
  <si>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</si>
  <si>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</si>
  <si>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</si>
  <si>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</si>
  <si>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</si>
  <si>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</si>
  <si>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</si>
  <si>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</si>
  <si>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</si>
  <si>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</si>
  <si>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</si>
  <si>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</si>
  <si>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</si>
  <si>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</si>
  <si>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</si>
  <si>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</si>
  <si>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</si>
  <si>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</si>
  <si>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</si>
  <si>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</si>
  <si>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</si>
  <si>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</si>
  <si>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</si>
  <si>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</si>
  <si>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</si>
  <si>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</si>
  <si>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</si>
  <si>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</si>
  <si>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</si>
  <si>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</si>
  <si>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</si>
  <si>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</si>
  <si>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</si>
  <si>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</si>
  <si>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</si>
  <si>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</si>
  <si>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 xml:space="preserve"> 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</si>
  <si>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additional volume or income generated from a Monthly Unlimited Program. </t>
    </r>
  </si>
  <si>
    <t>Eric &amp; John Hairabedian</t>
  </si>
  <si>
    <t>Floris Car Wash</t>
  </si>
  <si>
    <t>3893 McCoy Rd.</t>
  </si>
  <si>
    <t>Orlando, FL 32812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</si>
</sst>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16" fillId="0" borderId="0" xfId="0" applyFont="1" applyAlignment="1" applyProtection="1">
      <alignment horizontal="left"/>
      <protection hidden="1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0" fontId="6" fillId="0" borderId="2" xfId="0" applyFont="1" applyBorder="1" applyAlignment="1" applyProtection="1">
      <alignment horizontal="left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3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 applyProtection="1">
      <alignment horizontal="righ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6" fillId="0" borderId="20" xfId="0" applyFont="1" applyBorder="1" applyAlignment="1" applyProtection="1">
      <alignment horizontal="left" vertical="center" wrapText="1"/>
      <protection hidden="1"/>
    </xf>
    <xf numFmtId="0" fontId="6" fillId="0" borderId="21" xfId="0" applyFont="1" applyBorder="1" applyAlignment="1" applyProtection="1">
      <alignment horizontal="left" vertical="center" wrapText="1"/>
      <protection hidden="1"/>
    </xf>
    <xf numFmtId="0" fontId="6" fillId="0" borderId="22" xfId="0" applyFont="1" applyBorder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43" fontId="13" fillId="0" borderId="2" xfId="1" applyFont="1" applyBorder="1" applyAlignment="1" applyProtection="1">
      <alignment horizontal="left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3" zoomScaleNormal="100" workbookViewId="0">
      <selection activeCell="H37" sqref="H37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5" t="s">
        <v>0</v>
      </c>
      <c r="B1" s="85"/>
      <c r="C1" s="85"/>
      <c r="D1" s="85"/>
      <c r="E1" s="30"/>
      <c r="F1" s="30"/>
    </row>
    <row r="2" spans="1:9" ht="15.75" x14ac:dyDescent="0.25">
      <c r="A2" s="31" t="s">
        <v>1</v>
      </c>
      <c r="B2" s="81" t="s">
        <v>194</v>
      </c>
      <c r="C2" s="82"/>
      <c r="D2" s="83"/>
      <c r="E2" s="30"/>
      <c r="F2" s="30"/>
    </row>
    <row r="3" spans="1:9" ht="15.75" x14ac:dyDescent="0.25">
      <c r="A3" s="31" t="s">
        <v>3</v>
      </c>
      <c r="B3" s="81" t="s">
        <v>195</v>
      </c>
      <c r="C3" s="82"/>
      <c r="D3" s="83"/>
      <c r="E3" s="30"/>
      <c r="F3" s="30"/>
    </row>
    <row r="4" spans="1:9" ht="15.75" x14ac:dyDescent="0.25">
      <c r="A4" s="31" t="s">
        <v>4</v>
      </c>
      <c r="B4" s="81"/>
      <c r="C4" s="82"/>
      <c r="D4" s="83"/>
      <c r="E4" s="30"/>
      <c r="F4" s="30"/>
    </row>
    <row r="5" spans="1:9" ht="15.75" x14ac:dyDescent="0.25">
      <c r="A5" s="31" t="s">
        <v>5</v>
      </c>
      <c r="B5" s="81" t="s">
        <v>196</v>
      </c>
      <c r="C5" s="82"/>
      <c r="D5" s="83"/>
      <c r="E5" s="30"/>
      <c r="F5" s="30"/>
    </row>
    <row r="6" spans="1:9" ht="15.75" x14ac:dyDescent="0.25">
      <c r="A6" s="31" t="s">
        <v>7</v>
      </c>
      <c r="B6" s="81" t="s">
        <v>197</v>
      </c>
      <c r="C6" s="82"/>
      <c r="D6" s="83"/>
      <c r="E6" s="30"/>
      <c r="F6" s="30"/>
    </row>
    <row r="7" spans="1:9" ht="15.75" x14ac:dyDescent="0.25">
      <c r="A7" s="32"/>
      <c r="B7" s="70"/>
      <c r="C7" s="70"/>
      <c r="D7" s="70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4" t="s">
        <v>10</v>
      </c>
      <c r="B11" s="84"/>
      <c r="C11" s="84"/>
      <c r="D11" s="84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49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74" t="s">
        <v>18</v>
      </c>
      <c r="B17" s="75"/>
      <c r="C17" s="75"/>
      <c r="D17" s="76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0.2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0.15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74" t="s">
        <v>28</v>
      </c>
      <c r="B25" s="75"/>
      <c r="C25" s="75"/>
      <c r="D25" s="75"/>
      <c r="E25" s="76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74" t="s">
        <v>33</v>
      </c>
      <c r="B33" s="75"/>
      <c r="C33" s="75"/>
      <c r="D33" s="75"/>
      <c r="E33" s="75"/>
      <c r="F33" s="76"/>
    </row>
    <row r="34" spans="1:6" ht="15.75" x14ac:dyDescent="0.2">
      <c r="A34" s="77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77"/>
      <c r="B35" s="43"/>
      <c r="C35" s="43">
        <v>1</v>
      </c>
      <c r="D35" s="43"/>
      <c r="E35" s="43"/>
      <c r="F35" s="44">
        <f>IF(B35=1,0.15,IF(C35=1,0.1,IF(D35=1,0.05,IF(E35=1,-0.25,0))))</f>
        <v>0.1</v>
      </c>
    </row>
    <row r="36" spans="1:6" ht="15.75" x14ac:dyDescent="0.2">
      <c r="A36" s="77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77"/>
      <c r="B37" s="43">
        <v>1</v>
      </c>
      <c r="C37" s="43"/>
      <c r="D37" s="43" t="s">
        <v>192</v>
      </c>
      <c r="E37" s="43"/>
      <c r="F37" s="44">
        <f>IF(B37=1,0.15,IF(C37=1,0.125,IF(D37=1,0.075,IF(E37=1,-0.025,0))))</f>
        <v>0.15</v>
      </c>
    </row>
    <row r="38" spans="1:6" ht="30" x14ac:dyDescent="0.2">
      <c r="A38" s="77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77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77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77"/>
      <c r="B41" s="43"/>
      <c r="C41" s="43"/>
      <c r="D41" s="43">
        <v>1</v>
      </c>
      <c r="E41" s="43"/>
      <c r="F41" s="44">
        <f>IF(B41=1,0.15,IF(C41=1,0.125,IF(D41=1,0.075,IF(E41=1,0.05,0))))</f>
        <v>7.4999999999999997E-2</v>
      </c>
    </row>
    <row r="42" spans="1:6" ht="47.25" x14ac:dyDescent="0.2">
      <c r="A42" s="77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77"/>
      <c r="B43" s="43">
        <v>1</v>
      </c>
      <c r="C43" s="43"/>
      <c r="D43" s="43" t="s">
        <v>192</v>
      </c>
      <c r="E43" s="43"/>
      <c r="F43" s="44">
        <f>IF(B43=1,0.15,IF(C43=1,0.1,IF(D43=1,0.05,IF(E43=1,0,0))))</f>
        <v>0.15</v>
      </c>
    </row>
    <row r="44" spans="1:6" ht="31.5" x14ac:dyDescent="0.2">
      <c r="A44" s="77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77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5" x14ac:dyDescent="0.2">
      <c r="A46" s="77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77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75" x14ac:dyDescent="0.2">
      <c r="A48" s="77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77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7.25" x14ac:dyDescent="0.2">
      <c r="A50" s="77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77"/>
      <c r="B51" s="43"/>
      <c r="C51" s="43">
        <v>1</v>
      </c>
      <c r="D51" s="43"/>
      <c r="E51" s="43"/>
      <c r="F51" s="44">
        <f>IF(B51=1,0.15,IF(C51=1,0.1,IF(D51=1,0.05,IF(E51=1,0,0))))</f>
        <v>0.1</v>
      </c>
    </row>
    <row r="52" spans="1:8" ht="31.5" x14ac:dyDescent="0.2">
      <c r="A52" s="77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77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75" x14ac:dyDescent="0.25">
      <c r="A54" s="78" t="s">
        <v>81</v>
      </c>
      <c r="B54" s="79"/>
      <c r="C54" s="79"/>
      <c r="D54" s="79"/>
      <c r="E54" s="80"/>
      <c r="F54" s="48">
        <f>F35+F37+F39+F41+F43+F45+F47+F49+F51+F53</f>
        <v>1.1000000000000001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74" t="s">
        <v>82</v>
      </c>
      <c r="B56" s="75"/>
      <c r="C56" s="75"/>
      <c r="D56" s="75"/>
      <c r="E56" s="75"/>
      <c r="F56" s="76"/>
    </row>
    <row r="57" spans="1:8" ht="15.75" x14ac:dyDescent="0.25">
      <c r="A57" s="78" t="s">
        <v>83</v>
      </c>
      <c r="B57" s="79"/>
      <c r="C57" s="79"/>
      <c r="D57" s="80"/>
      <c r="E57" s="51">
        <v>2.7</v>
      </c>
      <c r="F57" s="52">
        <f>IF(E57&lt;2.101,-0.1*(2.1-E57),IF(E57&gt;3,-0.5*(E57-3),0))</f>
        <v>0</v>
      </c>
      <c r="H57" s="2"/>
    </row>
    <row r="58" spans="1:8" ht="15.75" x14ac:dyDescent="0.25">
      <c r="A58" s="78" t="s">
        <v>84</v>
      </c>
      <c r="B58" s="79"/>
      <c r="C58" s="79"/>
      <c r="D58" s="80"/>
      <c r="E58" s="39">
        <v>0.52800000000000002</v>
      </c>
      <c r="F58" s="53">
        <f>-0.3*(0.55-E58)</f>
        <v>-6.600000000000006E-3</v>
      </c>
    </row>
    <row r="59" spans="1:8" ht="15.75" x14ac:dyDescent="0.25">
      <c r="A59" s="78" t="s">
        <v>85</v>
      </c>
      <c r="B59" s="79"/>
      <c r="C59" s="79"/>
      <c r="D59" s="80"/>
      <c r="E59" s="39">
        <v>0.69899999999999995</v>
      </c>
      <c r="F59" s="53">
        <f>-0.75*(0.5-E59)</f>
        <v>0.14924999999999997</v>
      </c>
    </row>
    <row r="60" spans="1:8" ht="15.75" x14ac:dyDescent="0.25">
      <c r="A60" s="78" t="s">
        <v>86</v>
      </c>
      <c r="B60" s="79"/>
      <c r="C60" s="79"/>
      <c r="D60" s="80"/>
      <c r="E60" s="40">
        <v>5</v>
      </c>
      <c r="F60" s="54">
        <f>IF(E60&lt;5.01,0.5*(5-E60),-0.075*(E60-5))</f>
        <v>0</v>
      </c>
    </row>
    <row r="61" spans="1:8" ht="15.75" x14ac:dyDescent="0.25">
      <c r="A61" s="78" t="s">
        <v>87</v>
      </c>
      <c r="B61" s="79"/>
      <c r="C61" s="79"/>
      <c r="D61" s="79"/>
      <c r="E61" s="80"/>
      <c r="F61" s="53">
        <f>SUM(F57:F60)/4</f>
        <v>3.5662499999999993E-2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86" t="s">
        <v>88</v>
      </c>
      <c r="B63" s="86"/>
      <c r="C63" s="86"/>
      <c r="D63" s="86"/>
      <c r="E63" s="86"/>
      <c r="F63" s="86"/>
    </row>
    <row r="64" spans="1:8" ht="15.75" x14ac:dyDescent="0.25">
      <c r="A64" s="78" t="s">
        <v>89</v>
      </c>
      <c r="B64" s="79"/>
      <c r="C64" s="79"/>
      <c r="D64" s="79"/>
      <c r="E64" s="80"/>
      <c r="F64" s="56">
        <f>(F54*0.7)*(1+F61)/85</f>
        <v>9.3818838235294119E-3</v>
      </c>
    </row>
    <row r="65" spans="1:6" ht="15.75" x14ac:dyDescent="0.25">
      <c r="A65" s="78" t="s">
        <v>90</v>
      </c>
      <c r="B65" s="79"/>
      <c r="C65" s="79"/>
      <c r="D65" s="79"/>
      <c r="E65" s="80"/>
      <c r="F65" s="56">
        <f>$F$54*(1+$F$61)/92</f>
        <v>1.2382921195652175E-2</v>
      </c>
    </row>
    <row r="66" spans="1:6" ht="15.75" x14ac:dyDescent="0.25">
      <c r="A66" s="78" t="s">
        <v>91</v>
      </c>
      <c r="B66" s="79"/>
      <c r="C66" s="79"/>
      <c r="D66" s="79"/>
      <c r="E66" s="80"/>
      <c r="F66" s="56">
        <f>$F$54*(1+$F$61)/76</f>
        <v>1.498985197368421E-2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74" t="s">
        <v>92</v>
      </c>
      <c r="B68" s="75"/>
      <c r="C68" s="75"/>
      <c r="D68" s="76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11674</v>
      </c>
      <c r="B70" s="58">
        <v>0.02</v>
      </c>
      <c r="C70" s="58">
        <v>0.01</v>
      </c>
      <c r="D70" s="58">
        <v>0.01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74" t="s">
        <v>97</v>
      </c>
      <c r="B72" s="75"/>
      <c r="C72" s="75"/>
      <c r="D72" s="75"/>
      <c r="E72" s="75"/>
      <c r="F72" s="76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32857.233526764707</v>
      </c>
      <c r="C74" s="60">
        <f>F65*A70*300</f>
        <v>43367.466611413045</v>
      </c>
      <c r="D74" s="60">
        <f>($F$54*(1+$F$61))/85*($A$70*(1+B$70))*300</f>
        <v>47877.683138999993</v>
      </c>
      <c r="E74" s="60">
        <f>($F$54*(1+$F$61))/82*($A$70*(1+C$70))*300</f>
        <v>49142.743872347557</v>
      </c>
      <c r="F74" s="60">
        <f>F66*(A70*(1+D70)*300)</f>
        <v>53022.434178059208</v>
      </c>
    </row>
    <row r="75" spans="1:6" ht="15.75" x14ac:dyDescent="0.25">
      <c r="A75" s="31" t="s">
        <v>104</v>
      </c>
      <c r="B75" s="60">
        <f>B74/12</f>
        <v>2738.1027938970587</v>
      </c>
      <c r="C75" s="60">
        <f>C74/12</f>
        <v>3613.9555509510869</v>
      </c>
      <c r="D75" s="60">
        <f t="shared" ref="D75:F75" si="0">D74/12</f>
        <v>3989.8069282499996</v>
      </c>
      <c r="E75" s="60">
        <f t="shared" si="0"/>
        <v>4095.2286560289631</v>
      </c>
      <c r="F75" s="60">
        <f t="shared" si="0"/>
        <v>4418.5361815049337</v>
      </c>
    </row>
    <row r="76" spans="1:6" ht="15.75" x14ac:dyDescent="0.25">
      <c r="A76" s="31" t="s">
        <v>105</v>
      </c>
      <c r="B76" s="60">
        <f>B75/4.5/7*3</f>
        <v>260.77169465686273</v>
      </c>
      <c r="C76" s="60">
        <f t="shared" ref="C76:F76" si="1">C75/4.5/7*3</f>
        <v>344.18624294772258</v>
      </c>
      <c r="D76" s="60">
        <f t="shared" si="1"/>
        <v>379.98161221428563</v>
      </c>
      <c r="E76" s="60">
        <f t="shared" si="1"/>
        <v>390.02177676466317</v>
      </c>
      <c r="F76" s="60">
        <f t="shared" si="1"/>
        <v>420.8129696671366</v>
      </c>
    </row>
    <row r="77" spans="1:6" ht="15.75" x14ac:dyDescent="0.25">
      <c r="A77" s="31" t="s">
        <v>106</v>
      </c>
      <c r="B77" s="60">
        <f>IFERROR((B76/$B9*1.3),0)</f>
        <v>28.250266921160133</v>
      </c>
      <c r="C77" s="60">
        <f t="shared" ref="C77:F77" si="2">IFERROR((C76/$B9*1.3),0)</f>
        <v>37.286842986003279</v>
      </c>
      <c r="D77" s="60">
        <f t="shared" si="2"/>
        <v>41.164674656547611</v>
      </c>
      <c r="E77" s="60">
        <f t="shared" si="2"/>
        <v>42.252359149505175</v>
      </c>
      <c r="F77" s="60">
        <f t="shared" si="2"/>
        <v>45.588071713939797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4" t="s">
        <v>107</v>
      </c>
      <c r="B79" s="84"/>
      <c r="C79" s="84"/>
      <c r="D79" s="84"/>
      <c r="E79" s="84"/>
      <c r="F79" s="84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 t="s">
        <v>192</v>
      </c>
      <c r="C81" s="62">
        <v>0.2</v>
      </c>
      <c r="D81" s="56">
        <f>1-C81</f>
        <v>0.8</v>
      </c>
      <c r="E81" s="63" t="e">
        <f>C81*B81</f>
        <v>#VALUE!</v>
      </c>
      <c r="F81" s="63" t="e">
        <f>D81*B81</f>
        <v>#VALUE!</v>
      </c>
    </row>
    <row r="82" spans="1:6" ht="15.75" x14ac:dyDescent="0.2">
      <c r="A82" s="64" t="s">
        <v>115</v>
      </c>
      <c r="B82" s="40" t="s">
        <v>192</v>
      </c>
      <c r="C82" s="62">
        <v>0.2</v>
      </c>
      <c r="D82" s="56">
        <f t="shared" ref="D82:D85" si="3">1-C82</f>
        <v>0.8</v>
      </c>
      <c r="E82" s="63" t="e">
        <f t="shared" ref="E82:E85" si="4">C82*B82</f>
        <v>#VALUE!</v>
      </c>
      <c r="F82" s="63" t="e">
        <f t="shared" ref="F82:F85" si="5">D82*B82</f>
        <v>#VALUE!</v>
      </c>
    </row>
    <row r="83" spans="1:6" ht="15.75" x14ac:dyDescent="0.25">
      <c r="A83" s="31" t="s">
        <v>116</v>
      </c>
      <c r="B83" s="40" t="s">
        <v>192</v>
      </c>
      <c r="C83" s="62">
        <v>0.2</v>
      </c>
      <c r="D83" s="56">
        <f t="shared" si="3"/>
        <v>0.8</v>
      </c>
      <c r="E83" s="63" t="e">
        <f t="shared" si="4"/>
        <v>#VALUE!</v>
      </c>
      <c r="F83" s="63" t="e">
        <f t="shared" si="5"/>
        <v>#VALUE!</v>
      </c>
    </row>
    <row r="84" spans="1:6" ht="15.75" x14ac:dyDescent="0.25">
      <c r="A84" s="31" t="s">
        <v>117</v>
      </c>
      <c r="B84" s="40" t="s">
        <v>192</v>
      </c>
      <c r="C84" s="62">
        <v>0.2</v>
      </c>
      <c r="D84" s="56">
        <f t="shared" si="3"/>
        <v>0.8</v>
      </c>
      <c r="E84" s="63" t="e">
        <f t="shared" si="4"/>
        <v>#VALUE!</v>
      </c>
      <c r="F84" s="63" t="e">
        <f t="shared" si="5"/>
        <v>#VALUE!</v>
      </c>
    </row>
    <row r="85" spans="1:6" ht="15.75" x14ac:dyDescent="0.25">
      <c r="A85" s="31" t="s">
        <v>118</v>
      </c>
      <c r="B85" s="40" t="s">
        <v>192</v>
      </c>
      <c r="C85" s="62">
        <v>0.2</v>
      </c>
      <c r="D85" s="56">
        <f t="shared" si="3"/>
        <v>0.8</v>
      </c>
      <c r="E85" s="63" t="e">
        <f t="shared" si="4"/>
        <v>#VALUE!</v>
      </c>
      <c r="F85" s="63" t="e">
        <f t="shared" si="5"/>
        <v>#VALUE!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 t="e">
        <f>SUM(E81:E85)</f>
        <v>#VALUE!</v>
      </c>
      <c r="F86" s="63" t="e">
        <f>SUM(F81:F85)</f>
        <v>#VALUE!</v>
      </c>
    </row>
    <row r="87" spans="1:6" ht="15.75" x14ac:dyDescent="0.25">
      <c r="A87" s="74" t="s">
        <v>120</v>
      </c>
      <c r="B87" s="75"/>
      <c r="C87" s="75"/>
      <c r="D87" s="75"/>
      <c r="E87" s="75"/>
      <c r="F87" s="76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 t="e">
        <f>F81</f>
        <v>#VALUE!</v>
      </c>
      <c r="C89" s="68">
        <v>0.09</v>
      </c>
      <c r="D89" s="35">
        <v>300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 t="e">
        <f t="shared" ref="B90:B93" si="6">F82</f>
        <v>#VALUE!</v>
      </c>
      <c r="C90" s="68">
        <v>0.09</v>
      </c>
      <c r="D90" s="35">
        <v>300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 t="e">
        <f t="shared" si="6"/>
        <v>#VALUE!</v>
      </c>
      <c r="C91" s="68">
        <v>0.09</v>
      </c>
      <c r="D91" s="35">
        <v>300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 t="e">
        <f t="shared" si="6"/>
        <v>#VALUE!</v>
      </c>
      <c r="C92" s="68">
        <v>0.09</v>
      </c>
      <c r="D92" s="35">
        <v>300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 t="e">
        <f t="shared" si="6"/>
        <v>#VALUE!</v>
      </c>
      <c r="C93" s="68">
        <v>0.09</v>
      </c>
      <c r="D93" s="35">
        <v>300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 t="e">
        <f>SUM(B89:B93)</f>
        <v>#VALUE!</v>
      </c>
      <c r="C94" s="52"/>
      <c r="D94" s="52"/>
      <c r="E94" s="52"/>
      <c r="F94" s="63">
        <f>SUM(F89:F93)</f>
        <v>0</v>
      </c>
    </row>
    <row r="95" spans="1:6" ht="15.75" x14ac:dyDescent="0.25">
      <c r="A95" s="74" t="s">
        <v>124</v>
      </c>
      <c r="B95" s="75"/>
      <c r="C95" s="75"/>
      <c r="D95" s="75"/>
      <c r="E95" s="75"/>
      <c r="F95" s="76"/>
    </row>
    <row r="96" spans="1:6" ht="15.75" x14ac:dyDescent="0.25">
      <c r="A96" s="87" t="s">
        <v>125</v>
      </c>
      <c r="B96" s="88"/>
      <c r="C96" s="88"/>
      <c r="D96" s="89"/>
      <c r="E96" s="90" t="s">
        <v>123</v>
      </c>
      <c r="F96" s="91"/>
    </row>
    <row r="97" spans="1:8" ht="15.75" x14ac:dyDescent="0.25">
      <c r="A97" s="78" t="s">
        <v>116</v>
      </c>
      <c r="B97" s="79"/>
      <c r="C97" s="79"/>
      <c r="D97" s="80"/>
      <c r="E97" s="92"/>
      <c r="F97" s="93"/>
    </row>
    <row r="98" spans="1:8" ht="15.75" x14ac:dyDescent="0.25">
      <c r="A98" s="78" t="s">
        <v>114</v>
      </c>
      <c r="B98" s="79"/>
      <c r="C98" s="79"/>
      <c r="D98" s="80"/>
      <c r="E98" s="92">
        <v>0</v>
      </c>
      <c r="F98" s="93"/>
    </row>
    <row r="99" spans="1:8" ht="15.75" x14ac:dyDescent="0.25">
      <c r="A99" s="78" t="s">
        <v>115</v>
      </c>
      <c r="B99" s="79"/>
      <c r="C99" s="79"/>
      <c r="D99" s="80"/>
      <c r="E99" s="92">
        <v>0</v>
      </c>
      <c r="F99" s="93"/>
      <c r="H99" s="5"/>
    </row>
    <row r="100" spans="1:8" ht="15.75" x14ac:dyDescent="0.25">
      <c r="A100" s="78" t="s">
        <v>126</v>
      </c>
      <c r="B100" s="79"/>
      <c r="C100" s="79"/>
      <c r="D100" s="80"/>
      <c r="E100" s="94">
        <f>SUM(E97:F99)</f>
        <v>0</v>
      </c>
      <c r="F100" s="95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40" zoomScaleNormal="100" workbookViewId="0">
      <selection activeCell="L45" sqref="L45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01" t="s">
        <v>127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</row>
    <row r="28" spans="1:11" ht="21" x14ac:dyDescent="0.35">
      <c r="A28" s="9"/>
      <c r="B28" s="9"/>
      <c r="C28" s="9"/>
      <c r="D28" s="9"/>
      <c r="E28" s="102" t="s">
        <v>128</v>
      </c>
      <c r="F28" s="103"/>
      <c r="G28" s="103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04" t="str">
        <f>'Input Form'!B2</f>
        <v>Eric &amp; John Hairabedian</v>
      </c>
      <c r="F29" s="104"/>
      <c r="G29" s="104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04" t="str">
        <f>'Input Form'!B3</f>
        <v>Floris Car Wash</v>
      </c>
      <c r="F30" s="104"/>
      <c r="G30" s="104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04">
        <f>'Input Form'!B4</f>
        <v>0</v>
      </c>
      <c r="F31" s="104"/>
      <c r="G31" s="104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04" t="str">
        <f>'Input Form'!B5</f>
        <v>3893 McCoy Rd.</v>
      </c>
      <c r="F32" s="104"/>
      <c r="G32" s="104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04" t="str">
        <f>'Input Form'!B6</f>
        <v>Orlando, FL 32812</v>
      </c>
      <c r="F33" s="104"/>
      <c r="G33" s="104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3.5" thickBo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39" t="s">
        <v>193</v>
      </c>
      <c r="C40" s="140"/>
      <c r="D40" s="140"/>
      <c r="E40" s="140"/>
      <c r="F40" s="140"/>
      <c r="G40" s="140"/>
      <c r="H40" s="140"/>
      <c r="I40" s="140"/>
      <c r="J40" s="141"/>
      <c r="K40" s="9"/>
    </row>
    <row r="41" spans="1:11" ht="12.75" customHeight="1" x14ac:dyDescent="0.2">
      <c r="A41" s="9"/>
      <c r="B41" s="142"/>
      <c r="C41" s="143"/>
      <c r="D41" s="143"/>
      <c r="E41" s="143"/>
      <c r="F41" s="143"/>
      <c r="G41" s="143"/>
      <c r="H41" s="143"/>
      <c r="I41" s="143"/>
      <c r="J41" s="144"/>
      <c r="K41" s="9"/>
    </row>
    <row r="42" spans="1:11" ht="12.75" customHeight="1" x14ac:dyDescent="0.2">
      <c r="A42" s="9"/>
      <c r="B42" s="142"/>
      <c r="C42" s="143"/>
      <c r="D42" s="143"/>
      <c r="E42" s="143"/>
      <c r="F42" s="143"/>
      <c r="G42" s="143"/>
      <c r="H42" s="143"/>
      <c r="I42" s="143"/>
      <c r="J42" s="144"/>
      <c r="K42" s="9"/>
    </row>
    <row r="43" spans="1:11" ht="12.75" customHeight="1" x14ac:dyDescent="0.2">
      <c r="A43" s="9"/>
      <c r="B43" s="142"/>
      <c r="C43" s="143"/>
      <c r="D43" s="143"/>
      <c r="E43" s="143"/>
      <c r="F43" s="143"/>
      <c r="G43" s="143"/>
      <c r="H43" s="143"/>
      <c r="I43" s="143"/>
      <c r="J43" s="144"/>
      <c r="K43" s="9"/>
    </row>
    <row r="44" spans="1:11" ht="12.75" customHeight="1" x14ac:dyDescent="0.2">
      <c r="A44" s="9"/>
      <c r="B44" s="142"/>
      <c r="C44" s="143"/>
      <c r="D44" s="143"/>
      <c r="E44" s="143"/>
      <c r="F44" s="143"/>
      <c r="G44" s="143"/>
      <c r="H44" s="143"/>
      <c r="I44" s="143"/>
      <c r="J44" s="144"/>
      <c r="K44" s="9"/>
    </row>
    <row r="45" spans="1:11" ht="13.5" thickBot="1" x14ac:dyDescent="0.25">
      <c r="A45" s="9"/>
      <c r="B45" s="145"/>
      <c r="C45" s="146"/>
      <c r="D45" s="146"/>
      <c r="E45" s="146"/>
      <c r="F45" s="146"/>
      <c r="G45" s="146"/>
      <c r="H45" s="146"/>
      <c r="I45" s="146"/>
      <c r="J45" s="147"/>
      <c r="K45" s="9"/>
    </row>
    <row r="46" spans="1:11" ht="13.9" customHeight="1" x14ac:dyDescent="0.2">
      <c r="A46" s="9"/>
      <c r="B46" s="96"/>
      <c r="C46" s="96"/>
      <c r="D46" s="96"/>
      <c r="E46" s="96"/>
      <c r="F46" s="96"/>
      <c r="G46" s="96"/>
      <c r="H46" s="96"/>
      <c r="I46" s="96"/>
      <c r="J46" s="96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148" t="s">
        <v>129</v>
      </c>
      <c r="C53" s="149"/>
      <c r="D53" s="149"/>
      <c r="E53" s="149"/>
      <c r="F53" s="149"/>
      <c r="G53" s="149"/>
      <c r="H53" s="149"/>
      <c r="I53" s="149"/>
      <c r="J53" s="150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113" t="s">
        <v>2</v>
      </c>
      <c r="D56" s="113"/>
      <c r="E56" s="151" t="str">
        <f>CustomerName</f>
        <v>Eric &amp; John Hairabedian</v>
      </c>
      <c r="F56" s="152"/>
      <c r="G56" s="152"/>
      <c r="H56" s="152"/>
      <c r="I56" s="153"/>
      <c r="J56" s="9"/>
      <c r="K56" s="9"/>
    </row>
    <row r="57" spans="1:11" x14ac:dyDescent="0.2">
      <c r="A57" s="9"/>
      <c r="B57" s="9"/>
      <c r="C57" s="129" t="s">
        <v>130</v>
      </c>
      <c r="D57" s="130"/>
      <c r="E57" s="151" t="str">
        <f>CompanyName</f>
        <v>Floris Car Wash</v>
      </c>
      <c r="F57" s="152"/>
      <c r="G57" s="152"/>
      <c r="H57" s="152"/>
      <c r="I57" s="153"/>
      <c r="J57" s="9"/>
      <c r="K57" s="9"/>
    </row>
    <row r="58" spans="1:11" x14ac:dyDescent="0.2">
      <c r="A58" s="9"/>
      <c r="B58" s="9"/>
      <c r="C58" s="131" t="s">
        <v>6</v>
      </c>
      <c r="D58" s="132"/>
      <c r="E58" s="159">
        <f>AddressLine1</f>
        <v>0</v>
      </c>
      <c r="F58" s="160"/>
      <c r="G58" s="160"/>
      <c r="H58" s="160"/>
      <c r="I58" s="161"/>
      <c r="J58" s="11"/>
      <c r="K58" s="9"/>
    </row>
    <row r="59" spans="1:11" x14ac:dyDescent="0.2">
      <c r="A59" s="9"/>
      <c r="B59" s="9"/>
      <c r="C59" s="133"/>
      <c r="D59" s="134"/>
      <c r="E59" s="162" t="str">
        <f>AddressLine2</f>
        <v>3893 McCoy Rd.</v>
      </c>
      <c r="F59" s="163"/>
      <c r="G59" s="163"/>
      <c r="H59" s="163"/>
      <c r="I59" s="164"/>
      <c r="J59" s="9"/>
      <c r="K59" s="9"/>
    </row>
    <row r="60" spans="1:11" x14ac:dyDescent="0.2">
      <c r="A60" s="9"/>
      <c r="B60" s="9"/>
      <c r="C60" s="135"/>
      <c r="D60" s="136"/>
      <c r="E60" s="165" t="str">
        <f>AddressLine3</f>
        <v>Orlando, FL 32812</v>
      </c>
      <c r="F60" s="166"/>
      <c r="G60" s="166"/>
      <c r="H60" s="166"/>
      <c r="I60" s="167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23" t="s">
        <v>131</v>
      </c>
      <c r="C63" s="123"/>
      <c r="D63" s="123"/>
      <c r="E63" s="123"/>
      <c r="F63" s="123"/>
      <c r="G63" s="123"/>
      <c r="H63" s="123"/>
      <c r="I63" s="123"/>
      <c r="J63" s="123"/>
      <c r="K63" s="14"/>
    </row>
    <row r="64" spans="1:11" x14ac:dyDescent="0.2">
      <c r="A64" s="9"/>
      <c r="B64" s="122" t="s">
        <v>132</v>
      </c>
      <c r="C64" s="122"/>
      <c r="D64" s="122"/>
      <c r="E64" s="122"/>
      <c r="F64" s="122"/>
      <c r="G64" s="122"/>
      <c r="H64" s="122"/>
      <c r="I64" s="15" t="s">
        <v>133</v>
      </c>
      <c r="J64" s="15" t="s">
        <v>134</v>
      </c>
      <c r="K64" s="9"/>
    </row>
    <row r="65" spans="1:15" x14ac:dyDescent="0.2">
      <c r="A65" s="9"/>
      <c r="B65" s="122"/>
      <c r="C65" s="122"/>
      <c r="D65" s="122"/>
      <c r="E65" s="122"/>
      <c r="F65" s="122"/>
      <c r="G65" s="122"/>
      <c r="H65" s="122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2550.8569995489861</v>
      </c>
      <c r="J65" s="16">
        <f>'Input Form'!B75</f>
        <v>2738.1027938970587</v>
      </c>
      <c r="K65" s="9"/>
    </row>
    <row r="66" spans="1:15" ht="18.75" x14ac:dyDescent="0.3">
      <c r="A66" s="9"/>
      <c r="B66" s="112" t="s">
        <v>135</v>
      </c>
      <c r="C66" s="112"/>
      <c r="D66" s="112"/>
      <c r="E66" s="112"/>
      <c r="F66" s="112"/>
      <c r="G66" s="112"/>
      <c r="H66" s="112"/>
      <c r="I66" s="112"/>
      <c r="J66" s="112"/>
      <c r="K66" s="9"/>
    </row>
    <row r="67" spans="1:15" x14ac:dyDescent="0.2">
      <c r="A67" s="9"/>
      <c r="B67" s="128" t="s">
        <v>136</v>
      </c>
      <c r="C67" s="128"/>
      <c r="D67" s="128"/>
      <c r="E67" s="128"/>
      <c r="F67" s="115" t="s">
        <v>137</v>
      </c>
      <c r="G67" s="124" t="s">
        <v>138</v>
      </c>
      <c r="H67" s="125"/>
      <c r="I67" s="114" t="s">
        <v>139</v>
      </c>
      <c r="J67" s="114"/>
      <c r="K67" s="9"/>
    </row>
    <row r="68" spans="1:15" x14ac:dyDescent="0.2">
      <c r="A68" s="9"/>
      <c r="B68" s="128"/>
      <c r="C68" s="128"/>
      <c r="D68" s="128"/>
      <c r="E68" s="128"/>
      <c r="F68" s="116"/>
      <c r="G68" s="126"/>
      <c r="H68" s="127"/>
      <c r="I68" s="15" t="s">
        <v>133</v>
      </c>
      <c r="J68" s="15" t="s">
        <v>134</v>
      </c>
      <c r="K68" s="9"/>
    </row>
    <row r="69" spans="1:15" x14ac:dyDescent="0.2">
      <c r="A69" s="9"/>
      <c r="B69" s="110" t="str">
        <f>BasicPackage</f>
        <v>Basic Package</v>
      </c>
      <c r="C69" s="110"/>
      <c r="D69" s="110"/>
      <c r="E69" s="110"/>
      <c r="F69" s="17">
        <f>'Input Form'!B19</f>
        <v>5</v>
      </c>
      <c r="G69" s="137">
        <f>'Input Form'!D19</f>
        <v>0.35</v>
      </c>
      <c r="H69" s="138"/>
      <c r="I69" s="18">
        <f>IFERROR((I$65*G69*F69),0)</f>
        <v>4463.9997492107259</v>
      </c>
      <c r="J69" s="18">
        <f>J$65*F69*G69</f>
        <v>4791.679889319852</v>
      </c>
      <c r="K69" s="9"/>
    </row>
    <row r="70" spans="1:15" x14ac:dyDescent="0.2">
      <c r="A70" s="9"/>
      <c r="B70" s="110" t="str">
        <f>MenuPackage1</f>
        <v>Menu Package #1</v>
      </c>
      <c r="C70" s="110"/>
      <c r="D70" s="110"/>
      <c r="E70" s="110"/>
      <c r="F70" s="17">
        <f>'Input Form'!B20</f>
        <v>10</v>
      </c>
      <c r="G70" s="137">
        <f>'Input Form'!D20</f>
        <v>0.15</v>
      </c>
      <c r="H70" s="138"/>
      <c r="I70" s="18">
        <f>IFERROR((I$65*G70*F70),0)</f>
        <v>3826.2854993234787</v>
      </c>
      <c r="J70" s="18">
        <f t="shared" ref="J70:J73" si="0">J$65*F70*G70</f>
        <v>4107.1541908455874</v>
      </c>
      <c r="K70" s="9"/>
    </row>
    <row r="71" spans="1:15" x14ac:dyDescent="0.2">
      <c r="A71" s="9"/>
      <c r="B71" s="110" t="str">
        <f>MenuPackage2</f>
        <v>Menu Package #2</v>
      </c>
      <c r="C71" s="110"/>
      <c r="D71" s="110"/>
      <c r="E71" s="110"/>
      <c r="F71" s="17">
        <f>'Input Form'!B21</f>
        <v>15</v>
      </c>
      <c r="G71" s="137">
        <f>'Input Form'!D21</f>
        <v>0.15</v>
      </c>
      <c r="H71" s="138"/>
      <c r="I71" s="18">
        <f>IFERROR((I$65*G71*F71),0)</f>
        <v>5739.4282489852185</v>
      </c>
      <c r="J71" s="18">
        <f t="shared" si="0"/>
        <v>6160.7312862683821</v>
      </c>
      <c r="K71" s="9"/>
    </row>
    <row r="72" spans="1:15" x14ac:dyDescent="0.2">
      <c r="A72" s="9"/>
      <c r="B72" s="110" t="str">
        <f>MenuPackage3</f>
        <v>Menu Package #3</v>
      </c>
      <c r="C72" s="110"/>
      <c r="D72" s="110"/>
      <c r="E72" s="110"/>
      <c r="F72" s="17">
        <f>'Input Form'!B22</f>
        <v>20</v>
      </c>
      <c r="G72" s="137">
        <f>'Input Form'!D22</f>
        <v>0.2</v>
      </c>
      <c r="H72" s="138"/>
      <c r="I72" s="18">
        <f t="shared" ref="I72:I73" si="1">I$65*G72*F72</f>
        <v>10203.427998195944</v>
      </c>
      <c r="J72" s="18">
        <f t="shared" si="0"/>
        <v>10952.411175588235</v>
      </c>
      <c r="K72" s="9"/>
    </row>
    <row r="73" spans="1:15" x14ac:dyDescent="0.2">
      <c r="A73" s="9"/>
      <c r="B73" s="110" t="str">
        <f>MenuPackage4</f>
        <v>Menu Package #4</v>
      </c>
      <c r="C73" s="110"/>
      <c r="D73" s="110"/>
      <c r="E73" s="110"/>
      <c r="F73" s="17">
        <f>'Input Form'!B23</f>
        <v>25</v>
      </c>
      <c r="G73" s="137">
        <f>'Input Form'!D23</f>
        <v>0.15</v>
      </c>
      <c r="H73" s="138"/>
      <c r="I73" s="18">
        <f t="shared" si="1"/>
        <v>9565.7137483086972</v>
      </c>
      <c r="J73" s="18">
        <f t="shared" si="0"/>
        <v>10267.885477113969</v>
      </c>
      <c r="K73" s="9"/>
    </row>
    <row r="74" spans="1:15" x14ac:dyDescent="0.2">
      <c r="A74" s="9"/>
      <c r="B74" s="110" t="s">
        <v>140</v>
      </c>
      <c r="C74" s="110"/>
      <c r="D74" s="110"/>
      <c r="E74" s="110"/>
      <c r="F74" s="110"/>
      <c r="G74" s="110"/>
      <c r="H74" s="110"/>
      <c r="I74" s="18">
        <f>SUM(I69:I73)</f>
        <v>33798.855244024067</v>
      </c>
      <c r="J74" s="18">
        <f>SUM(J69:J73)</f>
        <v>36279.862019136024</v>
      </c>
      <c r="K74" s="9"/>
      <c r="O74" s="4"/>
    </row>
    <row r="75" spans="1:15" x14ac:dyDescent="0.2">
      <c r="A75" s="9"/>
      <c r="B75" s="105" t="s">
        <v>141</v>
      </c>
      <c r="C75" s="106"/>
      <c r="D75" s="106"/>
      <c r="E75" s="106"/>
      <c r="F75" s="19">
        <v>0.03</v>
      </c>
      <c r="G75" s="111">
        <v>0.75</v>
      </c>
      <c r="H75" s="111"/>
      <c r="I75" s="18">
        <f>-(I74*$F75*$G75)</f>
        <v>-760.47424299054148</v>
      </c>
      <c r="J75" s="18">
        <f>-(J74*$F75*$G75)</f>
        <v>-816.29689543056043</v>
      </c>
      <c r="K75" s="9"/>
      <c r="L75" s="6"/>
    </row>
    <row r="76" spans="1:15" x14ac:dyDescent="0.2">
      <c r="A76" s="9"/>
      <c r="B76" s="110" t="s">
        <v>142</v>
      </c>
      <c r="C76" s="110"/>
      <c r="D76" s="110"/>
      <c r="E76" s="110"/>
      <c r="F76" s="110"/>
      <c r="G76" s="110"/>
      <c r="H76" s="110"/>
      <c r="I76" s="18">
        <f>SUM(I74:I75)</f>
        <v>33038.381001033529</v>
      </c>
      <c r="J76" s="18">
        <f>SUM(J74:J75)</f>
        <v>35463.565123705463</v>
      </c>
      <c r="K76" s="9"/>
      <c r="L76" s="4"/>
      <c r="N76" s="7"/>
    </row>
    <row r="77" spans="1:15" x14ac:dyDescent="0.2">
      <c r="A77" s="9"/>
      <c r="B77" s="110" t="s">
        <v>143</v>
      </c>
      <c r="C77" s="110"/>
      <c r="D77" s="110"/>
      <c r="E77" s="110"/>
      <c r="F77" s="110"/>
      <c r="G77" s="110"/>
      <c r="H77" s="110"/>
      <c r="I77" s="18">
        <f>IFERROR((I76/I65),0)</f>
        <v>12.951875000000001</v>
      </c>
      <c r="J77" s="18">
        <f>J76/(J65+0.000000001)</f>
        <v>12.951874999995267</v>
      </c>
      <c r="K77" s="9"/>
      <c r="M77" s="4"/>
      <c r="N77" s="6"/>
    </row>
    <row r="78" spans="1:15" ht="18.75" x14ac:dyDescent="0.3">
      <c r="A78" s="9"/>
      <c r="B78" s="112" t="s">
        <v>144</v>
      </c>
      <c r="C78" s="112"/>
      <c r="D78" s="112"/>
      <c r="E78" s="112"/>
      <c r="F78" s="112"/>
      <c r="G78" s="112"/>
      <c r="H78" s="112"/>
      <c r="I78" s="112"/>
      <c r="J78" s="112"/>
      <c r="K78" s="9"/>
    </row>
    <row r="79" spans="1:15" x14ac:dyDescent="0.2">
      <c r="A79" s="9"/>
      <c r="B79" s="113" t="s">
        <v>145</v>
      </c>
      <c r="C79" s="113"/>
      <c r="D79" s="113"/>
      <c r="E79" s="113"/>
      <c r="F79" s="113"/>
      <c r="G79" s="114" t="s">
        <v>146</v>
      </c>
      <c r="H79" s="114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05" t="s">
        <v>148</v>
      </c>
      <c r="C80" s="106"/>
      <c r="D80" s="106"/>
      <c r="E80" s="106"/>
      <c r="F80" s="107"/>
      <c r="G80" s="108">
        <v>0.03</v>
      </c>
      <c r="H80" s="109"/>
      <c r="I80" s="18">
        <f>$G80*I76</f>
        <v>991.15143003100582</v>
      </c>
      <c r="J80" s="18">
        <f>$G80*J76</f>
        <v>1063.9069537111639</v>
      </c>
      <c r="K80" s="9"/>
    </row>
    <row r="81" spans="1:12" x14ac:dyDescent="0.2">
      <c r="A81" s="9"/>
      <c r="B81" s="105" t="s">
        <v>149</v>
      </c>
      <c r="C81" s="106"/>
      <c r="D81" s="106"/>
      <c r="E81" s="106"/>
      <c r="F81" s="107"/>
      <c r="G81" s="117">
        <f>IFERROR((J81/J74),0)</f>
        <v>8.6132075471698127E-2</v>
      </c>
      <c r="H81" s="118"/>
      <c r="I81" s="18">
        <f>G81*I76</f>
        <v>2845.6643258437375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3124.8598135350185</v>
      </c>
      <c r="K81" s="9"/>
    </row>
    <row r="82" spans="1:12" x14ac:dyDescent="0.2">
      <c r="A82" s="9"/>
      <c r="B82" s="105" t="s">
        <v>150</v>
      </c>
      <c r="C82" s="106"/>
      <c r="D82" s="106"/>
      <c r="E82" s="106"/>
      <c r="F82" s="107"/>
      <c r="G82" s="108">
        <v>0.01</v>
      </c>
      <c r="H82" s="109"/>
      <c r="I82" s="18">
        <f>$G82*I76</f>
        <v>330.38381001033531</v>
      </c>
      <c r="J82" s="18">
        <f>$G82*J76</f>
        <v>354.63565123705462</v>
      </c>
      <c r="K82" s="9"/>
    </row>
    <row r="83" spans="1:12" x14ac:dyDescent="0.2">
      <c r="A83" s="9"/>
      <c r="B83" s="105" t="s">
        <v>151</v>
      </c>
      <c r="C83" s="106"/>
      <c r="D83" s="106"/>
      <c r="E83" s="106"/>
      <c r="F83" s="107"/>
      <c r="G83" s="117">
        <f>IFERROR((I83/I74),0)</f>
        <v>2.958680087772525E-2</v>
      </c>
      <c r="H83" s="118"/>
      <c r="I83" s="20">
        <v>1000</v>
      </c>
      <c r="J83" s="18">
        <f>I83</f>
        <v>1000</v>
      </c>
      <c r="K83" s="9"/>
    </row>
    <row r="84" spans="1:12" x14ac:dyDescent="0.2">
      <c r="A84" s="9"/>
      <c r="B84" s="105" t="s">
        <v>152</v>
      </c>
      <c r="C84" s="106"/>
      <c r="D84" s="106"/>
      <c r="E84" s="106"/>
      <c r="F84" s="107"/>
      <c r="G84" s="117">
        <f>IFERROR((I84/I74),0)</f>
        <v>0.63348299359297533</v>
      </c>
      <c r="H84" s="118"/>
      <c r="I84" s="18">
        <f>J84</f>
        <v>21411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9"/>
    </row>
    <row r="85" spans="1:12" x14ac:dyDescent="0.2">
      <c r="A85" s="9"/>
      <c r="B85" s="105" t="s">
        <v>153</v>
      </c>
      <c r="C85" s="106"/>
      <c r="D85" s="106"/>
      <c r="E85" s="106"/>
      <c r="F85" s="107"/>
      <c r="G85" s="108">
        <v>0.01</v>
      </c>
      <c r="H85" s="109"/>
      <c r="I85" s="18">
        <f>$G85*I76</f>
        <v>330.38381001033531</v>
      </c>
      <c r="J85" s="18">
        <f>$G85*J76</f>
        <v>354.63565123705462</v>
      </c>
      <c r="K85" s="9"/>
    </row>
    <row r="86" spans="1:12" x14ac:dyDescent="0.2">
      <c r="A86" s="9"/>
      <c r="B86" s="105" t="s">
        <v>154</v>
      </c>
      <c r="C86" s="106"/>
      <c r="D86" s="106"/>
      <c r="E86" s="106"/>
      <c r="F86" s="107"/>
      <c r="G86" s="108">
        <v>0.01</v>
      </c>
      <c r="H86" s="109"/>
      <c r="I86" s="18">
        <f>$G86*I76</f>
        <v>330.38381001033531</v>
      </c>
      <c r="J86" s="18">
        <f>$G86*J76</f>
        <v>354.63565123705462</v>
      </c>
      <c r="K86" s="9"/>
    </row>
    <row r="87" spans="1:12" x14ac:dyDescent="0.2">
      <c r="A87" s="9"/>
      <c r="B87" s="105" t="s">
        <v>155</v>
      </c>
      <c r="C87" s="106"/>
      <c r="D87" s="106"/>
      <c r="E87" s="106"/>
      <c r="F87" s="107"/>
      <c r="G87" s="108">
        <v>1.4999999999999999E-2</v>
      </c>
      <c r="H87" s="109"/>
      <c r="I87" s="18">
        <f>$G87*I76</f>
        <v>495.57571501550291</v>
      </c>
      <c r="J87" s="18">
        <f>$G87*J76</f>
        <v>531.95347685558193</v>
      </c>
      <c r="K87" s="9"/>
    </row>
    <row r="88" spans="1:12" x14ac:dyDescent="0.2">
      <c r="A88" s="9"/>
      <c r="B88" s="105" t="s">
        <v>156</v>
      </c>
      <c r="C88" s="106"/>
      <c r="D88" s="106"/>
      <c r="E88" s="106"/>
      <c r="F88" s="107"/>
      <c r="G88" s="108">
        <v>0.01</v>
      </c>
      <c r="H88" s="109"/>
      <c r="I88" s="18">
        <f>$G88*I76</f>
        <v>330.38381001033531</v>
      </c>
      <c r="J88" s="18">
        <f>$G88*J76</f>
        <v>354.63565123705462</v>
      </c>
      <c r="K88" s="9"/>
    </row>
    <row r="89" spans="1:12" x14ac:dyDescent="0.2">
      <c r="A89" s="9"/>
      <c r="B89" s="105" t="s">
        <v>157</v>
      </c>
      <c r="C89" s="106"/>
      <c r="D89" s="106"/>
      <c r="E89" s="106"/>
      <c r="F89" s="107"/>
      <c r="G89" s="117">
        <f>IFERROR((I89/I74),0)</f>
        <v>5.91736017554505E-2</v>
      </c>
      <c r="H89" s="118"/>
      <c r="I89" s="20">
        <v>2000</v>
      </c>
      <c r="J89" s="18">
        <f>I89</f>
        <v>2000</v>
      </c>
      <c r="K89" s="9"/>
    </row>
    <row r="90" spans="1:12" x14ac:dyDescent="0.2">
      <c r="A90" s="9"/>
      <c r="B90" s="105" t="s">
        <v>158</v>
      </c>
      <c r="C90" s="106"/>
      <c r="D90" s="106"/>
      <c r="E90" s="106"/>
      <c r="F90" s="107"/>
      <c r="G90" s="108">
        <v>0.01</v>
      </c>
      <c r="H90" s="109"/>
      <c r="I90" s="18">
        <f>$G90*I76</f>
        <v>330.38381001033531</v>
      </c>
      <c r="J90" s="18">
        <f>$G90*J76</f>
        <v>354.63565123705462</v>
      </c>
      <c r="K90" s="9"/>
      <c r="L90" s="4"/>
    </row>
    <row r="91" spans="1:12" x14ac:dyDescent="0.2">
      <c r="A91" s="9"/>
      <c r="B91" s="105" t="s">
        <v>159</v>
      </c>
      <c r="C91" s="106"/>
      <c r="D91" s="106"/>
      <c r="E91" s="106"/>
      <c r="F91" s="107"/>
      <c r="G91" s="108">
        <v>0.08</v>
      </c>
      <c r="H91" s="109"/>
      <c r="I91" s="18">
        <f>$G91*I76</f>
        <v>2643.0704800826825</v>
      </c>
      <c r="J91" s="18">
        <f>$G91*J76</f>
        <v>2837.0852098964369</v>
      </c>
      <c r="K91" s="9"/>
      <c r="L91" s="4"/>
    </row>
    <row r="92" spans="1:12" x14ac:dyDescent="0.2">
      <c r="A92" s="9"/>
      <c r="B92" s="110" t="s">
        <v>160</v>
      </c>
      <c r="C92" s="110"/>
      <c r="D92" s="110"/>
      <c r="E92" s="110"/>
      <c r="F92" s="110"/>
      <c r="G92" s="110"/>
      <c r="H92" s="110"/>
      <c r="I92" s="18">
        <f>SUM(I80:I91)</f>
        <v>33038.381001024609</v>
      </c>
      <c r="J92" s="18">
        <f>SUM(J80:J91)</f>
        <v>33741.983710183478</v>
      </c>
      <c r="K92" s="9"/>
    </row>
    <row r="93" spans="1:12" x14ac:dyDescent="0.2">
      <c r="A93" s="9"/>
      <c r="B93" s="156" t="s">
        <v>166</v>
      </c>
      <c r="C93" s="156"/>
      <c r="D93" s="156"/>
      <c r="E93" s="156"/>
      <c r="F93" s="156"/>
      <c r="G93" s="156"/>
      <c r="H93" s="156"/>
      <c r="I93" s="71">
        <f>I76-I92</f>
        <v>8.9203240349888802E-9</v>
      </c>
      <c r="J93" s="71">
        <f>J76-J92</f>
        <v>1721.5814135219844</v>
      </c>
      <c r="K93" s="9"/>
    </row>
    <row r="94" spans="1:12" x14ac:dyDescent="0.2">
      <c r="A94" s="9"/>
      <c r="B94" s="100"/>
      <c r="C94" s="100"/>
      <c r="D94" s="100"/>
      <c r="E94" s="9"/>
      <c r="F94" s="9"/>
      <c r="G94" s="100"/>
      <c r="H94" s="100"/>
      <c r="I94" s="100"/>
      <c r="J94" s="9"/>
      <c r="K94" s="9"/>
    </row>
    <row r="95" spans="1:12" x14ac:dyDescent="0.2">
      <c r="A95" s="9"/>
      <c r="B95" s="119"/>
      <c r="C95" s="120"/>
      <c r="D95" s="9"/>
      <c r="E95" s="9"/>
      <c r="F95" s="9"/>
      <c r="G95" s="119"/>
      <c r="H95" s="120"/>
      <c r="I95" s="9"/>
      <c r="J95" s="9"/>
      <c r="K95" s="9"/>
    </row>
    <row r="96" spans="1:12" x14ac:dyDescent="0.2">
      <c r="A96" s="9"/>
      <c r="B96" s="121"/>
      <c r="C96" s="120"/>
      <c r="D96" s="72"/>
      <c r="E96" s="9"/>
      <c r="F96" s="9"/>
      <c r="G96" s="121"/>
      <c r="H96" s="120"/>
      <c r="I96" s="72"/>
      <c r="J96" s="9"/>
      <c r="K96" s="9"/>
    </row>
    <row r="97" spans="1:11" x14ac:dyDescent="0.2">
      <c r="A97" s="9"/>
      <c r="B97" s="97"/>
      <c r="C97" s="98"/>
      <c r="D97" s="72"/>
      <c r="E97" s="9"/>
      <c r="F97" s="9"/>
      <c r="G97" s="97"/>
      <c r="H97" s="98"/>
      <c r="I97" s="72"/>
      <c r="J97" s="9"/>
      <c r="K97" s="9"/>
    </row>
    <row r="98" spans="1:11" x14ac:dyDescent="0.2">
      <c r="A98" s="9"/>
      <c r="B98" s="97"/>
      <c r="C98" s="98"/>
      <c r="D98" s="73"/>
      <c r="E98" s="99"/>
      <c r="F98" s="99"/>
      <c r="G98" s="97"/>
      <c r="H98" s="98"/>
      <c r="I98" s="73"/>
      <c r="J98" s="99"/>
      <c r="K98" s="99"/>
    </row>
    <row r="99" spans="1:11" x14ac:dyDescent="0.2">
      <c r="A99" s="9"/>
      <c r="B99" s="100"/>
      <c r="C99" s="100"/>
      <c r="D99" s="100"/>
      <c r="E99" s="9"/>
      <c r="F99" s="9"/>
      <c r="G99" s="100"/>
      <c r="H99" s="100"/>
      <c r="I99" s="100"/>
      <c r="J99" s="9"/>
      <c r="K99" s="9"/>
    </row>
    <row r="100" spans="1:11" x14ac:dyDescent="0.2">
      <c r="A100" s="9"/>
      <c r="B100" s="119"/>
      <c r="C100" s="120"/>
      <c r="D100" s="9"/>
      <c r="E100" s="9"/>
      <c r="F100" s="9"/>
      <c r="G100" s="119"/>
      <c r="H100" s="120"/>
      <c r="I100" s="9"/>
      <c r="J100" s="9"/>
      <c r="K100" s="9"/>
    </row>
    <row r="101" spans="1:11" x14ac:dyDescent="0.2">
      <c r="A101" s="9"/>
      <c r="B101" s="121"/>
      <c r="C101" s="120"/>
      <c r="D101" s="72"/>
      <c r="E101" s="9"/>
      <c r="F101" s="9"/>
      <c r="G101" s="121"/>
      <c r="H101" s="120"/>
      <c r="I101" s="72"/>
      <c r="J101" s="9"/>
      <c r="K101" s="9"/>
    </row>
    <row r="102" spans="1:11" x14ac:dyDescent="0.2">
      <c r="A102" s="9"/>
      <c r="B102" s="97"/>
      <c r="C102" s="98"/>
      <c r="D102" s="72"/>
      <c r="E102" s="9"/>
      <c r="F102" s="9"/>
      <c r="G102" s="97"/>
      <c r="H102" s="98"/>
      <c r="I102" s="72"/>
      <c r="J102" s="9"/>
      <c r="K102" s="9"/>
    </row>
    <row r="103" spans="1:11" x14ac:dyDescent="0.2">
      <c r="A103" s="9"/>
      <c r="B103" s="97"/>
      <c r="C103" s="98"/>
      <c r="D103" s="73"/>
      <c r="E103" s="99"/>
      <c r="F103" s="99"/>
      <c r="G103" s="97"/>
      <c r="H103" s="98"/>
      <c r="I103" s="73"/>
      <c r="J103" s="99"/>
      <c r="K103" s="99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148" t="s">
        <v>129</v>
      </c>
      <c r="C105" s="149"/>
      <c r="D105" s="149"/>
      <c r="E105" s="149"/>
      <c r="F105" s="149"/>
      <c r="G105" s="149"/>
      <c r="H105" s="149"/>
      <c r="I105" s="149"/>
      <c r="J105" s="150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113" t="s">
        <v>2</v>
      </c>
      <c r="D108" s="113"/>
      <c r="E108" s="151" t="str">
        <f>CustomerName</f>
        <v>Eric &amp; John Hairabedian</v>
      </c>
      <c r="F108" s="152"/>
      <c r="G108" s="152"/>
      <c r="H108" s="152"/>
      <c r="I108" s="153"/>
      <c r="J108" s="9"/>
      <c r="K108" s="9"/>
    </row>
    <row r="109" spans="1:11" x14ac:dyDescent="0.2">
      <c r="A109" s="9"/>
      <c r="B109" s="9"/>
      <c r="C109" s="129" t="s">
        <v>130</v>
      </c>
      <c r="D109" s="130"/>
      <c r="E109" s="151" t="str">
        <f>CompanyName</f>
        <v>Floris Car Wash</v>
      </c>
      <c r="F109" s="152"/>
      <c r="G109" s="152"/>
      <c r="H109" s="152"/>
      <c r="I109" s="153"/>
      <c r="J109" s="9"/>
      <c r="K109" s="9"/>
    </row>
    <row r="110" spans="1:11" x14ac:dyDescent="0.2">
      <c r="A110" s="9"/>
      <c r="B110" s="9"/>
      <c r="C110" s="131" t="s">
        <v>6</v>
      </c>
      <c r="D110" s="132"/>
      <c r="E110" s="159">
        <f>AddressLine1</f>
        <v>0</v>
      </c>
      <c r="F110" s="160"/>
      <c r="G110" s="160"/>
      <c r="H110" s="160"/>
      <c r="I110" s="161"/>
      <c r="J110" s="9"/>
      <c r="K110" s="9"/>
    </row>
    <row r="111" spans="1:11" x14ac:dyDescent="0.2">
      <c r="A111" s="9"/>
      <c r="B111" s="9"/>
      <c r="C111" s="133"/>
      <c r="D111" s="134"/>
      <c r="E111" s="162" t="str">
        <f>AddressLine2</f>
        <v>3893 McCoy Rd.</v>
      </c>
      <c r="F111" s="163"/>
      <c r="G111" s="163"/>
      <c r="H111" s="163"/>
      <c r="I111" s="164"/>
      <c r="J111" s="9"/>
      <c r="K111" s="9"/>
    </row>
    <row r="112" spans="1:11" x14ac:dyDescent="0.2">
      <c r="A112" s="9"/>
      <c r="B112" s="9"/>
      <c r="C112" s="135"/>
      <c r="D112" s="136"/>
      <c r="E112" s="165" t="str">
        <f>AddressLine3</f>
        <v>Orlando, FL 32812</v>
      </c>
      <c r="F112" s="166"/>
      <c r="G112" s="166"/>
      <c r="H112" s="166"/>
      <c r="I112" s="167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23" t="s">
        <v>131</v>
      </c>
      <c r="C115" s="123"/>
      <c r="D115" s="123"/>
      <c r="E115" s="123"/>
      <c r="F115" s="123"/>
      <c r="G115" s="123"/>
      <c r="H115" s="123"/>
      <c r="I115" s="123"/>
      <c r="J115" s="123"/>
      <c r="K115" s="9"/>
    </row>
    <row r="116" spans="1:11" ht="38.25" x14ac:dyDescent="0.2">
      <c r="A116" s="9"/>
      <c r="B116" s="22" t="s">
        <v>108</v>
      </c>
      <c r="C116" s="155" t="s">
        <v>109</v>
      </c>
      <c r="D116" s="155"/>
      <c r="E116" s="22" t="s">
        <v>110</v>
      </c>
      <c r="F116" s="22" t="s">
        <v>111</v>
      </c>
      <c r="G116" s="155" t="s">
        <v>112</v>
      </c>
      <c r="H116" s="155"/>
      <c r="I116" s="155" t="s">
        <v>113</v>
      </c>
      <c r="J116" s="155"/>
      <c r="K116" s="9"/>
    </row>
    <row r="117" spans="1:11" x14ac:dyDescent="0.2">
      <c r="A117" s="9"/>
      <c r="B117" s="23" t="s">
        <v>114</v>
      </c>
      <c r="C117" s="154" t="str">
        <f>'Input Form'!B81</f>
        <v xml:space="preserve"> </v>
      </c>
      <c r="D117" s="138"/>
      <c r="E117" s="24">
        <f>'Input Form'!C81</f>
        <v>0.2</v>
      </c>
      <c r="F117" s="24">
        <f>'Input Form'!D81</f>
        <v>0.8</v>
      </c>
      <c r="G117" s="154" t="e">
        <f>'Input Form'!E81</f>
        <v>#VALUE!</v>
      </c>
      <c r="H117" s="138"/>
      <c r="I117" s="154" t="e">
        <f>'Input Form'!F81</f>
        <v>#VALUE!</v>
      </c>
      <c r="J117" s="138"/>
      <c r="K117" s="9"/>
    </row>
    <row r="118" spans="1:11" x14ac:dyDescent="0.2">
      <c r="A118" s="9"/>
      <c r="B118" s="23" t="s">
        <v>115</v>
      </c>
      <c r="C118" s="154" t="str">
        <f>'Input Form'!B82</f>
        <v xml:space="preserve"> </v>
      </c>
      <c r="D118" s="138"/>
      <c r="E118" s="24">
        <f>'Input Form'!C82</f>
        <v>0.2</v>
      </c>
      <c r="F118" s="24">
        <f>'Input Form'!D82</f>
        <v>0.8</v>
      </c>
      <c r="G118" s="154" t="e">
        <f>'Input Form'!E82</f>
        <v>#VALUE!</v>
      </c>
      <c r="H118" s="138"/>
      <c r="I118" s="154" t="e">
        <f>'Input Form'!F82</f>
        <v>#VALUE!</v>
      </c>
      <c r="J118" s="138"/>
      <c r="K118" s="9"/>
    </row>
    <row r="119" spans="1:11" x14ac:dyDescent="0.2">
      <c r="A119" s="9"/>
      <c r="B119" s="23" t="s">
        <v>116</v>
      </c>
      <c r="C119" s="154" t="str">
        <f>'Input Form'!B83</f>
        <v xml:space="preserve"> </v>
      </c>
      <c r="D119" s="138"/>
      <c r="E119" s="24">
        <f>'Input Form'!C83</f>
        <v>0.2</v>
      </c>
      <c r="F119" s="24">
        <f>'Input Form'!D83</f>
        <v>0.8</v>
      </c>
      <c r="G119" s="154" t="e">
        <f>'Input Form'!E83</f>
        <v>#VALUE!</v>
      </c>
      <c r="H119" s="138"/>
      <c r="I119" s="154" t="e">
        <f>'Input Form'!F83</f>
        <v>#VALUE!</v>
      </c>
      <c r="J119" s="138"/>
      <c r="K119" s="9"/>
    </row>
    <row r="120" spans="1:11" x14ac:dyDescent="0.2">
      <c r="A120" s="9"/>
      <c r="B120" s="23" t="s">
        <v>117</v>
      </c>
      <c r="C120" s="154" t="str">
        <f>'Input Form'!B84</f>
        <v xml:space="preserve"> </v>
      </c>
      <c r="D120" s="138"/>
      <c r="E120" s="24">
        <f>'Input Form'!C84</f>
        <v>0.2</v>
      </c>
      <c r="F120" s="24">
        <f>'Input Form'!D84</f>
        <v>0.8</v>
      </c>
      <c r="G120" s="154" t="e">
        <f>'Input Form'!E84</f>
        <v>#VALUE!</v>
      </c>
      <c r="H120" s="138"/>
      <c r="I120" s="154" t="e">
        <f>'Input Form'!F84</f>
        <v>#VALUE!</v>
      </c>
      <c r="J120" s="138"/>
      <c r="K120" s="9"/>
    </row>
    <row r="121" spans="1:11" x14ac:dyDescent="0.2">
      <c r="A121" s="9"/>
      <c r="B121" s="23" t="s">
        <v>118</v>
      </c>
      <c r="C121" s="154" t="str">
        <f>'Input Form'!B85</f>
        <v xml:space="preserve"> </v>
      </c>
      <c r="D121" s="138"/>
      <c r="E121" s="24">
        <f>'Input Form'!C85</f>
        <v>0.2</v>
      </c>
      <c r="F121" s="24">
        <f>'Input Form'!D85</f>
        <v>0.8</v>
      </c>
      <c r="G121" s="154" t="e">
        <f>'Input Form'!E85</f>
        <v>#VALUE!</v>
      </c>
      <c r="H121" s="138"/>
      <c r="I121" s="154" t="e">
        <f>'Input Form'!F85</f>
        <v>#VALUE!</v>
      </c>
      <c r="J121" s="138"/>
      <c r="K121" s="9"/>
    </row>
    <row r="122" spans="1:11" x14ac:dyDescent="0.2">
      <c r="A122" s="9"/>
      <c r="B122" s="23" t="s">
        <v>119</v>
      </c>
      <c r="C122" s="154">
        <f>'Input Form'!B86</f>
        <v>0</v>
      </c>
      <c r="D122" s="138"/>
      <c r="E122" s="24">
        <f>'Input Form'!C86</f>
        <v>0</v>
      </c>
      <c r="F122" s="24">
        <f>'Input Form'!D86</f>
        <v>0</v>
      </c>
      <c r="G122" s="154" t="e">
        <f>'Input Form'!E86</f>
        <v>#VALUE!</v>
      </c>
      <c r="H122" s="138"/>
      <c r="I122" s="154" t="e">
        <f>'Input Form'!F86</f>
        <v>#VALUE!</v>
      </c>
      <c r="J122" s="138"/>
      <c r="K122" s="9"/>
    </row>
    <row r="123" spans="1:11" ht="18.75" x14ac:dyDescent="0.3">
      <c r="A123" s="9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9"/>
    </row>
    <row r="124" spans="1:11" ht="25.5" x14ac:dyDescent="0.2">
      <c r="A124" s="9"/>
      <c r="B124" s="22" t="s">
        <v>108</v>
      </c>
      <c r="C124" s="155" t="s">
        <v>113</v>
      </c>
      <c r="D124" s="155"/>
      <c r="E124" s="169" t="s">
        <v>121</v>
      </c>
      <c r="F124" s="170"/>
      <c r="G124" s="155" t="s">
        <v>162</v>
      </c>
      <c r="H124" s="155"/>
      <c r="I124" s="155" t="s">
        <v>123</v>
      </c>
      <c r="J124" s="155"/>
      <c r="K124" s="9"/>
    </row>
    <row r="125" spans="1:11" x14ac:dyDescent="0.2">
      <c r="A125" s="9"/>
      <c r="B125" s="23" t="s">
        <v>114</v>
      </c>
      <c r="C125" s="154" t="e">
        <f>'Input Form'!B89</f>
        <v>#VALUE!</v>
      </c>
      <c r="D125" s="138"/>
      <c r="E125" s="157">
        <f>'Input Form'!C89</f>
        <v>0.09</v>
      </c>
      <c r="F125" s="158"/>
      <c r="G125" s="138">
        <f>'Input Form'!D89</f>
        <v>300</v>
      </c>
      <c r="H125" s="138"/>
      <c r="I125" s="168">
        <f>'Input Form'!F89</f>
        <v>0</v>
      </c>
      <c r="J125" s="168"/>
      <c r="K125" s="9"/>
    </row>
    <row r="126" spans="1:11" x14ac:dyDescent="0.2">
      <c r="A126" s="9"/>
      <c r="B126" s="23" t="s">
        <v>115</v>
      </c>
      <c r="C126" s="154" t="e">
        <f>'Input Form'!B90</f>
        <v>#VALUE!</v>
      </c>
      <c r="D126" s="138"/>
      <c r="E126" s="157">
        <f>'Input Form'!C90</f>
        <v>0.09</v>
      </c>
      <c r="F126" s="158"/>
      <c r="G126" s="138">
        <f>'Input Form'!D90</f>
        <v>300</v>
      </c>
      <c r="H126" s="138"/>
      <c r="I126" s="168">
        <f>'Input Form'!F90</f>
        <v>0</v>
      </c>
      <c r="J126" s="168"/>
      <c r="K126" s="9"/>
    </row>
    <row r="127" spans="1:11" x14ac:dyDescent="0.2">
      <c r="A127" s="9"/>
      <c r="B127" s="23" t="s">
        <v>116</v>
      </c>
      <c r="C127" s="154" t="e">
        <f>'Input Form'!B91</f>
        <v>#VALUE!</v>
      </c>
      <c r="D127" s="138"/>
      <c r="E127" s="157">
        <f>'Input Form'!C91</f>
        <v>0.09</v>
      </c>
      <c r="F127" s="158"/>
      <c r="G127" s="138">
        <f>'Input Form'!D91</f>
        <v>300</v>
      </c>
      <c r="H127" s="138"/>
      <c r="I127" s="168">
        <f>'Input Form'!F91</f>
        <v>0</v>
      </c>
      <c r="J127" s="168"/>
      <c r="K127" s="9"/>
    </row>
    <row r="128" spans="1:11" x14ac:dyDescent="0.2">
      <c r="A128" s="9"/>
      <c r="B128" s="23" t="s">
        <v>117</v>
      </c>
      <c r="C128" s="154" t="e">
        <f>'Input Form'!B92</f>
        <v>#VALUE!</v>
      </c>
      <c r="D128" s="138"/>
      <c r="E128" s="157">
        <f>'Input Form'!C92</f>
        <v>0.09</v>
      </c>
      <c r="F128" s="158"/>
      <c r="G128" s="138">
        <f>'Input Form'!D92</f>
        <v>300</v>
      </c>
      <c r="H128" s="138"/>
      <c r="I128" s="168">
        <f>'Input Form'!F92</f>
        <v>0</v>
      </c>
      <c r="J128" s="168"/>
      <c r="K128" s="9"/>
    </row>
    <row r="129" spans="1:11" x14ac:dyDescent="0.2">
      <c r="A129" s="9"/>
      <c r="B129" s="23" t="s">
        <v>118</v>
      </c>
      <c r="C129" s="154" t="e">
        <f>'Input Form'!B93</f>
        <v>#VALUE!</v>
      </c>
      <c r="D129" s="138"/>
      <c r="E129" s="157">
        <f>'Input Form'!C93</f>
        <v>0.09</v>
      </c>
      <c r="F129" s="158"/>
      <c r="G129" s="138">
        <f>'Input Form'!D93</f>
        <v>300</v>
      </c>
      <c r="H129" s="138"/>
      <c r="I129" s="168">
        <f>'Input Form'!F93</f>
        <v>0</v>
      </c>
      <c r="J129" s="168"/>
      <c r="K129" s="9"/>
    </row>
    <row r="130" spans="1:11" x14ac:dyDescent="0.2">
      <c r="A130" s="9"/>
      <c r="B130" s="23" t="s">
        <v>163</v>
      </c>
      <c r="C130" s="154" t="e">
        <f>'Input Form'!B94</f>
        <v>#VALUE!</v>
      </c>
      <c r="D130" s="138"/>
      <c r="E130" s="171"/>
      <c r="F130" s="172"/>
      <c r="G130" s="172"/>
      <c r="H130" s="173"/>
      <c r="I130" s="168">
        <f>'Input Form'!F94</f>
        <v>0</v>
      </c>
      <c r="J130" s="168"/>
      <c r="K130" s="9"/>
    </row>
    <row r="131" spans="1:11" ht="18.75" x14ac:dyDescent="0.3">
      <c r="A131" s="9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9"/>
    </row>
    <row r="132" spans="1:11" x14ac:dyDescent="0.2">
      <c r="A132" s="9"/>
      <c r="B132" s="113" t="s">
        <v>125</v>
      </c>
      <c r="C132" s="113"/>
      <c r="D132" s="113"/>
      <c r="E132" s="113"/>
      <c r="F132" s="113"/>
      <c r="G132" s="113"/>
      <c r="H132" s="113"/>
      <c r="I132" s="114" t="s">
        <v>123</v>
      </c>
      <c r="J132" s="114"/>
      <c r="K132" s="9"/>
    </row>
    <row r="133" spans="1:11" x14ac:dyDescent="0.2">
      <c r="A133" s="9"/>
      <c r="B133" s="110" t="s">
        <v>114</v>
      </c>
      <c r="C133" s="110"/>
      <c r="D133" s="110"/>
      <c r="E133" s="110"/>
      <c r="F133" s="110"/>
      <c r="G133" s="110"/>
      <c r="H133" s="110"/>
      <c r="I133" s="168">
        <f>'Input Form'!E97</f>
        <v>0</v>
      </c>
      <c r="J133" s="168"/>
      <c r="K133" s="9"/>
    </row>
    <row r="134" spans="1:11" x14ac:dyDescent="0.2">
      <c r="A134" s="9"/>
      <c r="B134" s="110" t="s">
        <v>115</v>
      </c>
      <c r="C134" s="110"/>
      <c r="D134" s="110"/>
      <c r="E134" s="110"/>
      <c r="F134" s="110"/>
      <c r="G134" s="110"/>
      <c r="H134" s="110"/>
      <c r="I134" s="168">
        <f>'Input Form'!E98</f>
        <v>0</v>
      </c>
      <c r="J134" s="168"/>
      <c r="K134" s="9"/>
    </row>
    <row r="135" spans="1:11" x14ac:dyDescent="0.2">
      <c r="A135" s="9"/>
      <c r="B135" s="110" t="s">
        <v>116</v>
      </c>
      <c r="C135" s="110"/>
      <c r="D135" s="110"/>
      <c r="E135" s="110"/>
      <c r="F135" s="110"/>
      <c r="G135" s="110"/>
      <c r="H135" s="110"/>
      <c r="I135" s="168">
        <f>'Input Form'!E99</f>
        <v>0</v>
      </c>
      <c r="J135" s="168"/>
      <c r="K135" s="9"/>
    </row>
    <row r="136" spans="1:11" x14ac:dyDescent="0.2">
      <c r="A136" s="9"/>
      <c r="B136" s="110" t="s">
        <v>126</v>
      </c>
      <c r="C136" s="110"/>
      <c r="D136" s="110"/>
      <c r="E136" s="110"/>
      <c r="F136" s="110"/>
      <c r="G136" s="110"/>
      <c r="H136" s="110"/>
      <c r="I136" s="168">
        <f>'Input Form'!E100</f>
        <v>0</v>
      </c>
      <c r="J136" s="168"/>
      <c r="K136" s="9"/>
    </row>
    <row r="137" spans="1:11" ht="18.75" x14ac:dyDescent="0.3">
      <c r="A137" s="9"/>
      <c r="B137" s="176" t="s">
        <v>164</v>
      </c>
      <c r="C137" s="177"/>
      <c r="D137" s="177"/>
      <c r="E137" s="177"/>
      <c r="F137" s="177"/>
      <c r="G137" s="174" t="s">
        <v>133</v>
      </c>
      <c r="H137" s="174"/>
      <c r="I137" s="174" t="s">
        <v>134</v>
      </c>
      <c r="J137" s="175"/>
      <c r="K137" s="9"/>
    </row>
    <row r="138" spans="1:11" x14ac:dyDescent="0.2">
      <c r="A138" s="9"/>
      <c r="B138" s="110" t="s">
        <v>142</v>
      </c>
      <c r="C138" s="110"/>
      <c r="D138" s="110"/>
      <c r="E138" s="110"/>
      <c r="F138" s="110"/>
      <c r="G138" s="168">
        <f>I76</f>
        <v>33038.381001033529</v>
      </c>
      <c r="H138" s="168"/>
      <c r="I138" s="168">
        <f>J76</f>
        <v>35463.565123705463</v>
      </c>
      <c r="J138" s="168"/>
      <c r="K138" s="9"/>
    </row>
    <row r="139" spans="1:11" x14ac:dyDescent="0.2">
      <c r="A139" s="9"/>
      <c r="B139" s="110" t="s">
        <v>165</v>
      </c>
      <c r="C139" s="110"/>
      <c r="D139" s="110"/>
      <c r="E139" s="110"/>
      <c r="F139" s="110"/>
      <c r="G139" s="168">
        <f>I92</f>
        <v>33038.381001024609</v>
      </c>
      <c r="H139" s="168"/>
      <c r="I139" s="168">
        <f>J92</f>
        <v>33741.983710183478</v>
      </c>
      <c r="J139" s="168"/>
      <c r="K139" s="9"/>
    </row>
    <row r="140" spans="1:11" x14ac:dyDescent="0.2">
      <c r="A140" s="9"/>
      <c r="B140" s="110" t="s">
        <v>166</v>
      </c>
      <c r="C140" s="110"/>
      <c r="D140" s="110"/>
      <c r="E140" s="110"/>
      <c r="F140" s="110"/>
      <c r="G140" s="168">
        <f>G138-G139</f>
        <v>8.9203240349888802E-9</v>
      </c>
      <c r="H140" s="168"/>
      <c r="I140" s="168">
        <f>J93</f>
        <v>1721.5814135219844</v>
      </c>
      <c r="J140" s="168"/>
      <c r="K140" s="9"/>
    </row>
    <row r="141" spans="1:11" x14ac:dyDescent="0.2">
      <c r="A141" s="9"/>
      <c r="B141" s="110" t="s">
        <v>167</v>
      </c>
      <c r="C141" s="110"/>
      <c r="D141" s="110"/>
      <c r="E141" s="110"/>
      <c r="F141" s="110"/>
      <c r="G141" s="168">
        <f>I130</f>
        <v>0</v>
      </c>
      <c r="H141" s="168"/>
      <c r="I141" s="168">
        <f>I130</f>
        <v>0</v>
      </c>
      <c r="J141" s="168"/>
      <c r="K141" s="9"/>
    </row>
    <row r="142" spans="1:11" x14ac:dyDescent="0.2">
      <c r="A142" s="9"/>
      <c r="B142" s="110" t="s">
        <v>168</v>
      </c>
      <c r="C142" s="110"/>
      <c r="D142" s="110"/>
      <c r="E142" s="110"/>
      <c r="F142" s="110"/>
      <c r="G142" s="168">
        <f>I136</f>
        <v>0</v>
      </c>
      <c r="H142" s="168"/>
      <c r="I142" s="168">
        <f>I136</f>
        <v>0</v>
      </c>
      <c r="J142" s="168"/>
      <c r="K142" s="9"/>
    </row>
    <row r="143" spans="1:11" x14ac:dyDescent="0.2">
      <c r="A143" s="9"/>
      <c r="B143" s="110" t="s">
        <v>169</v>
      </c>
      <c r="C143" s="110"/>
      <c r="D143" s="110"/>
      <c r="E143" s="110"/>
      <c r="F143" s="110"/>
      <c r="G143" s="168">
        <f>G140-G141-G142</f>
        <v>8.9203240349888802E-9</v>
      </c>
      <c r="H143" s="168"/>
      <c r="I143" s="168">
        <f>I140-I141-I142</f>
        <v>1721.5814135219844</v>
      </c>
      <c r="J143" s="168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148" t="s">
        <v>129</v>
      </c>
      <c r="C154" s="149"/>
      <c r="D154" s="149"/>
      <c r="E154" s="149"/>
      <c r="F154" s="149"/>
      <c r="G154" s="149"/>
      <c r="H154" s="149"/>
      <c r="I154" s="149"/>
      <c r="J154" s="150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113" t="s">
        <v>2</v>
      </c>
      <c r="D157" s="113"/>
      <c r="E157" s="151" t="str">
        <f>CustomerName</f>
        <v>Eric &amp; John Hairabedian</v>
      </c>
      <c r="F157" s="152"/>
      <c r="G157" s="152"/>
      <c r="H157" s="152"/>
      <c r="I157" s="153"/>
      <c r="J157" s="9"/>
      <c r="K157" s="9"/>
    </row>
    <row r="158" spans="1:11" x14ac:dyDescent="0.2">
      <c r="A158" s="9"/>
      <c r="B158" s="9"/>
      <c r="C158" s="129" t="s">
        <v>130</v>
      </c>
      <c r="D158" s="130"/>
      <c r="E158" s="151" t="str">
        <f>CompanyName</f>
        <v>Floris Car Wash</v>
      </c>
      <c r="F158" s="152"/>
      <c r="G158" s="152"/>
      <c r="H158" s="152"/>
      <c r="I158" s="153"/>
      <c r="J158" s="9"/>
      <c r="K158" s="9"/>
    </row>
    <row r="159" spans="1:11" x14ac:dyDescent="0.2">
      <c r="A159" s="9"/>
      <c r="B159" s="9"/>
      <c r="C159" s="131" t="s">
        <v>6</v>
      </c>
      <c r="D159" s="132"/>
      <c r="E159" s="159">
        <f>AddressLine1</f>
        <v>0</v>
      </c>
      <c r="F159" s="160"/>
      <c r="G159" s="160"/>
      <c r="H159" s="160"/>
      <c r="I159" s="161"/>
      <c r="J159" s="9"/>
      <c r="K159" s="9"/>
    </row>
    <row r="160" spans="1:11" x14ac:dyDescent="0.2">
      <c r="A160" s="9"/>
      <c r="B160" s="9"/>
      <c r="C160" s="133"/>
      <c r="D160" s="134"/>
      <c r="E160" s="162" t="str">
        <f>AddressLine2</f>
        <v>3893 McCoy Rd.</v>
      </c>
      <c r="F160" s="163"/>
      <c r="G160" s="163"/>
      <c r="H160" s="163"/>
      <c r="I160" s="164"/>
      <c r="J160" s="9"/>
      <c r="K160" s="9"/>
    </row>
    <row r="161" spans="1:11" x14ac:dyDescent="0.2">
      <c r="A161" s="9"/>
      <c r="B161" s="9"/>
      <c r="C161" s="135"/>
      <c r="D161" s="136"/>
      <c r="E161" s="165" t="str">
        <f>AddressLine3</f>
        <v>Orlando, FL 32812</v>
      </c>
      <c r="F161" s="166"/>
      <c r="G161" s="166"/>
      <c r="H161" s="166"/>
      <c r="I161" s="167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23" t="s">
        <v>170</v>
      </c>
      <c r="C164" s="123"/>
      <c r="D164" s="123"/>
      <c r="E164" s="123"/>
      <c r="F164" s="123"/>
      <c r="G164" s="123"/>
      <c r="H164" s="123"/>
      <c r="I164" s="123"/>
      <c r="J164" s="123"/>
      <c r="K164" s="9"/>
    </row>
    <row r="165" spans="1:11" x14ac:dyDescent="0.2">
      <c r="A165" s="9"/>
      <c r="B165" s="112" t="s">
        <v>171</v>
      </c>
      <c r="C165" s="112"/>
      <c r="D165" s="112"/>
      <c r="E165" s="112"/>
      <c r="F165" s="112"/>
      <c r="G165" s="112"/>
      <c r="H165" s="112"/>
      <c r="I165" s="15" t="s">
        <v>134</v>
      </c>
      <c r="J165" s="178" t="s">
        <v>172</v>
      </c>
      <c r="K165" s="9"/>
    </row>
    <row r="166" spans="1:11" x14ac:dyDescent="0.2">
      <c r="A166" s="9"/>
      <c r="B166" s="112"/>
      <c r="C166" s="112"/>
      <c r="D166" s="112"/>
      <c r="E166" s="112"/>
      <c r="F166" s="112"/>
      <c r="G166" s="112"/>
      <c r="H166" s="112"/>
      <c r="I166" s="16">
        <f>'Input Form'!B74</f>
        <v>32857.233526764707</v>
      </c>
      <c r="J166" s="178"/>
      <c r="K166" s="9"/>
    </row>
    <row r="167" spans="1:11" ht="18.75" x14ac:dyDescent="0.3">
      <c r="A167" s="9"/>
      <c r="B167" s="179" t="s">
        <v>135</v>
      </c>
      <c r="C167" s="179"/>
      <c r="D167" s="179"/>
      <c r="E167" s="179"/>
      <c r="F167" s="179"/>
      <c r="G167" s="179"/>
      <c r="H167" s="179"/>
      <c r="I167" s="179"/>
      <c r="J167" s="179"/>
      <c r="K167" s="9"/>
    </row>
    <row r="168" spans="1:11" ht="25.5" customHeight="1" x14ac:dyDescent="0.2">
      <c r="A168" s="9"/>
      <c r="B168" s="114" t="s">
        <v>136</v>
      </c>
      <c r="C168" s="114"/>
      <c r="D168" s="114"/>
      <c r="E168" s="114"/>
      <c r="F168" s="25" t="s">
        <v>137</v>
      </c>
      <c r="G168" s="178" t="s">
        <v>138</v>
      </c>
      <c r="H168" s="178"/>
      <c r="I168" s="114"/>
      <c r="J168" s="114"/>
      <c r="K168" s="9"/>
    </row>
    <row r="169" spans="1:11" x14ac:dyDescent="0.2">
      <c r="A169" s="9"/>
      <c r="B169" s="110" t="str">
        <f>BasicPackage</f>
        <v>Basic Package</v>
      </c>
      <c r="C169" s="110"/>
      <c r="D169" s="110"/>
      <c r="E169" s="110"/>
      <c r="F169" s="17">
        <f>BasicPackagePrice</f>
        <v>5</v>
      </c>
      <c r="G169" s="137">
        <f>'Input Form'!$D$19</f>
        <v>0.35</v>
      </c>
      <c r="H169" s="138"/>
      <c r="I169" s="18">
        <f>I$166*F169*G169</f>
        <v>57500.158671838231</v>
      </c>
      <c r="J169" s="26">
        <f>IFERROR((I169/I$174),0)</f>
        <v>0.13207547169811321</v>
      </c>
      <c r="K169" s="9"/>
    </row>
    <row r="170" spans="1:11" x14ac:dyDescent="0.2">
      <c r="A170" s="9"/>
      <c r="B170" s="110" t="str">
        <f>MenuPackage1</f>
        <v>Menu Package #1</v>
      </c>
      <c r="C170" s="110"/>
      <c r="D170" s="110"/>
      <c r="E170" s="110"/>
      <c r="F170" s="17">
        <f>MenuPackage1Price</f>
        <v>10</v>
      </c>
      <c r="G170" s="137">
        <f>'Input Form'!$D$20</f>
        <v>0.15</v>
      </c>
      <c r="H170" s="138"/>
      <c r="I170" s="18">
        <f>I$166*F170*G170</f>
        <v>49285.850290147057</v>
      </c>
      <c r="J170" s="26">
        <f t="shared" ref="J170:J176" si="2">IFERROR((I170/I$174),0)</f>
        <v>0.11320754716981132</v>
      </c>
      <c r="K170" s="9"/>
    </row>
    <row r="171" spans="1:11" x14ac:dyDescent="0.2">
      <c r="A171" s="9"/>
      <c r="B171" s="110" t="str">
        <f>MenuPackage2</f>
        <v>Menu Package #2</v>
      </c>
      <c r="C171" s="110"/>
      <c r="D171" s="110"/>
      <c r="E171" s="110"/>
      <c r="F171" s="17">
        <f>MenuPackage2Price</f>
        <v>15</v>
      </c>
      <c r="G171" s="137">
        <f>'Input Form'!$D$21</f>
        <v>0.15</v>
      </c>
      <c r="H171" s="138"/>
      <c r="I171" s="18">
        <f>I$166*F171*G171</f>
        <v>73928.775435220581</v>
      </c>
      <c r="J171" s="26">
        <f t="shared" si="2"/>
        <v>0.16981132075471697</v>
      </c>
      <c r="K171" s="9"/>
    </row>
    <row r="172" spans="1:11" x14ac:dyDescent="0.2">
      <c r="A172" s="9"/>
      <c r="B172" s="110" t="str">
        <f>MenuPackage3</f>
        <v>Menu Package #3</v>
      </c>
      <c r="C172" s="110"/>
      <c r="D172" s="110"/>
      <c r="E172" s="110"/>
      <c r="F172" s="17">
        <f>MenuPackage3Price</f>
        <v>20</v>
      </c>
      <c r="G172" s="137">
        <f>'Input Form'!$D$22</f>
        <v>0.2</v>
      </c>
      <c r="H172" s="138"/>
      <c r="I172" s="18">
        <f>I$166*F172*G172</f>
        <v>131428.93410705883</v>
      </c>
      <c r="J172" s="26">
        <f t="shared" si="2"/>
        <v>0.30188679245283018</v>
      </c>
      <c r="K172" s="9"/>
    </row>
    <row r="173" spans="1:11" x14ac:dyDescent="0.2">
      <c r="A173" s="9"/>
      <c r="B173" s="110" t="str">
        <f>MenuPackage4</f>
        <v>Menu Package #4</v>
      </c>
      <c r="C173" s="110"/>
      <c r="D173" s="110"/>
      <c r="E173" s="110"/>
      <c r="F173" s="17">
        <f>MenuPackagePrice4</f>
        <v>25</v>
      </c>
      <c r="G173" s="137">
        <f>'Input Form'!$D$23</f>
        <v>0.15</v>
      </c>
      <c r="H173" s="138"/>
      <c r="I173" s="18">
        <f>I$166*F173*G173</f>
        <v>123214.62572536764</v>
      </c>
      <c r="J173" s="26">
        <f t="shared" si="2"/>
        <v>0.28301886792452829</v>
      </c>
      <c r="K173" s="9"/>
    </row>
    <row r="174" spans="1:11" x14ac:dyDescent="0.2">
      <c r="A174" s="9"/>
      <c r="B174" s="110" t="s">
        <v>140</v>
      </c>
      <c r="C174" s="110"/>
      <c r="D174" s="110"/>
      <c r="E174" s="110"/>
      <c r="F174" s="110"/>
      <c r="G174" s="110"/>
      <c r="H174" s="110"/>
      <c r="I174" s="18">
        <f>SUM(I169:I173)</f>
        <v>435358.34422963235</v>
      </c>
      <c r="J174" s="26">
        <f t="shared" si="2"/>
        <v>1</v>
      </c>
      <c r="K174" s="9"/>
    </row>
    <row r="175" spans="1:11" x14ac:dyDescent="0.2">
      <c r="A175" s="9"/>
      <c r="B175" s="110" t="s">
        <v>141</v>
      </c>
      <c r="C175" s="110"/>
      <c r="D175" s="110"/>
      <c r="E175" s="110"/>
      <c r="F175" s="27">
        <f>$F$75</f>
        <v>0.03</v>
      </c>
      <c r="G175" s="180">
        <f>$G$75</f>
        <v>0.75</v>
      </c>
      <c r="H175" s="180"/>
      <c r="I175" s="18">
        <f>-(I174*F175*G175)</f>
        <v>-9795.5627451667278</v>
      </c>
      <c r="J175" s="26">
        <f t="shared" si="2"/>
        <v>-2.2499999999999999E-2</v>
      </c>
      <c r="K175" s="9"/>
    </row>
    <row r="176" spans="1:11" x14ac:dyDescent="0.2">
      <c r="A176" s="9"/>
      <c r="B176" s="110" t="s">
        <v>142</v>
      </c>
      <c r="C176" s="110"/>
      <c r="D176" s="110"/>
      <c r="E176" s="110"/>
      <c r="F176" s="110"/>
      <c r="G176" s="110"/>
      <c r="H176" s="110"/>
      <c r="I176" s="18">
        <f>I174+I175</f>
        <v>425562.78148446564</v>
      </c>
      <c r="J176" s="26">
        <f t="shared" si="2"/>
        <v>0.97750000000000004</v>
      </c>
      <c r="K176" s="9"/>
    </row>
    <row r="177" spans="1:11" ht="18.75" x14ac:dyDescent="0.3">
      <c r="A177" s="9"/>
      <c r="B177" s="112" t="s">
        <v>144</v>
      </c>
      <c r="C177" s="112"/>
      <c r="D177" s="112"/>
      <c r="E177" s="112"/>
      <c r="F177" s="112"/>
      <c r="G177" s="112"/>
      <c r="H177" s="112"/>
      <c r="I177" s="112"/>
      <c r="J177" s="112"/>
      <c r="K177" s="9"/>
    </row>
    <row r="178" spans="1:11" x14ac:dyDescent="0.2">
      <c r="A178" s="9"/>
      <c r="B178" s="105" t="s">
        <v>148</v>
      </c>
      <c r="C178" s="106"/>
      <c r="D178" s="106"/>
      <c r="E178" s="106"/>
      <c r="F178" s="106"/>
      <c r="G178" s="106"/>
      <c r="H178" s="107"/>
      <c r="I178" s="18">
        <f>$G$80*I176</f>
        <v>12766.883444533969</v>
      </c>
      <c r="J178" s="26">
        <f>IFERROR((I178/I$176),0)</f>
        <v>0.03</v>
      </c>
      <c r="K178" s="9"/>
    </row>
    <row r="179" spans="1:11" x14ac:dyDescent="0.2">
      <c r="A179" s="9"/>
      <c r="B179" s="105" t="s">
        <v>149</v>
      </c>
      <c r="C179" s="106"/>
      <c r="D179" s="106"/>
      <c r="E179" s="106"/>
      <c r="F179" s="106"/>
      <c r="G179" s="106"/>
      <c r="H179" s="107"/>
      <c r="I179" s="18">
        <f>$G$81*I176</f>
        <v>36654.605612765772</v>
      </c>
      <c r="J179" s="26">
        <f t="shared" ref="J179:J196" si="3">IFERROR((I179/I$176),0)</f>
        <v>8.6132075471698127E-2</v>
      </c>
      <c r="K179" s="9"/>
    </row>
    <row r="180" spans="1:11" x14ac:dyDescent="0.2">
      <c r="A180" s="9"/>
      <c r="B180" s="105" t="s">
        <v>150</v>
      </c>
      <c r="C180" s="106"/>
      <c r="D180" s="106"/>
      <c r="E180" s="106"/>
      <c r="F180" s="106"/>
      <c r="G180" s="106"/>
      <c r="H180" s="107"/>
      <c r="I180" s="18">
        <f>$G$82*I176</f>
        <v>4255.6278148446563</v>
      </c>
      <c r="J180" s="26">
        <f t="shared" si="3"/>
        <v>0.01</v>
      </c>
      <c r="K180" s="9"/>
    </row>
    <row r="181" spans="1:11" x14ac:dyDescent="0.2">
      <c r="A181" s="9"/>
      <c r="B181" s="105" t="s">
        <v>151</v>
      </c>
      <c r="C181" s="106"/>
      <c r="D181" s="106"/>
      <c r="E181" s="106"/>
      <c r="F181" s="106"/>
      <c r="G181" s="106"/>
      <c r="H181" s="107"/>
      <c r="I181" s="28">
        <f>$I$83*12</f>
        <v>12000</v>
      </c>
      <c r="J181" s="26">
        <f t="shared" si="3"/>
        <v>2.819795461938919E-2</v>
      </c>
      <c r="K181" s="9"/>
    </row>
    <row r="182" spans="1:11" x14ac:dyDescent="0.2">
      <c r="A182" s="9"/>
      <c r="B182" s="105" t="s">
        <v>152</v>
      </c>
      <c r="C182" s="106"/>
      <c r="D182" s="106"/>
      <c r="E182" s="106"/>
      <c r="F182" s="106"/>
      <c r="G182" s="106"/>
      <c r="H182" s="107"/>
      <c r="I182" s="18">
        <f>$I$84*12</f>
        <v>256932</v>
      </c>
      <c r="J182" s="26">
        <f t="shared" si="3"/>
        <v>0.60374640635574195</v>
      </c>
      <c r="K182" s="9"/>
    </row>
    <row r="183" spans="1:11" x14ac:dyDescent="0.2">
      <c r="A183" s="9"/>
      <c r="B183" s="105" t="s">
        <v>153</v>
      </c>
      <c r="C183" s="106"/>
      <c r="D183" s="106"/>
      <c r="E183" s="106"/>
      <c r="F183" s="106"/>
      <c r="G183" s="106"/>
      <c r="H183" s="107"/>
      <c r="I183" s="18">
        <f>$G$85*I176</f>
        <v>4255.6278148446563</v>
      </c>
      <c r="J183" s="26">
        <f t="shared" si="3"/>
        <v>0.01</v>
      </c>
      <c r="K183" s="9"/>
    </row>
    <row r="184" spans="1:11" x14ac:dyDescent="0.2">
      <c r="A184" s="9"/>
      <c r="B184" s="105" t="s">
        <v>154</v>
      </c>
      <c r="C184" s="106"/>
      <c r="D184" s="106"/>
      <c r="E184" s="106"/>
      <c r="F184" s="106"/>
      <c r="G184" s="106"/>
      <c r="H184" s="107"/>
      <c r="I184" s="18">
        <f>$G$86*I176</f>
        <v>4255.6278148446563</v>
      </c>
      <c r="J184" s="26">
        <f t="shared" si="3"/>
        <v>0.01</v>
      </c>
      <c r="K184" s="9"/>
    </row>
    <row r="185" spans="1:11" x14ac:dyDescent="0.2">
      <c r="A185" s="9"/>
      <c r="B185" s="105" t="s">
        <v>155</v>
      </c>
      <c r="C185" s="106"/>
      <c r="D185" s="106"/>
      <c r="E185" s="106"/>
      <c r="F185" s="106"/>
      <c r="G185" s="106"/>
      <c r="H185" s="107"/>
      <c r="I185" s="18">
        <f>$G$87*I176</f>
        <v>6383.4417222669845</v>
      </c>
      <c r="J185" s="26">
        <f t="shared" si="3"/>
        <v>1.4999999999999999E-2</v>
      </c>
      <c r="K185" s="9"/>
    </row>
    <row r="186" spans="1:11" x14ac:dyDescent="0.2">
      <c r="A186" s="9"/>
      <c r="B186" s="105" t="s">
        <v>156</v>
      </c>
      <c r="C186" s="106"/>
      <c r="D186" s="106"/>
      <c r="E186" s="106"/>
      <c r="F186" s="106"/>
      <c r="G186" s="106"/>
      <c r="H186" s="107"/>
      <c r="I186" s="18">
        <f>$G$88*I176</f>
        <v>4255.6278148446563</v>
      </c>
      <c r="J186" s="26">
        <f t="shared" si="3"/>
        <v>0.01</v>
      </c>
      <c r="K186" s="9"/>
    </row>
    <row r="187" spans="1:11" x14ac:dyDescent="0.2">
      <c r="A187" s="9"/>
      <c r="B187" s="105" t="s">
        <v>157</v>
      </c>
      <c r="C187" s="106"/>
      <c r="D187" s="106"/>
      <c r="E187" s="106"/>
      <c r="F187" s="106"/>
      <c r="G187" s="106"/>
      <c r="H187" s="107"/>
      <c r="I187" s="28">
        <f>$I$89*12</f>
        <v>24000</v>
      </c>
      <c r="J187" s="26">
        <f t="shared" si="3"/>
        <v>5.639590923877838E-2</v>
      </c>
      <c r="K187" s="9"/>
    </row>
    <row r="188" spans="1:11" x14ac:dyDescent="0.2">
      <c r="A188" s="9"/>
      <c r="B188" s="105" t="s">
        <v>158</v>
      </c>
      <c r="C188" s="106"/>
      <c r="D188" s="106"/>
      <c r="E188" s="106"/>
      <c r="F188" s="106"/>
      <c r="G188" s="106"/>
      <c r="H188" s="107"/>
      <c r="I188" s="18">
        <f>$G$90*I176</f>
        <v>4255.6278148446563</v>
      </c>
      <c r="J188" s="26">
        <f t="shared" si="3"/>
        <v>0.01</v>
      </c>
      <c r="K188" s="9"/>
    </row>
    <row r="189" spans="1:11" x14ac:dyDescent="0.2">
      <c r="A189" s="9"/>
      <c r="B189" s="105" t="s">
        <v>159</v>
      </c>
      <c r="C189" s="106"/>
      <c r="D189" s="106"/>
      <c r="E189" s="106"/>
      <c r="F189" s="106"/>
      <c r="G189" s="106"/>
      <c r="H189" s="107"/>
      <c r="I189" s="18">
        <f>$G$91*I176</f>
        <v>34045.022518757251</v>
      </c>
      <c r="J189" s="26">
        <f t="shared" si="3"/>
        <v>0.08</v>
      </c>
      <c r="K189" s="9"/>
    </row>
    <row r="190" spans="1:11" x14ac:dyDescent="0.2">
      <c r="A190" s="9"/>
      <c r="B190" s="110" t="s">
        <v>160</v>
      </c>
      <c r="C190" s="110"/>
      <c r="D190" s="110"/>
      <c r="E190" s="110"/>
      <c r="F190" s="110"/>
      <c r="G190" s="110"/>
      <c r="H190" s="110"/>
      <c r="I190" s="18">
        <f>SUM(I178:I189)</f>
        <v>404060.09237254725</v>
      </c>
      <c r="J190" s="26">
        <f t="shared" si="3"/>
        <v>0.94947234568560757</v>
      </c>
      <c r="K190" s="9"/>
    </row>
    <row r="191" spans="1:11" x14ac:dyDescent="0.2">
      <c r="A191" s="9"/>
      <c r="B191" s="113" t="s">
        <v>161</v>
      </c>
      <c r="C191" s="113"/>
      <c r="D191" s="113"/>
      <c r="E191" s="113"/>
      <c r="F191" s="113"/>
      <c r="G191" s="113"/>
      <c r="H191" s="113"/>
      <c r="I191" s="21">
        <f>I176-I190</f>
        <v>21502.689111918386</v>
      </c>
      <c r="J191" s="26">
        <f t="shared" si="3"/>
        <v>5.0527654314392385E-2</v>
      </c>
      <c r="K191" s="9"/>
    </row>
    <row r="192" spans="1:11" ht="18.75" x14ac:dyDescent="0.3">
      <c r="A192" s="9"/>
      <c r="B192" s="112" t="s">
        <v>173</v>
      </c>
      <c r="C192" s="112"/>
      <c r="D192" s="112"/>
      <c r="E192" s="112"/>
      <c r="F192" s="112"/>
      <c r="G192" s="112"/>
      <c r="H192" s="112"/>
      <c r="I192" s="112"/>
      <c r="J192" s="112"/>
      <c r="K192" s="9"/>
    </row>
    <row r="193" spans="1:11" x14ac:dyDescent="0.2">
      <c r="A193" s="9"/>
      <c r="B193" s="105" t="s">
        <v>174</v>
      </c>
      <c r="C193" s="106"/>
      <c r="D193" s="106"/>
      <c r="E193" s="106"/>
      <c r="F193" s="106"/>
      <c r="G193" s="106"/>
      <c r="H193" s="107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05" t="s">
        <v>126</v>
      </c>
      <c r="C194" s="106"/>
      <c r="D194" s="106"/>
      <c r="E194" s="106"/>
      <c r="F194" s="106"/>
      <c r="G194" s="106"/>
      <c r="H194" s="107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10" t="s">
        <v>175</v>
      </c>
      <c r="C195" s="110"/>
      <c r="D195" s="110"/>
      <c r="E195" s="110"/>
      <c r="F195" s="110"/>
      <c r="G195" s="110"/>
      <c r="H195" s="110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113" t="s">
        <v>176</v>
      </c>
      <c r="C196" s="113"/>
      <c r="D196" s="113"/>
      <c r="E196" s="113"/>
      <c r="F196" s="113"/>
      <c r="G196" s="113"/>
      <c r="H196" s="113"/>
      <c r="I196" s="21">
        <f>I191-I195</f>
        <v>21502.689111918386</v>
      </c>
      <c r="J196" s="26">
        <f t="shared" si="3"/>
        <v>5.0527654314392385E-2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148" t="s">
        <v>129</v>
      </c>
      <c r="C205" s="149"/>
      <c r="D205" s="149"/>
      <c r="E205" s="149"/>
      <c r="F205" s="149"/>
      <c r="G205" s="149"/>
      <c r="H205" s="149"/>
      <c r="I205" s="149"/>
      <c r="J205" s="150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113" t="s">
        <v>2</v>
      </c>
      <c r="D208" s="113"/>
      <c r="E208" s="151" t="str">
        <f>CustomerName</f>
        <v>Eric &amp; John Hairabedian</v>
      </c>
      <c r="F208" s="152"/>
      <c r="G208" s="152"/>
      <c r="H208" s="152"/>
      <c r="I208" s="153"/>
      <c r="J208" s="9"/>
      <c r="K208" s="9"/>
    </row>
    <row r="209" spans="1:11" x14ac:dyDescent="0.2">
      <c r="A209" s="9"/>
      <c r="B209" s="9"/>
      <c r="C209" s="129" t="s">
        <v>130</v>
      </c>
      <c r="D209" s="130"/>
      <c r="E209" s="151" t="str">
        <f>CompanyName</f>
        <v>Floris Car Wash</v>
      </c>
      <c r="F209" s="152"/>
      <c r="G209" s="152"/>
      <c r="H209" s="152"/>
      <c r="I209" s="153"/>
      <c r="J209" s="9"/>
      <c r="K209" s="9"/>
    </row>
    <row r="210" spans="1:11" x14ac:dyDescent="0.2">
      <c r="A210" s="9"/>
      <c r="B210" s="9"/>
      <c r="C210" s="131" t="s">
        <v>6</v>
      </c>
      <c r="D210" s="132"/>
      <c r="E210" s="159">
        <f>AddressLine1</f>
        <v>0</v>
      </c>
      <c r="F210" s="160"/>
      <c r="G210" s="160"/>
      <c r="H210" s="160"/>
      <c r="I210" s="161"/>
      <c r="J210" s="9"/>
      <c r="K210" s="9"/>
    </row>
    <row r="211" spans="1:11" x14ac:dyDescent="0.2">
      <c r="A211" s="9"/>
      <c r="B211" s="9"/>
      <c r="C211" s="133"/>
      <c r="D211" s="134"/>
      <c r="E211" s="162" t="str">
        <f>AddressLine2</f>
        <v>3893 McCoy Rd.</v>
      </c>
      <c r="F211" s="163"/>
      <c r="G211" s="163"/>
      <c r="H211" s="163"/>
      <c r="I211" s="164"/>
      <c r="J211" s="9"/>
      <c r="K211" s="9"/>
    </row>
    <row r="212" spans="1:11" x14ac:dyDescent="0.2">
      <c r="A212" s="9"/>
      <c r="B212" s="9"/>
      <c r="C212" s="135"/>
      <c r="D212" s="136"/>
      <c r="E212" s="165" t="str">
        <f>AddressLine3</f>
        <v>Orlando, FL 32812</v>
      </c>
      <c r="F212" s="166"/>
      <c r="G212" s="166"/>
      <c r="H212" s="166"/>
      <c r="I212" s="167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23" t="s">
        <v>177</v>
      </c>
      <c r="C215" s="123"/>
      <c r="D215" s="123"/>
      <c r="E215" s="123"/>
      <c r="F215" s="123"/>
      <c r="G215" s="123"/>
      <c r="H215" s="123"/>
      <c r="I215" s="123"/>
      <c r="J215" s="123"/>
      <c r="K215" s="9"/>
    </row>
    <row r="216" spans="1:11" x14ac:dyDescent="0.2">
      <c r="A216" s="9"/>
      <c r="B216" s="112" t="s">
        <v>171</v>
      </c>
      <c r="C216" s="112"/>
      <c r="D216" s="112"/>
      <c r="E216" s="112"/>
      <c r="F216" s="112"/>
      <c r="G216" s="112"/>
      <c r="H216" s="112"/>
      <c r="I216" s="15" t="s">
        <v>178</v>
      </c>
      <c r="J216" s="178" t="s">
        <v>172</v>
      </c>
      <c r="K216" s="9"/>
    </row>
    <row r="217" spans="1:11" x14ac:dyDescent="0.2">
      <c r="A217" s="9"/>
      <c r="B217" s="112"/>
      <c r="C217" s="112"/>
      <c r="D217" s="112"/>
      <c r="E217" s="112"/>
      <c r="F217" s="112"/>
      <c r="G217" s="112"/>
      <c r="H217" s="112"/>
      <c r="I217" s="16">
        <f>'Input Form'!C74</f>
        <v>43367.466611413045</v>
      </c>
      <c r="J217" s="178"/>
      <c r="K217" s="9"/>
    </row>
    <row r="218" spans="1:11" ht="18.75" x14ac:dyDescent="0.3">
      <c r="A218" s="9"/>
      <c r="B218" s="112" t="s">
        <v>135</v>
      </c>
      <c r="C218" s="112"/>
      <c r="D218" s="112"/>
      <c r="E218" s="112"/>
      <c r="F218" s="112"/>
      <c r="G218" s="112"/>
      <c r="H218" s="112"/>
      <c r="I218" s="112"/>
      <c r="J218" s="112"/>
      <c r="K218" s="9"/>
    </row>
    <row r="219" spans="1:11" ht="25.5" x14ac:dyDescent="0.2">
      <c r="A219" s="9"/>
      <c r="B219" s="114" t="s">
        <v>136</v>
      </c>
      <c r="C219" s="114"/>
      <c r="D219" s="114"/>
      <c r="E219" s="114"/>
      <c r="F219" s="25" t="s">
        <v>137</v>
      </c>
      <c r="G219" s="178" t="s">
        <v>138</v>
      </c>
      <c r="H219" s="178"/>
      <c r="I219" s="114"/>
      <c r="J219" s="114"/>
      <c r="K219" s="9"/>
    </row>
    <row r="220" spans="1:11" x14ac:dyDescent="0.2">
      <c r="A220" s="9"/>
      <c r="B220" s="110" t="str">
        <f>BasicPackage</f>
        <v>Basic Package</v>
      </c>
      <c r="C220" s="110"/>
      <c r="D220" s="110"/>
      <c r="E220" s="110"/>
      <c r="F220" s="17">
        <f>'Input Form'!B27</f>
        <v>5</v>
      </c>
      <c r="G220" s="137">
        <f>'Input Form'!$D$19</f>
        <v>0.35</v>
      </c>
      <c r="H220" s="138"/>
      <c r="I220" s="18">
        <f>I$217*F220*G220</f>
        <v>75893.066569972827</v>
      </c>
      <c r="J220" s="26">
        <f>IFERROR((I220/I$225),0)</f>
        <v>0.13207547169811321</v>
      </c>
      <c r="K220" s="9"/>
    </row>
    <row r="221" spans="1:11" x14ac:dyDescent="0.2">
      <c r="A221" s="9"/>
      <c r="B221" s="110" t="str">
        <f>MenuPackage1</f>
        <v>Menu Package #1</v>
      </c>
      <c r="C221" s="110"/>
      <c r="D221" s="110"/>
      <c r="E221" s="110"/>
      <c r="F221" s="17">
        <f>'Input Form'!B28</f>
        <v>10</v>
      </c>
      <c r="G221" s="137">
        <f>'Input Form'!$D$20</f>
        <v>0.15</v>
      </c>
      <c r="H221" s="138"/>
      <c r="I221" s="18">
        <f>I$217*F221*G221</f>
        <v>65051.199917119564</v>
      </c>
      <c r="J221" s="26">
        <f t="shared" ref="J221:J227" si="4">IFERROR((I221/I$225),0)</f>
        <v>0.11320754716981131</v>
      </c>
      <c r="K221" s="9"/>
    </row>
    <row r="222" spans="1:11" x14ac:dyDescent="0.2">
      <c r="A222" s="9"/>
      <c r="B222" s="110" t="str">
        <f>MenuPackage2</f>
        <v>Menu Package #2</v>
      </c>
      <c r="C222" s="110"/>
      <c r="D222" s="110"/>
      <c r="E222" s="110"/>
      <c r="F222" s="17">
        <f>'Input Form'!B29</f>
        <v>15</v>
      </c>
      <c r="G222" s="137">
        <f>'Input Form'!$D$21</f>
        <v>0.15</v>
      </c>
      <c r="H222" s="138"/>
      <c r="I222" s="18">
        <f>I$217*F222*G222</f>
        <v>97576.799875679353</v>
      </c>
      <c r="J222" s="26">
        <f t="shared" si="4"/>
        <v>0.16981132075471697</v>
      </c>
      <c r="K222" s="9"/>
    </row>
    <row r="223" spans="1:11" x14ac:dyDescent="0.2">
      <c r="A223" s="9"/>
      <c r="B223" s="110" t="str">
        <f>MenuPackage3</f>
        <v>Menu Package #3</v>
      </c>
      <c r="C223" s="110"/>
      <c r="D223" s="110"/>
      <c r="E223" s="110"/>
      <c r="F223" s="17">
        <f>'Input Form'!B30</f>
        <v>20</v>
      </c>
      <c r="G223" s="137">
        <f>'Input Form'!$D$22</f>
        <v>0.2</v>
      </c>
      <c r="H223" s="138"/>
      <c r="I223" s="18">
        <f>I$217*F223*G223</f>
        <v>173469.86644565221</v>
      </c>
      <c r="J223" s="26">
        <f t="shared" si="4"/>
        <v>0.30188679245283023</v>
      </c>
      <c r="K223" s="9"/>
    </row>
    <row r="224" spans="1:11" x14ac:dyDescent="0.2">
      <c r="A224" s="9"/>
      <c r="B224" s="110" t="str">
        <f>MenuPackage4</f>
        <v>Menu Package #4</v>
      </c>
      <c r="C224" s="110"/>
      <c r="D224" s="110"/>
      <c r="E224" s="110"/>
      <c r="F224" s="17">
        <f>'Input Form'!B31</f>
        <v>25</v>
      </c>
      <c r="G224" s="137">
        <f>'Input Form'!$D$23</f>
        <v>0.15</v>
      </c>
      <c r="H224" s="138"/>
      <c r="I224" s="18">
        <f>I$217*F224*G224</f>
        <v>162627.99979279892</v>
      </c>
      <c r="J224" s="26">
        <f t="shared" si="4"/>
        <v>0.28301886792452829</v>
      </c>
      <c r="K224" s="9"/>
    </row>
    <row r="225" spans="1:11" x14ac:dyDescent="0.2">
      <c r="A225" s="9"/>
      <c r="B225" s="110" t="s">
        <v>140</v>
      </c>
      <c r="C225" s="110"/>
      <c r="D225" s="110"/>
      <c r="E225" s="110"/>
      <c r="F225" s="110"/>
      <c r="G225" s="110"/>
      <c r="H225" s="110"/>
      <c r="I225" s="18">
        <f>SUM(I220:I224)</f>
        <v>574618.93260122288</v>
      </c>
      <c r="J225" s="26">
        <f t="shared" si="4"/>
        <v>1</v>
      </c>
      <c r="K225" s="9"/>
    </row>
    <row r="226" spans="1:11" x14ac:dyDescent="0.2">
      <c r="A226" s="9"/>
      <c r="B226" s="110" t="s">
        <v>141</v>
      </c>
      <c r="C226" s="110"/>
      <c r="D226" s="110"/>
      <c r="E226" s="110"/>
      <c r="F226" s="27">
        <f>$F$75</f>
        <v>0.03</v>
      </c>
      <c r="G226" s="180">
        <f>$G$75</f>
        <v>0.75</v>
      </c>
      <c r="H226" s="180"/>
      <c r="I226" s="18">
        <f>-(I225*F226*G226)</f>
        <v>-12928.925983527513</v>
      </c>
      <c r="J226" s="26">
        <f t="shared" si="4"/>
        <v>-2.2499999999999996E-2</v>
      </c>
      <c r="K226" s="9"/>
    </row>
    <row r="227" spans="1:11" x14ac:dyDescent="0.2">
      <c r="A227" s="9"/>
      <c r="B227" s="110" t="s">
        <v>142</v>
      </c>
      <c r="C227" s="110"/>
      <c r="D227" s="110"/>
      <c r="E227" s="110"/>
      <c r="F227" s="110"/>
      <c r="G227" s="110"/>
      <c r="H227" s="110"/>
      <c r="I227" s="18">
        <f>I225+I226</f>
        <v>561690.00661769533</v>
      </c>
      <c r="J227" s="26">
        <f t="shared" si="4"/>
        <v>0.97749999999999992</v>
      </c>
      <c r="K227" s="9"/>
    </row>
    <row r="228" spans="1:11" ht="18.75" x14ac:dyDescent="0.3">
      <c r="A228" s="9"/>
      <c r="B228" s="112" t="s">
        <v>144</v>
      </c>
      <c r="C228" s="112"/>
      <c r="D228" s="112"/>
      <c r="E228" s="112"/>
      <c r="F228" s="112"/>
      <c r="G228" s="112"/>
      <c r="H228" s="112"/>
      <c r="I228" s="112"/>
      <c r="J228" s="112"/>
      <c r="K228" s="9"/>
    </row>
    <row r="229" spans="1:11" x14ac:dyDescent="0.2">
      <c r="A229" s="9"/>
      <c r="B229" s="105" t="s">
        <v>148</v>
      </c>
      <c r="C229" s="106"/>
      <c r="D229" s="106"/>
      <c r="E229" s="106"/>
      <c r="F229" s="106"/>
      <c r="G229" s="106"/>
      <c r="H229" s="107"/>
      <c r="I229" s="18">
        <f>$G$80*I227</f>
        <v>16850.70019853086</v>
      </c>
      <c r="J229" s="26">
        <f>IFERROR((I229/I$227),0)</f>
        <v>0.03</v>
      </c>
      <c r="K229" s="9"/>
    </row>
    <row r="230" spans="1:11" x14ac:dyDescent="0.2">
      <c r="A230" s="9"/>
      <c r="B230" s="105" t="s">
        <v>149</v>
      </c>
      <c r="C230" s="106"/>
      <c r="D230" s="106"/>
      <c r="E230" s="106"/>
      <c r="F230" s="106"/>
      <c r="G230" s="106"/>
      <c r="H230" s="107"/>
      <c r="I230" s="18">
        <f>$G$81*I227</f>
        <v>48379.526041693956</v>
      </c>
      <c r="J230" s="26">
        <f t="shared" ref="J230:J247" si="5">IFERROR((I230/I$227),0)</f>
        <v>8.6132075471698127E-2</v>
      </c>
      <c r="K230" s="9"/>
    </row>
    <row r="231" spans="1:11" x14ac:dyDescent="0.2">
      <c r="A231" s="9"/>
      <c r="B231" s="105" t="s">
        <v>150</v>
      </c>
      <c r="C231" s="106"/>
      <c r="D231" s="106"/>
      <c r="E231" s="106"/>
      <c r="F231" s="106"/>
      <c r="G231" s="106"/>
      <c r="H231" s="107"/>
      <c r="I231" s="18">
        <f>$G$82*I227</f>
        <v>5616.9000661769533</v>
      </c>
      <c r="J231" s="26">
        <f t="shared" si="5"/>
        <v>0.01</v>
      </c>
      <c r="K231" s="9"/>
    </row>
    <row r="232" spans="1:11" x14ac:dyDescent="0.2">
      <c r="A232" s="9"/>
      <c r="B232" s="105" t="s">
        <v>151</v>
      </c>
      <c r="C232" s="106"/>
      <c r="D232" s="106"/>
      <c r="E232" s="106"/>
      <c r="F232" s="106"/>
      <c r="G232" s="106"/>
      <c r="H232" s="107"/>
      <c r="I232" s="28">
        <f>$I$83*12</f>
        <v>12000</v>
      </c>
      <c r="J232" s="26">
        <f t="shared" si="5"/>
        <v>2.1364097382219574E-2</v>
      </c>
      <c r="K232" s="9"/>
    </row>
    <row r="233" spans="1:11" x14ac:dyDescent="0.2">
      <c r="A233" s="9"/>
      <c r="B233" s="105" t="s">
        <v>152</v>
      </c>
      <c r="C233" s="106"/>
      <c r="D233" s="106"/>
      <c r="E233" s="106"/>
      <c r="F233" s="106"/>
      <c r="G233" s="106"/>
      <c r="H233" s="107"/>
      <c r="I233" s="18">
        <f>$I$84*12</f>
        <v>256932</v>
      </c>
      <c r="J233" s="26">
        <f t="shared" si="5"/>
        <v>0.45742668905070333</v>
      </c>
      <c r="K233" s="9"/>
    </row>
    <row r="234" spans="1:11" x14ac:dyDescent="0.2">
      <c r="A234" s="9"/>
      <c r="B234" s="105" t="s">
        <v>153</v>
      </c>
      <c r="C234" s="106"/>
      <c r="D234" s="106"/>
      <c r="E234" s="106"/>
      <c r="F234" s="106"/>
      <c r="G234" s="106"/>
      <c r="H234" s="107"/>
      <c r="I234" s="18">
        <f>$G$85*I227</f>
        <v>5616.9000661769533</v>
      </c>
      <c r="J234" s="26">
        <f t="shared" si="5"/>
        <v>0.01</v>
      </c>
      <c r="K234" s="9"/>
    </row>
    <row r="235" spans="1:11" x14ac:dyDescent="0.2">
      <c r="A235" s="9"/>
      <c r="B235" s="105" t="s">
        <v>154</v>
      </c>
      <c r="C235" s="106"/>
      <c r="D235" s="106"/>
      <c r="E235" s="106"/>
      <c r="F235" s="106"/>
      <c r="G235" s="106"/>
      <c r="H235" s="107"/>
      <c r="I235" s="18">
        <f>$G$86*I227</f>
        <v>5616.9000661769533</v>
      </c>
      <c r="J235" s="26">
        <f t="shared" si="5"/>
        <v>0.01</v>
      </c>
      <c r="K235" s="9"/>
    </row>
    <row r="236" spans="1:11" x14ac:dyDescent="0.2">
      <c r="A236" s="9"/>
      <c r="B236" s="105" t="s">
        <v>155</v>
      </c>
      <c r="C236" s="106"/>
      <c r="D236" s="106"/>
      <c r="E236" s="106"/>
      <c r="F236" s="106"/>
      <c r="G236" s="106"/>
      <c r="H236" s="107"/>
      <c r="I236" s="18">
        <f>$G$87*I227</f>
        <v>8425.3500992654299</v>
      </c>
      <c r="J236" s="26">
        <f t="shared" si="5"/>
        <v>1.4999999999999999E-2</v>
      </c>
      <c r="K236" s="9"/>
    </row>
    <row r="237" spans="1:11" x14ac:dyDescent="0.2">
      <c r="A237" s="9"/>
      <c r="B237" s="105" t="s">
        <v>156</v>
      </c>
      <c r="C237" s="106"/>
      <c r="D237" s="106"/>
      <c r="E237" s="106"/>
      <c r="F237" s="106"/>
      <c r="G237" s="106"/>
      <c r="H237" s="107"/>
      <c r="I237" s="18">
        <f>$G$88*I227</f>
        <v>5616.9000661769533</v>
      </c>
      <c r="J237" s="26">
        <f t="shared" si="5"/>
        <v>0.01</v>
      </c>
      <c r="K237" s="9"/>
    </row>
    <row r="238" spans="1:11" x14ac:dyDescent="0.2">
      <c r="A238" s="9"/>
      <c r="B238" s="105" t="s">
        <v>157</v>
      </c>
      <c r="C238" s="106"/>
      <c r="D238" s="106"/>
      <c r="E238" s="106"/>
      <c r="F238" s="106"/>
      <c r="G238" s="106"/>
      <c r="H238" s="107"/>
      <c r="I238" s="28">
        <f>$I$89*12</f>
        <v>24000</v>
      </c>
      <c r="J238" s="26">
        <f t="shared" si="5"/>
        <v>4.2728194764439148E-2</v>
      </c>
      <c r="K238" s="9"/>
    </row>
    <row r="239" spans="1:11" x14ac:dyDescent="0.2">
      <c r="A239" s="9"/>
      <c r="B239" s="105" t="s">
        <v>158</v>
      </c>
      <c r="C239" s="106"/>
      <c r="D239" s="106"/>
      <c r="E239" s="106"/>
      <c r="F239" s="106"/>
      <c r="G239" s="106"/>
      <c r="H239" s="107"/>
      <c r="I239" s="18">
        <f>$G$90*I227</f>
        <v>5616.9000661769533</v>
      </c>
      <c r="J239" s="26">
        <f t="shared" si="5"/>
        <v>0.01</v>
      </c>
      <c r="K239" s="9"/>
    </row>
    <row r="240" spans="1:11" x14ac:dyDescent="0.2">
      <c r="A240" s="9"/>
      <c r="B240" s="105" t="s">
        <v>159</v>
      </c>
      <c r="C240" s="106"/>
      <c r="D240" s="106"/>
      <c r="E240" s="106"/>
      <c r="F240" s="106"/>
      <c r="G240" s="106"/>
      <c r="H240" s="107"/>
      <c r="I240" s="18">
        <f>$G$91*I227</f>
        <v>44935.200529415626</v>
      </c>
      <c r="J240" s="26">
        <f t="shared" si="5"/>
        <v>0.08</v>
      </c>
      <c r="K240" s="9"/>
    </row>
    <row r="241" spans="1:11" x14ac:dyDescent="0.2">
      <c r="A241" s="9"/>
      <c r="B241" s="110" t="s">
        <v>160</v>
      </c>
      <c r="C241" s="110"/>
      <c r="D241" s="110"/>
      <c r="E241" s="110"/>
      <c r="F241" s="110"/>
      <c r="G241" s="110"/>
      <c r="H241" s="110"/>
      <c r="I241" s="18">
        <f>SUM(I229:I240)</f>
        <v>439607.2771997907</v>
      </c>
      <c r="J241" s="26">
        <f t="shared" si="5"/>
        <v>0.78265105666906021</v>
      </c>
      <c r="K241" s="9"/>
    </row>
    <row r="242" spans="1:11" x14ac:dyDescent="0.2">
      <c r="A242" s="9"/>
      <c r="B242" s="113" t="s">
        <v>161</v>
      </c>
      <c r="C242" s="113"/>
      <c r="D242" s="113"/>
      <c r="E242" s="113"/>
      <c r="F242" s="113"/>
      <c r="G242" s="113"/>
      <c r="H242" s="113"/>
      <c r="I242" s="21">
        <f>I227-I241</f>
        <v>122082.72941790463</v>
      </c>
      <c r="J242" s="26">
        <f t="shared" si="5"/>
        <v>0.21734894333093974</v>
      </c>
      <c r="K242" s="9"/>
    </row>
    <row r="243" spans="1:11" ht="18.75" x14ac:dyDescent="0.3">
      <c r="A243" s="9"/>
      <c r="B243" s="112" t="s">
        <v>173</v>
      </c>
      <c r="C243" s="112"/>
      <c r="D243" s="112"/>
      <c r="E243" s="112"/>
      <c r="F243" s="112"/>
      <c r="G243" s="112"/>
      <c r="H243" s="112"/>
      <c r="I243" s="112"/>
      <c r="J243" s="112"/>
      <c r="K243" s="9"/>
    </row>
    <row r="244" spans="1:11" x14ac:dyDescent="0.2">
      <c r="A244" s="9"/>
      <c r="B244" s="105" t="s">
        <v>174</v>
      </c>
      <c r="C244" s="106"/>
      <c r="D244" s="106"/>
      <c r="E244" s="106"/>
      <c r="F244" s="106"/>
      <c r="G244" s="106"/>
      <c r="H244" s="107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05" t="s">
        <v>126</v>
      </c>
      <c r="C245" s="106"/>
      <c r="D245" s="106"/>
      <c r="E245" s="106"/>
      <c r="F245" s="106"/>
      <c r="G245" s="106"/>
      <c r="H245" s="107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10" t="s">
        <v>175</v>
      </c>
      <c r="C246" s="110"/>
      <c r="D246" s="110"/>
      <c r="E246" s="110"/>
      <c r="F246" s="110"/>
      <c r="G246" s="110"/>
      <c r="H246" s="110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113" t="s">
        <v>176</v>
      </c>
      <c r="C247" s="113"/>
      <c r="D247" s="113"/>
      <c r="E247" s="113"/>
      <c r="F247" s="113"/>
      <c r="G247" s="113"/>
      <c r="H247" s="113"/>
      <c r="I247" s="21">
        <f>I242-I246</f>
        <v>122082.72941790463</v>
      </c>
      <c r="J247" s="26">
        <f t="shared" si="5"/>
        <v>0.21734894333093974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148" t="s">
        <v>129</v>
      </c>
      <c r="C256" s="149"/>
      <c r="D256" s="149"/>
      <c r="E256" s="149"/>
      <c r="F256" s="149"/>
      <c r="G256" s="149"/>
      <c r="H256" s="149"/>
      <c r="I256" s="149"/>
      <c r="J256" s="150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113" t="s">
        <v>2</v>
      </c>
      <c r="D259" s="113"/>
      <c r="E259" s="151" t="str">
        <f>CustomerName</f>
        <v>Eric &amp; John Hairabedian</v>
      </c>
      <c r="F259" s="152"/>
      <c r="G259" s="152"/>
      <c r="H259" s="152"/>
      <c r="I259" s="153"/>
      <c r="J259" s="9"/>
      <c r="K259" s="9"/>
    </row>
    <row r="260" spans="1:11" x14ac:dyDescent="0.2">
      <c r="A260" s="9"/>
      <c r="B260" s="9"/>
      <c r="C260" s="129" t="s">
        <v>130</v>
      </c>
      <c r="D260" s="130"/>
      <c r="E260" s="151" t="str">
        <f>CompanyName</f>
        <v>Floris Car Wash</v>
      </c>
      <c r="F260" s="152"/>
      <c r="G260" s="152"/>
      <c r="H260" s="152"/>
      <c r="I260" s="153"/>
      <c r="J260" s="9"/>
      <c r="K260" s="9"/>
    </row>
    <row r="261" spans="1:11" x14ac:dyDescent="0.2">
      <c r="A261" s="9"/>
      <c r="B261" s="9"/>
      <c r="C261" s="131" t="s">
        <v>6</v>
      </c>
      <c r="D261" s="132"/>
      <c r="E261" s="159">
        <f>AddressLine1</f>
        <v>0</v>
      </c>
      <c r="F261" s="160"/>
      <c r="G261" s="160"/>
      <c r="H261" s="160"/>
      <c r="I261" s="161"/>
      <c r="J261" s="9"/>
      <c r="K261" s="9"/>
    </row>
    <row r="262" spans="1:11" x14ac:dyDescent="0.2">
      <c r="A262" s="9"/>
      <c r="B262" s="9"/>
      <c r="C262" s="133"/>
      <c r="D262" s="134"/>
      <c r="E262" s="162" t="str">
        <f>AddressLine2</f>
        <v>3893 McCoy Rd.</v>
      </c>
      <c r="F262" s="163"/>
      <c r="G262" s="163"/>
      <c r="H262" s="163"/>
      <c r="I262" s="164"/>
      <c r="J262" s="9"/>
      <c r="K262" s="9"/>
    </row>
    <row r="263" spans="1:11" x14ac:dyDescent="0.2">
      <c r="A263" s="9"/>
      <c r="B263" s="9"/>
      <c r="C263" s="135"/>
      <c r="D263" s="136"/>
      <c r="E263" s="165" t="str">
        <f>AddressLine3</f>
        <v>Orlando, FL 32812</v>
      </c>
      <c r="F263" s="166"/>
      <c r="G263" s="166"/>
      <c r="H263" s="166"/>
      <c r="I263" s="167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23" t="s">
        <v>179</v>
      </c>
      <c r="C266" s="123"/>
      <c r="D266" s="123"/>
      <c r="E266" s="123"/>
      <c r="F266" s="123"/>
      <c r="G266" s="123"/>
      <c r="H266" s="123"/>
      <c r="I266" s="123"/>
      <c r="J266" s="123"/>
      <c r="K266" s="9"/>
    </row>
    <row r="267" spans="1:11" x14ac:dyDescent="0.2">
      <c r="A267" s="9"/>
      <c r="B267" s="112" t="s">
        <v>171</v>
      </c>
      <c r="C267" s="112"/>
      <c r="D267" s="112"/>
      <c r="E267" s="112"/>
      <c r="F267" s="112"/>
      <c r="G267" s="112"/>
      <c r="H267" s="112"/>
      <c r="I267" s="15" t="s">
        <v>180</v>
      </c>
      <c r="J267" s="178" t="s">
        <v>172</v>
      </c>
      <c r="K267" s="9"/>
    </row>
    <row r="268" spans="1:11" x14ac:dyDescent="0.2">
      <c r="A268" s="9"/>
      <c r="B268" s="112"/>
      <c r="C268" s="112"/>
      <c r="D268" s="112"/>
      <c r="E268" s="112"/>
      <c r="F268" s="112"/>
      <c r="G268" s="112"/>
      <c r="H268" s="112"/>
      <c r="I268" s="16">
        <f>'Input Form'!D74</f>
        <v>47877.683138999993</v>
      </c>
      <c r="J268" s="178"/>
      <c r="K268" s="9"/>
    </row>
    <row r="269" spans="1:11" ht="18.75" x14ac:dyDescent="0.3">
      <c r="A269" s="9"/>
      <c r="B269" s="112" t="s">
        <v>135</v>
      </c>
      <c r="C269" s="112"/>
      <c r="D269" s="112"/>
      <c r="E269" s="112"/>
      <c r="F269" s="112"/>
      <c r="G269" s="112"/>
      <c r="H269" s="112"/>
      <c r="I269" s="112"/>
      <c r="J269" s="112"/>
      <c r="K269" s="9"/>
    </row>
    <row r="270" spans="1:11" ht="25.5" x14ac:dyDescent="0.2">
      <c r="A270" s="9"/>
      <c r="B270" s="114" t="s">
        <v>136</v>
      </c>
      <c r="C270" s="114"/>
      <c r="D270" s="114"/>
      <c r="E270" s="114"/>
      <c r="F270" s="25" t="s">
        <v>137</v>
      </c>
      <c r="G270" s="178" t="s">
        <v>138</v>
      </c>
      <c r="H270" s="178"/>
      <c r="I270" s="114"/>
      <c r="J270" s="114"/>
      <c r="K270" s="9"/>
    </row>
    <row r="271" spans="1:11" x14ac:dyDescent="0.2">
      <c r="A271" s="9"/>
      <c r="B271" s="110" t="str">
        <f>BasicPackage</f>
        <v>Basic Package</v>
      </c>
      <c r="C271" s="110"/>
      <c r="D271" s="110"/>
      <c r="E271" s="110"/>
      <c r="F271" s="17">
        <f>'Input Form'!C27</f>
        <v>5</v>
      </c>
      <c r="G271" s="137">
        <f>'Input Form'!$D$19</f>
        <v>0.35</v>
      </c>
      <c r="H271" s="138"/>
      <c r="I271" s="18">
        <f>I$268*F271*G271</f>
        <v>83785.945493249979</v>
      </c>
      <c r="J271" s="26">
        <f>IFERROR((I271/I$276),0)</f>
        <v>0.13207547169811318</v>
      </c>
      <c r="K271" s="9"/>
    </row>
    <row r="272" spans="1:11" x14ac:dyDescent="0.2">
      <c r="A272" s="9"/>
      <c r="B272" s="110" t="str">
        <f>MenuPackage1</f>
        <v>Menu Package #1</v>
      </c>
      <c r="C272" s="110"/>
      <c r="D272" s="110"/>
      <c r="E272" s="110"/>
      <c r="F272" s="17">
        <f>'Input Form'!C28</f>
        <v>10</v>
      </c>
      <c r="G272" s="137">
        <f>'Input Form'!$D$20</f>
        <v>0.15</v>
      </c>
      <c r="H272" s="138"/>
      <c r="I272" s="18">
        <f t="shared" ref="I272:I275" si="6">I$268*F272*G272</f>
        <v>71816.524708499986</v>
      </c>
      <c r="J272" s="26">
        <f t="shared" ref="J272:J278" si="7">IFERROR((I272/I$276),0)</f>
        <v>0.1132075471698113</v>
      </c>
      <c r="K272" s="9"/>
    </row>
    <row r="273" spans="1:11" x14ac:dyDescent="0.2">
      <c r="A273" s="9"/>
      <c r="B273" s="110" t="str">
        <f>MenuPackage2</f>
        <v>Menu Package #2</v>
      </c>
      <c r="C273" s="110"/>
      <c r="D273" s="110"/>
      <c r="E273" s="110"/>
      <c r="F273" s="17">
        <f>'Input Form'!C29</f>
        <v>15</v>
      </c>
      <c r="G273" s="137">
        <f>'Input Form'!$D$21</f>
        <v>0.15</v>
      </c>
      <c r="H273" s="138"/>
      <c r="I273" s="18">
        <f t="shared" si="6"/>
        <v>107724.78706274998</v>
      </c>
      <c r="J273" s="26">
        <f t="shared" si="7"/>
        <v>0.16981132075471694</v>
      </c>
      <c r="K273" s="9"/>
    </row>
    <row r="274" spans="1:11" x14ac:dyDescent="0.2">
      <c r="A274" s="9"/>
      <c r="B274" s="110" t="str">
        <f>MenuPackage3</f>
        <v>Menu Package #3</v>
      </c>
      <c r="C274" s="110"/>
      <c r="D274" s="110"/>
      <c r="E274" s="110"/>
      <c r="F274" s="17">
        <f>'Input Form'!C30</f>
        <v>20</v>
      </c>
      <c r="G274" s="137">
        <f>'Input Form'!$D$22</f>
        <v>0.2</v>
      </c>
      <c r="H274" s="138"/>
      <c r="I274" s="18">
        <f t="shared" si="6"/>
        <v>191510.732556</v>
      </c>
      <c r="J274" s="26">
        <f t="shared" si="7"/>
        <v>0.30188679245283018</v>
      </c>
      <c r="K274" s="9"/>
    </row>
    <row r="275" spans="1:11" x14ac:dyDescent="0.2">
      <c r="A275" s="9"/>
      <c r="B275" s="110" t="str">
        <f>MenuPackage4</f>
        <v>Menu Package #4</v>
      </c>
      <c r="C275" s="110"/>
      <c r="D275" s="110"/>
      <c r="E275" s="110"/>
      <c r="F275" s="17">
        <f>'Input Form'!C31</f>
        <v>25</v>
      </c>
      <c r="G275" s="137">
        <f>'Input Form'!$D$23</f>
        <v>0.15</v>
      </c>
      <c r="H275" s="138"/>
      <c r="I275" s="18">
        <f t="shared" si="6"/>
        <v>179541.31177124998</v>
      </c>
      <c r="J275" s="26">
        <f t="shared" si="7"/>
        <v>0.28301886792452829</v>
      </c>
      <c r="K275" s="9"/>
    </row>
    <row r="276" spans="1:11" x14ac:dyDescent="0.2">
      <c r="A276" s="9"/>
      <c r="B276" s="110" t="s">
        <v>140</v>
      </c>
      <c r="C276" s="110"/>
      <c r="D276" s="110"/>
      <c r="E276" s="110"/>
      <c r="F276" s="110"/>
      <c r="G276" s="110"/>
      <c r="H276" s="110"/>
      <c r="I276" s="18">
        <f>SUM(I271:I275)</f>
        <v>634379.30159175</v>
      </c>
      <c r="J276" s="26">
        <f t="shared" si="7"/>
        <v>1</v>
      </c>
      <c r="K276" s="9"/>
    </row>
    <row r="277" spans="1:11" x14ac:dyDescent="0.2">
      <c r="A277" s="9"/>
      <c r="B277" s="110" t="s">
        <v>141</v>
      </c>
      <c r="C277" s="110"/>
      <c r="D277" s="110"/>
      <c r="E277" s="110"/>
      <c r="F277" s="27">
        <f>$F$75</f>
        <v>0.03</v>
      </c>
      <c r="G277" s="180">
        <f>$G$75</f>
        <v>0.75</v>
      </c>
      <c r="H277" s="180"/>
      <c r="I277" s="18">
        <f>-(I276*F277*G277)</f>
        <v>-14273.534285814374</v>
      </c>
      <c r="J277" s="26">
        <f t="shared" si="7"/>
        <v>-2.2499999999999999E-2</v>
      </c>
      <c r="K277" s="9"/>
    </row>
    <row r="278" spans="1:11" x14ac:dyDescent="0.2">
      <c r="A278" s="9"/>
      <c r="B278" s="110" t="s">
        <v>142</v>
      </c>
      <c r="C278" s="110"/>
      <c r="D278" s="110"/>
      <c r="E278" s="110"/>
      <c r="F278" s="110"/>
      <c r="G278" s="110"/>
      <c r="H278" s="110"/>
      <c r="I278" s="18">
        <f>I276+I277</f>
        <v>620105.76730593562</v>
      </c>
      <c r="J278" s="26">
        <f t="shared" si="7"/>
        <v>0.97750000000000004</v>
      </c>
      <c r="K278" s="9"/>
    </row>
    <row r="279" spans="1:11" ht="18.75" x14ac:dyDescent="0.3">
      <c r="A279" s="9"/>
      <c r="B279" s="112" t="s">
        <v>144</v>
      </c>
      <c r="C279" s="112"/>
      <c r="D279" s="112"/>
      <c r="E279" s="112"/>
      <c r="F279" s="112"/>
      <c r="G279" s="112"/>
      <c r="H279" s="112"/>
      <c r="I279" s="112"/>
      <c r="J279" s="112"/>
      <c r="K279" s="9"/>
    </row>
    <row r="280" spans="1:11" x14ac:dyDescent="0.2">
      <c r="A280" s="9"/>
      <c r="B280" s="105" t="s">
        <v>148</v>
      </c>
      <c r="C280" s="106"/>
      <c r="D280" s="106"/>
      <c r="E280" s="106"/>
      <c r="F280" s="106"/>
      <c r="G280" s="106"/>
      <c r="H280" s="107"/>
      <c r="I280" s="18">
        <f>$G$80*I278</f>
        <v>18603.173019178066</v>
      </c>
      <c r="J280" s="26">
        <f>IFERROR((I280/I$278),0)</f>
        <v>2.9999999999999995E-2</v>
      </c>
      <c r="K280" s="9"/>
    </row>
    <row r="281" spans="1:11" x14ac:dyDescent="0.2">
      <c r="A281" s="9"/>
      <c r="B281" s="105" t="s">
        <v>149</v>
      </c>
      <c r="C281" s="106"/>
      <c r="D281" s="106"/>
      <c r="E281" s="106"/>
      <c r="F281" s="106"/>
      <c r="G281" s="106"/>
      <c r="H281" s="107"/>
      <c r="I281" s="18">
        <f>$G$81*I278</f>
        <v>53410.996750030121</v>
      </c>
      <c r="J281" s="26">
        <f t="shared" ref="J281:J298" si="8">IFERROR((I281/I$278),0)</f>
        <v>8.6132075471698127E-2</v>
      </c>
      <c r="K281" s="9"/>
    </row>
    <row r="282" spans="1:11" x14ac:dyDescent="0.2">
      <c r="A282" s="9"/>
      <c r="B282" s="105" t="s">
        <v>150</v>
      </c>
      <c r="C282" s="106"/>
      <c r="D282" s="106"/>
      <c r="E282" s="106"/>
      <c r="F282" s="106"/>
      <c r="G282" s="106"/>
      <c r="H282" s="107"/>
      <c r="I282" s="18">
        <f>$G$82*I278</f>
        <v>6201.0576730593566</v>
      </c>
      <c r="J282" s="26">
        <f t="shared" si="8"/>
        <v>0.01</v>
      </c>
      <c r="K282" s="9"/>
    </row>
    <row r="283" spans="1:11" x14ac:dyDescent="0.2">
      <c r="A283" s="9"/>
      <c r="B283" s="105" t="s">
        <v>151</v>
      </c>
      <c r="C283" s="106"/>
      <c r="D283" s="106"/>
      <c r="E283" s="106"/>
      <c r="F283" s="106"/>
      <c r="G283" s="106"/>
      <c r="H283" s="107"/>
      <c r="I283" s="28">
        <f>$I$83*12</f>
        <v>12000</v>
      </c>
      <c r="J283" s="26">
        <f t="shared" si="8"/>
        <v>1.9351537483894541E-2</v>
      </c>
      <c r="K283" s="9"/>
    </row>
    <row r="284" spans="1:11" x14ac:dyDescent="0.2">
      <c r="A284" s="9"/>
      <c r="B284" s="105" t="s">
        <v>152</v>
      </c>
      <c r="C284" s="106"/>
      <c r="D284" s="106"/>
      <c r="E284" s="106"/>
      <c r="F284" s="106"/>
      <c r="G284" s="106"/>
      <c r="H284" s="107"/>
      <c r="I284" s="18">
        <f>$I$84*12</f>
        <v>256932</v>
      </c>
      <c r="J284" s="26">
        <f t="shared" si="8"/>
        <v>0.41433576906766606</v>
      </c>
      <c r="K284" s="9"/>
    </row>
    <row r="285" spans="1:11" x14ac:dyDescent="0.2">
      <c r="A285" s="9"/>
      <c r="B285" s="105" t="s">
        <v>153</v>
      </c>
      <c r="C285" s="106"/>
      <c r="D285" s="106"/>
      <c r="E285" s="106"/>
      <c r="F285" s="106"/>
      <c r="G285" s="106"/>
      <c r="H285" s="107"/>
      <c r="I285" s="18">
        <f>$G$85*I278</f>
        <v>6201.0576730593566</v>
      </c>
      <c r="J285" s="26">
        <f t="shared" si="8"/>
        <v>0.01</v>
      </c>
      <c r="K285" s="9"/>
    </row>
    <row r="286" spans="1:11" x14ac:dyDescent="0.2">
      <c r="A286" s="9"/>
      <c r="B286" s="105" t="s">
        <v>154</v>
      </c>
      <c r="C286" s="106"/>
      <c r="D286" s="106"/>
      <c r="E286" s="106"/>
      <c r="F286" s="106"/>
      <c r="G286" s="106"/>
      <c r="H286" s="107"/>
      <c r="I286" s="18">
        <f>$G$86*I278</f>
        <v>6201.0576730593566</v>
      </c>
      <c r="J286" s="26">
        <f t="shared" si="8"/>
        <v>0.01</v>
      </c>
      <c r="K286" s="9"/>
    </row>
    <row r="287" spans="1:11" x14ac:dyDescent="0.2">
      <c r="A287" s="9"/>
      <c r="B287" s="105" t="s">
        <v>155</v>
      </c>
      <c r="C287" s="106"/>
      <c r="D287" s="106"/>
      <c r="E287" s="106"/>
      <c r="F287" s="106"/>
      <c r="G287" s="106"/>
      <c r="H287" s="107"/>
      <c r="I287" s="18">
        <f>$G$87*I278</f>
        <v>9301.5865095890331</v>
      </c>
      <c r="J287" s="26">
        <f t="shared" si="8"/>
        <v>1.4999999999999998E-2</v>
      </c>
      <c r="K287" s="9"/>
    </row>
    <row r="288" spans="1:11" x14ac:dyDescent="0.2">
      <c r="A288" s="9"/>
      <c r="B288" s="105" t="s">
        <v>156</v>
      </c>
      <c r="C288" s="106"/>
      <c r="D288" s="106"/>
      <c r="E288" s="106"/>
      <c r="F288" s="106"/>
      <c r="G288" s="106"/>
      <c r="H288" s="107"/>
      <c r="I288" s="18">
        <f>$G$88*I278</f>
        <v>6201.0576730593566</v>
      </c>
      <c r="J288" s="26">
        <f t="shared" si="8"/>
        <v>0.01</v>
      </c>
      <c r="K288" s="9"/>
    </row>
    <row r="289" spans="1:11" x14ac:dyDescent="0.2">
      <c r="A289" s="9"/>
      <c r="B289" s="105" t="s">
        <v>157</v>
      </c>
      <c r="C289" s="106"/>
      <c r="D289" s="106"/>
      <c r="E289" s="106"/>
      <c r="F289" s="106"/>
      <c r="G289" s="106"/>
      <c r="H289" s="107"/>
      <c r="I289" s="28">
        <f>$I$89*12</f>
        <v>24000</v>
      </c>
      <c r="J289" s="26">
        <f t="shared" si="8"/>
        <v>3.8703074967789082E-2</v>
      </c>
      <c r="K289" s="9"/>
    </row>
    <row r="290" spans="1:11" x14ac:dyDescent="0.2">
      <c r="A290" s="9"/>
      <c r="B290" s="105" t="s">
        <v>158</v>
      </c>
      <c r="C290" s="106"/>
      <c r="D290" s="106"/>
      <c r="E290" s="106"/>
      <c r="F290" s="106"/>
      <c r="G290" s="106"/>
      <c r="H290" s="107"/>
      <c r="I290" s="18">
        <f>$G$90*I278</f>
        <v>6201.0576730593566</v>
      </c>
      <c r="J290" s="26">
        <f t="shared" si="8"/>
        <v>0.01</v>
      </c>
      <c r="K290" s="9"/>
    </row>
    <row r="291" spans="1:11" x14ac:dyDescent="0.2">
      <c r="A291" s="9"/>
      <c r="B291" s="105" t="s">
        <v>159</v>
      </c>
      <c r="C291" s="106"/>
      <c r="D291" s="106"/>
      <c r="E291" s="106"/>
      <c r="F291" s="106"/>
      <c r="G291" s="106"/>
      <c r="H291" s="107"/>
      <c r="I291" s="18">
        <f>$G$91*I278</f>
        <v>49608.461384474853</v>
      </c>
      <c r="J291" s="26">
        <f t="shared" si="8"/>
        <v>0.08</v>
      </c>
      <c r="K291" s="9"/>
    </row>
    <row r="292" spans="1:11" x14ac:dyDescent="0.2">
      <c r="A292" s="9"/>
      <c r="B292" s="110" t="s">
        <v>160</v>
      </c>
      <c r="C292" s="110"/>
      <c r="D292" s="110"/>
      <c r="E292" s="110"/>
      <c r="F292" s="110"/>
      <c r="G292" s="110"/>
      <c r="H292" s="110"/>
      <c r="I292" s="18">
        <f>SUM(I280:I291)</f>
        <v>454861.50602856884</v>
      </c>
      <c r="J292" s="26">
        <f t="shared" si="8"/>
        <v>0.73352245699104779</v>
      </c>
      <c r="K292" s="9"/>
    </row>
    <row r="293" spans="1:11" x14ac:dyDescent="0.2">
      <c r="A293" s="9"/>
      <c r="B293" s="113" t="s">
        <v>161</v>
      </c>
      <c r="C293" s="113"/>
      <c r="D293" s="113"/>
      <c r="E293" s="113"/>
      <c r="F293" s="113"/>
      <c r="G293" s="113"/>
      <c r="H293" s="113"/>
      <c r="I293" s="21">
        <f>I278-I292</f>
        <v>165244.26127736678</v>
      </c>
      <c r="J293" s="26">
        <f t="shared" si="8"/>
        <v>0.26647754300895221</v>
      </c>
      <c r="K293" s="9"/>
    </row>
    <row r="294" spans="1:11" ht="18.75" x14ac:dyDescent="0.3">
      <c r="A294" s="9"/>
      <c r="B294" s="112" t="s">
        <v>173</v>
      </c>
      <c r="C294" s="112"/>
      <c r="D294" s="112"/>
      <c r="E294" s="112"/>
      <c r="F294" s="112"/>
      <c r="G294" s="112"/>
      <c r="H294" s="112"/>
      <c r="I294" s="112"/>
      <c r="J294" s="112"/>
      <c r="K294" s="9"/>
    </row>
    <row r="295" spans="1:11" x14ac:dyDescent="0.2">
      <c r="A295" s="9"/>
      <c r="B295" s="105" t="s">
        <v>174</v>
      </c>
      <c r="C295" s="106"/>
      <c r="D295" s="106"/>
      <c r="E295" s="106"/>
      <c r="F295" s="106"/>
      <c r="G295" s="106"/>
      <c r="H295" s="107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05" t="s">
        <v>126</v>
      </c>
      <c r="C296" s="106"/>
      <c r="D296" s="106"/>
      <c r="E296" s="106"/>
      <c r="F296" s="106"/>
      <c r="G296" s="106"/>
      <c r="H296" s="107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10" t="s">
        <v>175</v>
      </c>
      <c r="C297" s="110"/>
      <c r="D297" s="110"/>
      <c r="E297" s="110"/>
      <c r="F297" s="110"/>
      <c r="G297" s="110"/>
      <c r="H297" s="110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113" t="s">
        <v>176</v>
      </c>
      <c r="C298" s="113"/>
      <c r="D298" s="113"/>
      <c r="E298" s="113"/>
      <c r="F298" s="113"/>
      <c r="G298" s="113"/>
      <c r="H298" s="113"/>
      <c r="I298" s="21">
        <f>I293-I297</f>
        <v>165244.26127736678</v>
      </c>
      <c r="J298" s="26">
        <f t="shared" si="8"/>
        <v>0.26647754300895221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148" t="s">
        <v>129</v>
      </c>
      <c r="C307" s="149"/>
      <c r="D307" s="149"/>
      <c r="E307" s="149"/>
      <c r="F307" s="149"/>
      <c r="G307" s="149"/>
      <c r="H307" s="149"/>
      <c r="I307" s="149"/>
      <c r="J307" s="150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113" t="s">
        <v>2</v>
      </c>
      <c r="D310" s="113"/>
      <c r="E310" s="151" t="str">
        <f>CustomerName</f>
        <v>Eric &amp; John Hairabedian</v>
      </c>
      <c r="F310" s="152"/>
      <c r="G310" s="152"/>
      <c r="H310" s="152"/>
      <c r="I310" s="153"/>
      <c r="J310" s="9"/>
      <c r="K310" s="9"/>
    </row>
    <row r="311" spans="1:11" x14ac:dyDescent="0.2">
      <c r="A311" s="9"/>
      <c r="B311" s="9"/>
      <c r="C311" s="129" t="s">
        <v>130</v>
      </c>
      <c r="D311" s="130"/>
      <c r="E311" s="151" t="str">
        <f>CompanyName</f>
        <v>Floris Car Wash</v>
      </c>
      <c r="F311" s="152"/>
      <c r="G311" s="152"/>
      <c r="H311" s="152"/>
      <c r="I311" s="153"/>
      <c r="J311" s="9"/>
      <c r="K311" s="9"/>
    </row>
    <row r="312" spans="1:11" x14ac:dyDescent="0.2">
      <c r="A312" s="9"/>
      <c r="B312" s="9"/>
      <c r="C312" s="131" t="s">
        <v>6</v>
      </c>
      <c r="D312" s="132"/>
      <c r="E312" s="159">
        <f>AddressLine1</f>
        <v>0</v>
      </c>
      <c r="F312" s="160"/>
      <c r="G312" s="160"/>
      <c r="H312" s="160"/>
      <c r="I312" s="161"/>
      <c r="J312" s="9"/>
      <c r="K312" s="9"/>
    </row>
    <row r="313" spans="1:11" x14ac:dyDescent="0.2">
      <c r="A313" s="9"/>
      <c r="B313" s="9"/>
      <c r="C313" s="133"/>
      <c r="D313" s="134"/>
      <c r="E313" s="162" t="str">
        <f>AddressLine2</f>
        <v>3893 McCoy Rd.</v>
      </c>
      <c r="F313" s="163"/>
      <c r="G313" s="163"/>
      <c r="H313" s="163"/>
      <c r="I313" s="164"/>
      <c r="J313" s="9"/>
      <c r="K313" s="9"/>
    </row>
    <row r="314" spans="1:11" x14ac:dyDescent="0.2">
      <c r="A314" s="9"/>
      <c r="B314" s="9"/>
      <c r="C314" s="135"/>
      <c r="D314" s="136"/>
      <c r="E314" s="165" t="str">
        <f>AddressLine3</f>
        <v>Orlando, FL 32812</v>
      </c>
      <c r="F314" s="166"/>
      <c r="G314" s="166"/>
      <c r="H314" s="166"/>
      <c r="I314" s="167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23" t="s">
        <v>181</v>
      </c>
      <c r="C317" s="123"/>
      <c r="D317" s="123"/>
      <c r="E317" s="123"/>
      <c r="F317" s="123"/>
      <c r="G317" s="123"/>
      <c r="H317" s="123"/>
      <c r="I317" s="123"/>
      <c r="J317" s="123"/>
      <c r="K317" s="9"/>
    </row>
    <row r="318" spans="1:11" x14ac:dyDescent="0.2">
      <c r="A318" s="9"/>
      <c r="B318" s="112" t="s">
        <v>171</v>
      </c>
      <c r="C318" s="112"/>
      <c r="D318" s="112"/>
      <c r="E318" s="112"/>
      <c r="F318" s="112"/>
      <c r="G318" s="112"/>
      <c r="H318" s="112"/>
      <c r="I318" s="15" t="s">
        <v>182</v>
      </c>
      <c r="J318" s="178" t="s">
        <v>172</v>
      </c>
      <c r="K318" s="9"/>
    </row>
    <row r="319" spans="1:11" x14ac:dyDescent="0.2">
      <c r="A319" s="9"/>
      <c r="B319" s="112"/>
      <c r="C319" s="112"/>
      <c r="D319" s="112"/>
      <c r="E319" s="112"/>
      <c r="F319" s="112"/>
      <c r="G319" s="112"/>
      <c r="H319" s="112"/>
      <c r="I319" s="16">
        <f>'Input Form'!E74</f>
        <v>49142.743872347557</v>
      </c>
      <c r="J319" s="178"/>
      <c r="K319" s="9"/>
    </row>
    <row r="320" spans="1:11" ht="18.75" x14ac:dyDescent="0.3">
      <c r="A320" s="9"/>
      <c r="B320" s="112" t="s">
        <v>135</v>
      </c>
      <c r="C320" s="112"/>
      <c r="D320" s="112"/>
      <c r="E320" s="112"/>
      <c r="F320" s="112"/>
      <c r="G320" s="112"/>
      <c r="H320" s="112"/>
      <c r="I320" s="112"/>
      <c r="J320" s="112"/>
      <c r="K320" s="9"/>
    </row>
    <row r="321" spans="1:11" ht="25.5" x14ac:dyDescent="0.2">
      <c r="A321" s="9"/>
      <c r="B321" s="114" t="s">
        <v>136</v>
      </c>
      <c r="C321" s="114"/>
      <c r="D321" s="114"/>
      <c r="E321" s="114"/>
      <c r="F321" s="25" t="s">
        <v>137</v>
      </c>
      <c r="G321" s="178" t="s">
        <v>138</v>
      </c>
      <c r="H321" s="178"/>
      <c r="I321" s="114"/>
      <c r="J321" s="114"/>
      <c r="K321" s="9"/>
    </row>
    <row r="322" spans="1:11" x14ac:dyDescent="0.2">
      <c r="A322" s="9"/>
      <c r="B322" s="110" t="str">
        <f>BasicPackage</f>
        <v>Basic Package</v>
      </c>
      <c r="C322" s="110"/>
      <c r="D322" s="110"/>
      <c r="E322" s="110"/>
      <c r="F322" s="17">
        <f>'Input Form'!D27</f>
        <v>5</v>
      </c>
      <c r="G322" s="137">
        <f>'Input Form'!$D$19</f>
        <v>0.35</v>
      </c>
      <c r="H322" s="138"/>
      <c r="I322" s="18">
        <f>I$319*F322*G322</f>
        <v>85999.801776608219</v>
      </c>
      <c r="J322" s="26">
        <f>IFERROR((I322/I$327),0)</f>
        <v>0.13207547169811318</v>
      </c>
      <c r="K322" s="9"/>
    </row>
    <row r="323" spans="1:11" x14ac:dyDescent="0.2">
      <c r="A323" s="9"/>
      <c r="B323" s="110" t="str">
        <f>MenuPackage1</f>
        <v>Menu Package #1</v>
      </c>
      <c r="C323" s="110"/>
      <c r="D323" s="110"/>
      <c r="E323" s="110"/>
      <c r="F323" s="17">
        <f>'Input Form'!D28</f>
        <v>10</v>
      </c>
      <c r="G323" s="137">
        <f>'Input Form'!$D$20</f>
        <v>0.15</v>
      </c>
      <c r="H323" s="138"/>
      <c r="I323" s="18">
        <f>I$319*F323*G323</f>
        <v>73714.115808521325</v>
      </c>
      <c r="J323" s="26">
        <f t="shared" ref="J323:J329" si="9">IFERROR((I323/I$327),0)</f>
        <v>0.1132075471698113</v>
      </c>
      <c r="K323" s="9"/>
    </row>
    <row r="324" spans="1:11" x14ac:dyDescent="0.2">
      <c r="A324" s="9"/>
      <c r="B324" s="110" t="str">
        <f>MenuPackage2</f>
        <v>Menu Package #2</v>
      </c>
      <c r="C324" s="110"/>
      <c r="D324" s="110"/>
      <c r="E324" s="110"/>
      <c r="F324" s="17">
        <f>'Input Form'!D29</f>
        <v>15</v>
      </c>
      <c r="G324" s="137">
        <f>'Input Form'!$D$21</f>
        <v>0.15</v>
      </c>
      <c r="H324" s="138"/>
      <c r="I324" s="18">
        <f>I$319*F324*G324</f>
        <v>110571.17371278201</v>
      </c>
      <c r="J324" s="26">
        <f t="shared" si="9"/>
        <v>0.16981132075471697</v>
      </c>
      <c r="K324" s="9"/>
    </row>
    <row r="325" spans="1:11" x14ac:dyDescent="0.2">
      <c r="A325" s="9"/>
      <c r="B325" s="110" t="str">
        <f>MenuPackage3</f>
        <v>Menu Package #3</v>
      </c>
      <c r="C325" s="110"/>
      <c r="D325" s="110"/>
      <c r="E325" s="110"/>
      <c r="F325" s="17">
        <f>'Input Form'!D30</f>
        <v>20</v>
      </c>
      <c r="G325" s="137">
        <f>'Input Form'!$D$22</f>
        <v>0.2</v>
      </c>
      <c r="H325" s="138"/>
      <c r="I325" s="18">
        <f>I$319*F325*G325</f>
        <v>196570.97548939023</v>
      </c>
      <c r="J325" s="26">
        <f t="shared" si="9"/>
        <v>0.30188679245283018</v>
      </c>
      <c r="K325" s="9"/>
    </row>
    <row r="326" spans="1:11" x14ac:dyDescent="0.2">
      <c r="A326" s="9"/>
      <c r="B326" s="110" t="str">
        <f>MenuPackage4</f>
        <v>Menu Package #4</v>
      </c>
      <c r="C326" s="110"/>
      <c r="D326" s="110"/>
      <c r="E326" s="110"/>
      <c r="F326" s="17">
        <f>'Input Form'!D31</f>
        <v>25</v>
      </c>
      <c r="G326" s="137">
        <f>'Input Form'!$D$23</f>
        <v>0.15</v>
      </c>
      <c r="H326" s="138"/>
      <c r="I326" s="18">
        <f>I$319*F326*G326</f>
        <v>184285.28952130335</v>
      </c>
      <c r="J326" s="26">
        <f t="shared" si="9"/>
        <v>0.28301886792452829</v>
      </c>
      <c r="K326" s="9"/>
    </row>
    <row r="327" spans="1:11" x14ac:dyDescent="0.2">
      <c r="A327" s="9"/>
      <c r="B327" s="110" t="s">
        <v>140</v>
      </c>
      <c r="C327" s="110"/>
      <c r="D327" s="110"/>
      <c r="E327" s="110"/>
      <c r="F327" s="110"/>
      <c r="G327" s="110"/>
      <c r="H327" s="110"/>
      <c r="I327" s="18">
        <f>SUM(I322:I326)</f>
        <v>651141.35630860517</v>
      </c>
      <c r="J327" s="26">
        <f t="shared" si="9"/>
        <v>1</v>
      </c>
      <c r="K327" s="9"/>
    </row>
    <row r="328" spans="1:11" x14ac:dyDescent="0.2">
      <c r="A328" s="9"/>
      <c r="B328" s="110" t="s">
        <v>141</v>
      </c>
      <c r="C328" s="110"/>
      <c r="D328" s="110"/>
      <c r="E328" s="110"/>
      <c r="F328" s="27">
        <f>$F$75</f>
        <v>0.03</v>
      </c>
      <c r="G328" s="180">
        <f>$G$75</f>
        <v>0.75</v>
      </c>
      <c r="H328" s="180"/>
      <c r="I328" s="18">
        <f>-(I327*F328*G328)</f>
        <v>-14650.680516943616</v>
      </c>
      <c r="J328" s="26">
        <f t="shared" si="9"/>
        <v>-2.2499999999999999E-2</v>
      </c>
      <c r="K328" s="9"/>
    </row>
    <row r="329" spans="1:11" x14ac:dyDescent="0.2">
      <c r="A329" s="9"/>
      <c r="B329" s="110" t="s">
        <v>142</v>
      </c>
      <c r="C329" s="110"/>
      <c r="D329" s="110"/>
      <c r="E329" s="110"/>
      <c r="F329" s="110"/>
      <c r="G329" s="110"/>
      <c r="H329" s="110"/>
      <c r="I329" s="18">
        <f>I327+I328</f>
        <v>636490.6757916616</v>
      </c>
      <c r="J329" s="26">
        <f t="shared" si="9"/>
        <v>0.97750000000000004</v>
      </c>
      <c r="K329" s="9"/>
    </row>
    <row r="330" spans="1:11" ht="18.75" x14ac:dyDescent="0.3">
      <c r="A330" s="9"/>
      <c r="B330" s="112" t="s">
        <v>144</v>
      </c>
      <c r="C330" s="112"/>
      <c r="D330" s="112"/>
      <c r="E330" s="112"/>
      <c r="F330" s="112"/>
      <c r="G330" s="112"/>
      <c r="H330" s="112"/>
      <c r="I330" s="112"/>
      <c r="J330" s="112"/>
      <c r="K330" s="9"/>
    </row>
    <row r="331" spans="1:11" x14ac:dyDescent="0.2">
      <c r="A331" s="9"/>
      <c r="B331" s="105" t="s">
        <v>148</v>
      </c>
      <c r="C331" s="106"/>
      <c r="D331" s="106"/>
      <c r="E331" s="106"/>
      <c r="F331" s="106"/>
      <c r="G331" s="106"/>
      <c r="H331" s="107"/>
      <c r="I331" s="18">
        <f>$G$80*I329</f>
        <v>19094.720273749848</v>
      </c>
      <c r="J331" s="26">
        <f>IFERROR((I331/I$329),0)</f>
        <v>0.03</v>
      </c>
      <c r="K331" s="9"/>
    </row>
    <row r="332" spans="1:11" x14ac:dyDescent="0.2">
      <c r="A332" s="9"/>
      <c r="B332" s="105" t="s">
        <v>149</v>
      </c>
      <c r="C332" s="106"/>
      <c r="D332" s="106"/>
      <c r="E332" s="106"/>
      <c r="F332" s="106"/>
      <c r="G332" s="106"/>
      <c r="H332" s="107"/>
      <c r="I332" s="18">
        <f>$G$81*I329</f>
        <v>54822.262924319541</v>
      </c>
      <c r="J332" s="26">
        <f t="shared" ref="J332:J344" si="10">IFERROR((I332/I$329),0)</f>
        <v>8.6132075471698127E-2</v>
      </c>
      <c r="K332" s="9"/>
    </row>
    <row r="333" spans="1:11" x14ac:dyDescent="0.2">
      <c r="A333" s="9"/>
      <c r="B333" s="105" t="s">
        <v>150</v>
      </c>
      <c r="C333" s="106"/>
      <c r="D333" s="106"/>
      <c r="E333" s="106"/>
      <c r="F333" s="106"/>
      <c r="G333" s="106"/>
      <c r="H333" s="107"/>
      <c r="I333" s="18">
        <f>$G$82*I329</f>
        <v>6364.9067579166158</v>
      </c>
      <c r="J333" s="26">
        <f t="shared" si="10"/>
        <v>0.01</v>
      </c>
      <c r="K333" s="9"/>
    </row>
    <row r="334" spans="1:11" x14ac:dyDescent="0.2">
      <c r="A334" s="9"/>
      <c r="B334" s="105" t="s">
        <v>151</v>
      </c>
      <c r="C334" s="106"/>
      <c r="D334" s="106"/>
      <c r="E334" s="106"/>
      <c r="F334" s="106"/>
      <c r="G334" s="106"/>
      <c r="H334" s="107"/>
      <c r="I334" s="28">
        <f>$I$83*12</f>
        <v>12000</v>
      </c>
      <c r="J334" s="26">
        <f t="shared" si="10"/>
        <v>1.8853379093220029E-2</v>
      </c>
      <c r="K334" s="9"/>
    </row>
    <row r="335" spans="1:11" x14ac:dyDescent="0.2">
      <c r="A335" s="9"/>
      <c r="B335" s="105" t="s">
        <v>152</v>
      </c>
      <c r="C335" s="106"/>
      <c r="D335" s="106"/>
      <c r="E335" s="106"/>
      <c r="F335" s="106"/>
      <c r="G335" s="106"/>
      <c r="H335" s="107"/>
      <c r="I335" s="18">
        <f>$I$84*12</f>
        <v>256932</v>
      </c>
      <c r="J335" s="26">
        <f t="shared" si="10"/>
        <v>0.403669699764934</v>
      </c>
      <c r="K335" s="9"/>
    </row>
    <row r="336" spans="1:11" x14ac:dyDescent="0.2">
      <c r="A336" s="9"/>
      <c r="B336" s="105" t="s">
        <v>153</v>
      </c>
      <c r="C336" s="106"/>
      <c r="D336" s="106"/>
      <c r="E336" s="106"/>
      <c r="F336" s="106"/>
      <c r="G336" s="106"/>
      <c r="H336" s="107"/>
      <c r="I336" s="18">
        <f>$G$85*I329</f>
        <v>6364.9067579166158</v>
      </c>
      <c r="J336" s="26">
        <f t="shared" si="10"/>
        <v>0.01</v>
      </c>
      <c r="K336" s="9"/>
    </row>
    <row r="337" spans="1:11" x14ac:dyDescent="0.2">
      <c r="A337" s="9"/>
      <c r="B337" s="105" t="s">
        <v>154</v>
      </c>
      <c r="C337" s="106"/>
      <c r="D337" s="106"/>
      <c r="E337" s="106"/>
      <c r="F337" s="106"/>
      <c r="G337" s="106"/>
      <c r="H337" s="107"/>
      <c r="I337" s="18">
        <f>$G$86*I329</f>
        <v>6364.9067579166158</v>
      </c>
      <c r="J337" s="26">
        <f t="shared" si="10"/>
        <v>0.01</v>
      </c>
      <c r="K337" s="9"/>
    </row>
    <row r="338" spans="1:11" x14ac:dyDescent="0.2">
      <c r="A338" s="9"/>
      <c r="B338" s="105" t="s">
        <v>155</v>
      </c>
      <c r="C338" s="106"/>
      <c r="D338" s="106"/>
      <c r="E338" s="106"/>
      <c r="F338" s="106"/>
      <c r="G338" s="106"/>
      <c r="H338" s="107"/>
      <c r="I338" s="18">
        <f>$G$87*I329</f>
        <v>9547.3601368749241</v>
      </c>
      <c r="J338" s="26">
        <f t="shared" si="10"/>
        <v>1.4999999999999999E-2</v>
      </c>
      <c r="K338" s="9"/>
    </row>
    <row r="339" spans="1:11" x14ac:dyDescent="0.2">
      <c r="A339" s="9"/>
      <c r="B339" s="105" t="s">
        <v>156</v>
      </c>
      <c r="C339" s="106"/>
      <c r="D339" s="106"/>
      <c r="E339" s="106"/>
      <c r="F339" s="106"/>
      <c r="G339" s="106"/>
      <c r="H339" s="107"/>
      <c r="I339" s="18">
        <f>$G$88*I329</f>
        <v>6364.9067579166158</v>
      </c>
      <c r="J339" s="26">
        <f t="shared" si="10"/>
        <v>0.01</v>
      </c>
      <c r="K339" s="9"/>
    </row>
    <row r="340" spans="1:11" x14ac:dyDescent="0.2">
      <c r="A340" s="9"/>
      <c r="B340" s="105" t="s">
        <v>157</v>
      </c>
      <c r="C340" s="106"/>
      <c r="D340" s="106"/>
      <c r="E340" s="106"/>
      <c r="F340" s="106"/>
      <c r="G340" s="106"/>
      <c r="H340" s="107"/>
      <c r="I340" s="28">
        <f>$I$89*12</f>
        <v>24000</v>
      </c>
      <c r="J340" s="26">
        <f t="shared" si="10"/>
        <v>3.7706758186440058E-2</v>
      </c>
      <c r="K340" s="9"/>
    </row>
    <row r="341" spans="1:11" x14ac:dyDescent="0.2">
      <c r="A341" s="9"/>
      <c r="B341" s="105" t="s">
        <v>158</v>
      </c>
      <c r="C341" s="106"/>
      <c r="D341" s="106"/>
      <c r="E341" s="106"/>
      <c r="F341" s="106"/>
      <c r="G341" s="106"/>
      <c r="H341" s="107"/>
      <c r="I341" s="18">
        <f>$G$90*I329</f>
        <v>6364.9067579166158</v>
      </c>
      <c r="J341" s="26">
        <f t="shared" si="10"/>
        <v>0.01</v>
      </c>
      <c r="K341" s="9"/>
    </row>
    <row r="342" spans="1:11" x14ac:dyDescent="0.2">
      <c r="A342" s="9"/>
      <c r="B342" s="105" t="s">
        <v>159</v>
      </c>
      <c r="C342" s="106"/>
      <c r="D342" s="106"/>
      <c r="E342" s="106"/>
      <c r="F342" s="106"/>
      <c r="G342" s="106"/>
      <c r="H342" s="107"/>
      <c r="I342" s="18">
        <f>$G$91*I329</f>
        <v>50919.254063332926</v>
      </c>
      <c r="J342" s="26">
        <f t="shared" si="10"/>
        <v>0.08</v>
      </c>
      <c r="K342" s="9"/>
    </row>
    <row r="343" spans="1:11" x14ac:dyDescent="0.2">
      <c r="A343" s="9"/>
      <c r="B343" s="110" t="s">
        <v>160</v>
      </c>
      <c r="C343" s="110"/>
      <c r="D343" s="110"/>
      <c r="E343" s="110"/>
      <c r="F343" s="110"/>
      <c r="G343" s="110"/>
      <c r="H343" s="110"/>
      <c r="I343" s="18">
        <f>SUM(I331:I342)</f>
        <v>459140.13118786033</v>
      </c>
      <c r="J343" s="26">
        <f t="shared" si="10"/>
        <v>0.72136191251629223</v>
      </c>
      <c r="K343" s="9"/>
    </row>
    <row r="344" spans="1:11" x14ac:dyDescent="0.2">
      <c r="A344" s="9"/>
      <c r="B344" s="113" t="s">
        <v>161</v>
      </c>
      <c r="C344" s="113"/>
      <c r="D344" s="113"/>
      <c r="E344" s="113"/>
      <c r="F344" s="113"/>
      <c r="G344" s="113"/>
      <c r="H344" s="113"/>
      <c r="I344" s="21">
        <f>I329-I343</f>
        <v>177350.54460380127</v>
      </c>
      <c r="J344" s="26">
        <f t="shared" si="10"/>
        <v>0.27863808748370777</v>
      </c>
      <c r="K344" s="9"/>
    </row>
    <row r="345" spans="1:11" ht="18.75" x14ac:dyDescent="0.3">
      <c r="A345" s="9"/>
      <c r="B345" s="112" t="s">
        <v>173</v>
      </c>
      <c r="C345" s="112"/>
      <c r="D345" s="112"/>
      <c r="E345" s="112"/>
      <c r="F345" s="112"/>
      <c r="G345" s="112"/>
      <c r="H345" s="112"/>
      <c r="I345" s="112"/>
      <c r="J345" s="112"/>
      <c r="K345" s="9"/>
    </row>
    <row r="346" spans="1:11" x14ac:dyDescent="0.2">
      <c r="A346" s="9"/>
      <c r="B346" s="105" t="s">
        <v>174</v>
      </c>
      <c r="C346" s="106"/>
      <c r="D346" s="106"/>
      <c r="E346" s="106"/>
      <c r="F346" s="106"/>
      <c r="G346" s="106"/>
      <c r="H346" s="107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05" t="s">
        <v>126</v>
      </c>
      <c r="C347" s="106"/>
      <c r="D347" s="106"/>
      <c r="E347" s="106"/>
      <c r="F347" s="106"/>
      <c r="G347" s="106"/>
      <c r="H347" s="107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10" t="s">
        <v>175</v>
      </c>
      <c r="C348" s="110"/>
      <c r="D348" s="110"/>
      <c r="E348" s="110"/>
      <c r="F348" s="110"/>
      <c r="G348" s="110"/>
      <c r="H348" s="110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113" t="s">
        <v>176</v>
      </c>
      <c r="C349" s="113"/>
      <c r="D349" s="113"/>
      <c r="E349" s="113"/>
      <c r="F349" s="113"/>
      <c r="G349" s="113"/>
      <c r="H349" s="113"/>
      <c r="I349" s="21">
        <f>I344-I348</f>
        <v>177350.54460380127</v>
      </c>
      <c r="J349" s="26">
        <f t="shared" si="11"/>
        <v>0.27863808748370777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148" t="s">
        <v>129</v>
      </c>
      <c r="C358" s="149"/>
      <c r="D358" s="149"/>
      <c r="E358" s="149"/>
      <c r="F358" s="149"/>
      <c r="G358" s="149"/>
      <c r="H358" s="149"/>
      <c r="I358" s="149"/>
      <c r="J358" s="150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113" t="s">
        <v>2</v>
      </c>
      <c r="D361" s="113"/>
      <c r="E361" s="151" t="str">
        <f>CustomerName</f>
        <v>Eric &amp; John Hairabedian</v>
      </c>
      <c r="F361" s="152"/>
      <c r="G361" s="152"/>
      <c r="H361" s="152"/>
      <c r="I361" s="153"/>
      <c r="J361" s="9"/>
      <c r="K361" s="9"/>
    </row>
    <row r="362" spans="1:11" x14ac:dyDescent="0.2">
      <c r="A362" s="9"/>
      <c r="B362" s="9"/>
      <c r="C362" s="129" t="s">
        <v>130</v>
      </c>
      <c r="D362" s="130"/>
      <c r="E362" s="151" t="str">
        <f>CompanyName</f>
        <v>Floris Car Wash</v>
      </c>
      <c r="F362" s="152"/>
      <c r="G362" s="152"/>
      <c r="H362" s="152"/>
      <c r="I362" s="153"/>
      <c r="J362" s="9"/>
      <c r="K362" s="9"/>
    </row>
    <row r="363" spans="1:11" x14ac:dyDescent="0.2">
      <c r="A363" s="9"/>
      <c r="B363" s="9"/>
      <c r="C363" s="131" t="s">
        <v>6</v>
      </c>
      <c r="D363" s="132"/>
      <c r="E363" s="159">
        <f>AddressLine1</f>
        <v>0</v>
      </c>
      <c r="F363" s="160"/>
      <c r="G363" s="160"/>
      <c r="H363" s="160"/>
      <c r="I363" s="161"/>
      <c r="J363" s="9"/>
      <c r="K363" s="9"/>
    </row>
    <row r="364" spans="1:11" x14ac:dyDescent="0.2">
      <c r="A364" s="9"/>
      <c r="B364" s="9"/>
      <c r="C364" s="133"/>
      <c r="D364" s="134"/>
      <c r="E364" s="162" t="str">
        <f>AddressLine2</f>
        <v>3893 McCoy Rd.</v>
      </c>
      <c r="F364" s="163"/>
      <c r="G364" s="163"/>
      <c r="H364" s="163"/>
      <c r="I364" s="164"/>
      <c r="J364" s="9"/>
      <c r="K364" s="9"/>
    </row>
    <row r="365" spans="1:11" x14ac:dyDescent="0.2">
      <c r="A365" s="9"/>
      <c r="B365" s="9"/>
      <c r="C365" s="135"/>
      <c r="D365" s="136"/>
      <c r="E365" s="165" t="str">
        <f>AddressLine3</f>
        <v>Orlando, FL 32812</v>
      </c>
      <c r="F365" s="166"/>
      <c r="G365" s="166"/>
      <c r="H365" s="166"/>
      <c r="I365" s="167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23" t="s">
        <v>183</v>
      </c>
      <c r="C368" s="123"/>
      <c r="D368" s="123"/>
      <c r="E368" s="123"/>
      <c r="F368" s="123"/>
      <c r="G368" s="123"/>
      <c r="H368" s="123"/>
      <c r="I368" s="123"/>
      <c r="J368" s="123"/>
      <c r="K368" s="9"/>
    </row>
    <row r="369" spans="1:11" x14ac:dyDescent="0.2">
      <c r="A369" s="9"/>
      <c r="B369" s="112" t="s">
        <v>171</v>
      </c>
      <c r="C369" s="112"/>
      <c r="D369" s="112"/>
      <c r="E369" s="112"/>
      <c r="F369" s="112"/>
      <c r="G369" s="112"/>
      <c r="H369" s="112"/>
      <c r="I369" s="15" t="s">
        <v>184</v>
      </c>
      <c r="J369" s="178" t="s">
        <v>172</v>
      </c>
      <c r="K369" s="9"/>
    </row>
    <row r="370" spans="1:11" x14ac:dyDescent="0.2">
      <c r="A370" s="9"/>
      <c r="B370" s="112"/>
      <c r="C370" s="112"/>
      <c r="D370" s="112"/>
      <c r="E370" s="112"/>
      <c r="F370" s="112"/>
      <c r="G370" s="112"/>
      <c r="H370" s="112"/>
      <c r="I370" s="16">
        <f>'Input Form'!F74</f>
        <v>53022.434178059208</v>
      </c>
      <c r="J370" s="178"/>
      <c r="K370" s="9"/>
    </row>
    <row r="371" spans="1:11" ht="18.75" x14ac:dyDescent="0.3">
      <c r="A371" s="9"/>
      <c r="B371" s="112" t="s">
        <v>135</v>
      </c>
      <c r="C371" s="112"/>
      <c r="D371" s="112"/>
      <c r="E371" s="112"/>
      <c r="F371" s="112"/>
      <c r="G371" s="112"/>
      <c r="H371" s="112"/>
      <c r="I371" s="112"/>
      <c r="J371" s="112"/>
      <c r="K371" s="9"/>
    </row>
    <row r="372" spans="1:11" ht="25.5" x14ac:dyDescent="0.2">
      <c r="A372" s="9"/>
      <c r="B372" s="114" t="s">
        <v>136</v>
      </c>
      <c r="C372" s="114"/>
      <c r="D372" s="114"/>
      <c r="E372" s="114"/>
      <c r="F372" s="25" t="s">
        <v>137</v>
      </c>
      <c r="G372" s="178" t="s">
        <v>138</v>
      </c>
      <c r="H372" s="178"/>
      <c r="I372" s="114"/>
      <c r="J372" s="114"/>
      <c r="K372" s="9"/>
    </row>
    <row r="373" spans="1:11" x14ac:dyDescent="0.2">
      <c r="A373" s="9"/>
      <c r="B373" s="110" t="str">
        <f>BasicPackage</f>
        <v>Basic Package</v>
      </c>
      <c r="C373" s="110"/>
      <c r="D373" s="110"/>
      <c r="E373" s="110"/>
      <c r="F373" s="17">
        <f>'Input Form'!E27</f>
        <v>5</v>
      </c>
      <c r="G373" s="137">
        <f>'Input Form'!$D$19</f>
        <v>0.35</v>
      </c>
      <c r="H373" s="138"/>
      <c r="I373" s="18">
        <f>I$370*F373*G373</f>
        <v>92789.25981160361</v>
      </c>
      <c r="J373" s="26">
        <f>IFERROR((I373/I$378),0)</f>
        <v>0.13207547169811321</v>
      </c>
      <c r="K373" s="9"/>
    </row>
    <row r="374" spans="1:11" x14ac:dyDescent="0.2">
      <c r="A374" s="9"/>
      <c r="B374" s="110" t="str">
        <f>MenuPackage1</f>
        <v>Menu Package #1</v>
      </c>
      <c r="C374" s="110"/>
      <c r="D374" s="110"/>
      <c r="E374" s="110"/>
      <c r="F374" s="17">
        <f>'Input Form'!E28</f>
        <v>10</v>
      </c>
      <c r="G374" s="137">
        <f>'Input Form'!$D$20</f>
        <v>0.15</v>
      </c>
      <c r="H374" s="138"/>
      <c r="I374" s="18">
        <f t="shared" ref="I374:I377" si="12">I$370*F374*G374</f>
        <v>79533.651267088819</v>
      </c>
      <c r="J374" s="26">
        <f t="shared" ref="J374:J380" si="13">IFERROR((I374/I$378),0)</f>
        <v>0.11320754716981132</v>
      </c>
      <c r="K374" s="9"/>
    </row>
    <row r="375" spans="1:11" x14ac:dyDescent="0.2">
      <c r="A375" s="9"/>
      <c r="B375" s="110" t="str">
        <f>MenuPackage2</f>
        <v>Menu Package #2</v>
      </c>
      <c r="C375" s="110"/>
      <c r="D375" s="110"/>
      <c r="E375" s="110"/>
      <c r="F375" s="17">
        <f>'Input Form'!E29</f>
        <v>15</v>
      </c>
      <c r="G375" s="137">
        <f>'Input Form'!$D$21</f>
        <v>0.15</v>
      </c>
      <c r="H375" s="138"/>
      <c r="I375" s="18">
        <f t="shared" si="12"/>
        <v>119300.47690063321</v>
      </c>
      <c r="J375" s="26">
        <f t="shared" si="13"/>
        <v>0.16981132075471697</v>
      </c>
      <c r="K375" s="9"/>
    </row>
    <row r="376" spans="1:11" x14ac:dyDescent="0.2">
      <c r="A376" s="9"/>
      <c r="B376" s="110" t="str">
        <f>MenuPackage3</f>
        <v>Menu Package #3</v>
      </c>
      <c r="C376" s="110"/>
      <c r="D376" s="110"/>
      <c r="E376" s="110"/>
      <c r="F376" s="17">
        <f>'Input Form'!E30</f>
        <v>20</v>
      </c>
      <c r="G376" s="137">
        <f>'Input Form'!$D$22</f>
        <v>0.2</v>
      </c>
      <c r="H376" s="138"/>
      <c r="I376" s="18">
        <f t="shared" si="12"/>
        <v>212089.73671223686</v>
      </c>
      <c r="J376" s="26">
        <f t="shared" si="13"/>
        <v>0.30188679245283023</v>
      </c>
      <c r="K376" s="9"/>
    </row>
    <row r="377" spans="1:11" x14ac:dyDescent="0.2">
      <c r="A377" s="9"/>
      <c r="B377" s="110" t="str">
        <f>MenuPackage4</f>
        <v>Menu Package #4</v>
      </c>
      <c r="C377" s="110"/>
      <c r="D377" s="110"/>
      <c r="E377" s="110"/>
      <c r="F377" s="17">
        <f>'Input Form'!E31</f>
        <v>25</v>
      </c>
      <c r="G377" s="137">
        <f>'Input Form'!$D$23</f>
        <v>0.15</v>
      </c>
      <c r="H377" s="138"/>
      <c r="I377" s="18">
        <f t="shared" si="12"/>
        <v>198834.128167722</v>
      </c>
      <c r="J377" s="26">
        <f t="shared" si="13"/>
        <v>0.28301886792452824</v>
      </c>
      <c r="K377" s="9"/>
    </row>
    <row r="378" spans="1:11" x14ac:dyDescent="0.2">
      <c r="A378" s="9"/>
      <c r="B378" s="110" t="s">
        <v>140</v>
      </c>
      <c r="C378" s="110"/>
      <c r="D378" s="110"/>
      <c r="E378" s="110"/>
      <c r="F378" s="110"/>
      <c r="G378" s="110"/>
      <c r="H378" s="110"/>
      <c r="I378" s="18">
        <f>SUM(I373:I377)</f>
        <v>702547.25285928452</v>
      </c>
      <c r="J378" s="26">
        <f t="shared" si="13"/>
        <v>1</v>
      </c>
      <c r="K378" s="9"/>
    </row>
    <row r="379" spans="1:11" x14ac:dyDescent="0.2">
      <c r="A379" s="9"/>
      <c r="B379" s="110" t="s">
        <v>141</v>
      </c>
      <c r="C379" s="110"/>
      <c r="D379" s="110"/>
      <c r="E379" s="110"/>
      <c r="F379" s="27">
        <f>$F$75</f>
        <v>0.03</v>
      </c>
      <c r="G379" s="180">
        <f>$G$75</f>
        <v>0.75</v>
      </c>
      <c r="H379" s="180"/>
      <c r="I379" s="18">
        <f>-(I378*F379*G379)</f>
        <v>-15807.313189333901</v>
      </c>
      <c r="J379" s="26">
        <f t="shared" si="13"/>
        <v>-2.2499999999999999E-2</v>
      </c>
      <c r="K379" s="9"/>
    </row>
    <row r="380" spans="1:11" x14ac:dyDescent="0.2">
      <c r="A380" s="9"/>
      <c r="B380" s="110" t="s">
        <v>142</v>
      </c>
      <c r="C380" s="110"/>
      <c r="D380" s="110"/>
      <c r="E380" s="110"/>
      <c r="F380" s="110"/>
      <c r="G380" s="110"/>
      <c r="H380" s="110"/>
      <c r="I380" s="18">
        <f>I378+I379</f>
        <v>686739.93966995063</v>
      </c>
      <c r="J380" s="26">
        <f t="shared" si="13"/>
        <v>0.97750000000000004</v>
      </c>
      <c r="K380" s="9"/>
    </row>
    <row r="381" spans="1:11" ht="18.75" x14ac:dyDescent="0.3">
      <c r="A381" s="9"/>
      <c r="B381" s="112" t="s">
        <v>144</v>
      </c>
      <c r="C381" s="112"/>
      <c r="D381" s="112"/>
      <c r="E381" s="112"/>
      <c r="F381" s="112"/>
      <c r="G381" s="112"/>
      <c r="H381" s="112"/>
      <c r="I381" s="112"/>
      <c r="J381" s="112"/>
      <c r="K381" s="9"/>
    </row>
    <row r="382" spans="1:11" x14ac:dyDescent="0.2">
      <c r="A382" s="9"/>
      <c r="B382" s="105" t="s">
        <v>148</v>
      </c>
      <c r="C382" s="106"/>
      <c r="D382" s="106"/>
      <c r="E382" s="106"/>
      <c r="F382" s="106"/>
      <c r="G382" s="106"/>
      <c r="H382" s="107"/>
      <c r="I382" s="18">
        <f>$G$80*I380</f>
        <v>20602.198190098519</v>
      </c>
      <c r="J382" s="26">
        <f>IFERROR((I382/I$380),0)</f>
        <v>0.03</v>
      </c>
      <c r="K382" s="9"/>
    </row>
    <row r="383" spans="1:11" x14ac:dyDescent="0.2">
      <c r="A383" s="9"/>
      <c r="B383" s="105" t="s">
        <v>149</v>
      </c>
      <c r="C383" s="106"/>
      <c r="D383" s="106"/>
      <c r="E383" s="106"/>
      <c r="F383" s="106"/>
      <c r="G383" s="106"/>
      <c r="H383" s="107"/>
      <c r="I383" s="18">
        <f>$G$81*I380</f>
        <v>59150.336313081607</v>
      </c>
      <c r="J383" s="26">
        <f t="shared" ref="J383:J395" si="14">IFERROR((I383/I$380),0)</f>
        <v>8.6132075471698127E-2</v>
      </c>
      <c r="K383" s="9"/>
    </row>
    <row r="384" spans="1:11" x14ac:dyDescent="0.2">
      <c r="A384" s="9"/>
      <c r="B384" s="105" t="s">
        <v>150</v>
      </c>
      <c r="C384" s="106"/>
      <c r="D384" s="106"/>
      <c r="E384" s="106"/>
      <c r="F384" s="106"/>
      <c r="G384" s="106"/>
      <c r="H384" s="107"/>
      <c r="I384" s="18">
        <f>$G$82*I380</f>
        <v>6867.3993966995067</v>
      </c>
      <c r="J384" s="26">
        <f t="shared" si="14"/>
        <v>0.01</v>
      </c>
      <c r="K384" s="9"/>
    </row>
    <row r="385" spans="1:11" x14ac:dyDescent="0.2">
      <c r="A385" s="9"/>
      <c r="B385" s="105" t="s">
        <v>151</v>
      </c>
      <c r="C385" s="106"/>
      <c r="D385" s="106"/>
      <c r="E385" s="106"/>
      <c r="F385" s="106"/>
      <c r="G385" s="106"/>
      <c r="H385" s="107"/>
      <c r="I385" s="28">
        <f>$I$83*12</f>
        <v>12000</v>
      </c>
      <c r="J385" s="26">
        <f t="shared" si="14"/>
        <v>1.7473863549813687E-2</v>
      </c>
      <c r="K385" s="9"/>
    </row>
    <row r="386" spans="1:11" x14ac:dyDescent="0.2">
      <c r="A386" s="9"/>
      <c r="B386" s="105" t="s">
        <v>152</v>
      </c>
      <c r="C386" s="106"/>
      <c r="D386" s="106"/>
      <c r="E386" s="106"/>
      <c r="F386" s="106"/>
      <c r="G386" s="106"/>
      <c r="H386" s="107"/>
      <c r="I386" s="18">
        <f>$I$84*12</f>
        <v>256932</v>
      </c>
      <c r="J386" s="26">
        <f t="shared" si="14"/>
        <v>0.37413289246506082</v>
      </c>
      <c r="K386" s="9"/>
    </row>
    <row r="387" spans="1:11" x14ac:dyDescent="0.2">
      <c r="A387" s="9"/>
      <c r="B387" s="105" t="s">
        <v>153</v>
      </c>
      <c r="C387" s="106"/>
      <c r="D387" s="106"/>
      <c r="E387" s="106"/>
      <c r="F387" s="106"/>
      <c r="G387" s="106"/>
      <c r="H387" s="107"/>
      <c r="I387" s="18">
        <f>$G$85*I380</f>
        <v>6867.3993966995067</v>
      </c>
      <c r="J387" s="26">
        <f t="shared" si="14"/>
        <v>0.01</v>
      </c>
      <c r="K387" s="9"/>
    </row>
    <row r="388" spans="1:11" x14ac:dyDescent="0.2">
      <c r="A388" s="9"/>
      <c r="B388" s="105" t="s">
        <v>154</v>
      </c>
      <c r="C388" s="106"/>
      <c r="D388" s="106"/>
      <c r="E388" s="106"/>
      <c r="F388" s="106"/>
      <c r="G388" s="106"/>
      <c r="H388" s="107"/>
      <c r="I388" s="18">
        <f>$G$86*I380</f>
        <v>6867.3993966995067</v>
      </c>
      <c r="J388" s="26">
        <f t="shared" si="14"/>
        <v>0.01</v>
      </c>
      <c r="K388" s="9"/>
    </row>
    <row r="389" spans="1:11" x14ac:dyDescent="0.2">
      <c r="A389" s="9"/>
      <c r="B389" s="105" t="s">
        <v>155</v>
      </c>
      <c r="C389" s="106"/>
      <c r="D389" s="106"/>
      <c r="E389" s="106"/>
      <c r="F389" s="106"/>
      <c r="G389" s="106"/>
      <c r="H389" s="107"/>
      <c r="I389" s="18">
        <f>$G$87*I380</f>
        <v>10301.09909504926</v>
      </c>
      <c r="J389" s="26">
        <f t="shared" si="14"/>
        <v>1.4999999999999999E-2</v>
      </c>
      <c r="K389" s="9"/>
    </row>
    <row r="390" spans="1:11" x14ac:dyDescent="0.2">
      <c r="A390" s="9"/>
      <c r="B390" s="105" t="s">
        <v>156</v>
      </c>
      <c r="C390" s="106"/>
      <c r="D390" s="106"/>
      <c r="E390" s="106"/>
      <c r="F390" s="106"/>
      <c r="G390" s="106"/>
      <c r="H390" s="107"/>
      <c r="I390" s="18">
        <f>$G$88*I380</f>
        <v>6867.3993966995067</v>
      </c>
      <c r="J390" s="26">
        <f t="shared" si="14"/>
        <v>0.01</v>
      </c>
      <c r="K390" s="9"/>
    </row>
    <row r="391" spans="1:11" x14ac:dyDescent="0.2">
      <c r="A391" s="9"/>
      <c r="B391" s="105" t="s">
        <v>157</v>
      </c>
      <c r="C391" s="106"/>
      <c r="D391" s="106"/>
      <c r="E391" s="106"/>
      <c r="F391" s="106"/>
      <c r="G391" s="106"/>
      <c r="H391" s="107"/>
      <c r="I391" s="28">
        <f>$I$89*12</f>
        <v>24000</v>
      </c>
      <c r="J391" s="26">
        <f t="shared" si="14"/>
        <v>3.4947727099627374E-2</v>
      </c>
      <c r="K391" s="9"/>
    </row>
    <row r="392" spans="1:11" x14ac:dyDescent="0.2">
      <c r="A392" s="9"/>
      <c r="B392" s="105" t="s">
        <v>158</v>
      </c>
      <c r="C392" s="106"/>
      <c r="D392" s="106"/>
      <c r="E392" s="106"/>
      <c r="F392" s="106"/>
      <c r="G392" s="106"/>
      <c r="H392" s="107"/>
      <c r="I392" s="18">
        <f>$G$90*I380</f>
        <v>6867.3993966995067</v>
      </c>
      <c r="J392" s="26">
        <f t="shared" si="14"/>
        <v>0.01</v>
      </c>
      <c r="K392" s="9"/>
    </row>
    <row r="393" spans="1:11" x14ac:dyDescent="0.2">
      <c r="A393" s="9"/>
      <c r="B393" s="105" t="s">
        <v>159</v>
      </c>
      <c r="C393" s="106"/>
      <c r="D393" s="106"/>
      <c r="E393" s="106"/>
      <c r="F393" s="106"/>
      <c r="G393" s="106"/>
      <c r="H393" s="107"/>
      <c r="I393" s="18">
        <f>$G$91*I380</f>
        <v>54939.195173596054</v>
      </c>
      <c r="J393" s="26">
        <f t="shared" si="14"/>
        <v>0.08</v>
      </c>
      <c r="K393" s="9"/>
    </row>
    <row r="394" spans="1:11" x14ac:dyDescent="0.2">
      <c r="A394" s="9"/>
      <c r="B394" s="110" t="s">
        <v>160</v>
      </c>
      <c r="C394" s="110"/>
      <c r="D394" s="110"/>
      <c r="E394" s="110"/>
      <c r="F394" s="110"/>
      <c r="G394" s="110"/>
      <c r="H394" s="110"/>
      <c r="I394" s="18">
        <f>SUM(I382:I393)</f>
        <v>472261.82575532293</v>
      </c>
      <c r="J394" s="26">
        <f t="shared" si="14"/>
        <v>0.68768655858619998</v>
      </c>
      <c r="K394" s="9"/>
    </row>
    <row r="395" spans="1:11" x14ac:dyDescent="0.2">
      <c r="A395" s="9"/>
      <c r="B395" s="113" t="s">
        <v>161</v>
      </c>
      <c r="C395" s="113"/>
      <c r="D395" s="113"/>
      <c r="E395" s="113"/>
      <c r="F395" s="113"/>
      <c r="G395" s="113"/>
      <c r="H395" s="113"/>
      <c r="I395" s="21">
        <f>I380-I394</f>
        <v>214478.1139146277</v>
      </c>
      <c r="J395" s="26">
        <f t="shared" si="14"/>
        <v>0.31231344141380002</v>
      </c>
      <c r="K395" s="9"/>
    </row>
    <row r="396" spans="1:11" ht="18.75" x14ac:dyDescent="0.3">
      <c r="A396" s="9"/>
      <c r="B396" s="112" t="s">
        <v>173</v>
      </c>
      <c r="C396" s="112"/>
      <c r="D396" s="112"/>
      <c r="E396" s="112"/>
      <c r="F396" s="112"/>
      <c r="G396" s="112"/>
      <c r="H396" s="112"/>
      <c r="I396" s="112"/>
      <c r="J396" s="112"/>
      <c r="K396" s="9"/>
    </row>
    <row r="397" spans="1:11" x14ac:dyDescent="0.2">
      <c r="A397" s="9"/>
      <c r="B397" s="105" t="s">
        <v>174</v>
      </c>
      <c r="C397" s="106"/>
      <c r="D397" s="106"/>
      <c r="E397" s="106"/>
      <c r="F397" s="106"/>
      <c r="G397" s="106"/>
      <c r="H397" s="107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05" t="s">
        <v>126</v>
      </c>
      <c r="C398" s="106"/>
      <c r="D398" s="106"/>
      <c r="E398" s="106"/>
      <c r="F398" s="106"/>
      <c r="G398" s="106"/>
      <c r="H398" s="107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10" t="s">
        <v>175</v>
      </c>
      <c r="C399" s="110"/>
      <c r="D399" s="110"/>
      <c r="E399" s="110"/>
      <c r="F399" s="110"/>
      <c r="G399" s="110"/>
      <c r="H399" s="110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113" t="s">
        <v>176</v>
      </c>
      <c r="C400" s="113"/>
      <c r="D400" s="113"/>
      <c r="E400" s="113"/>
      <c r="F400" s="113"/>
      <c r="G400" s="113"/>
      <c r="H400" s="113"/>
      <c r="I400" s="21">
        <f>I395-I399</f>
        <v>214478.1139146277</v>
      </c>
      <c r="J400" s="26">
        <f t="shared" si="15"/>
        <v>0.31231344141380002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148" t="s">
        <v>129</v>
      </c>
      <c r="C409" s="149"/>
      <c r="D409" s="149"/>
      <c r="E409" s="149"/>
      <c r="F409" s="149"/>
      <c r="G409" s="149"/>
      <c r="H409" s="149"/>
      <c r="I409" s="149"/>
      <c r="J409" s="150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113" t="s">
        <v>2</v>
      </c>
      <c r="D412" s="113"/>
      <c r="E412" s="151" t="str">
        <f>CustomerName</f>
        <v>Eric &amp; John Hairabedian</v>
      </c>
      <c r="F412" s="152"/>
      <c r="G412" s="152"/>
      <c r="H412" s="152"/>
      <c r="I412" s="153"/>
      <c r="J412" s="9"/>
      <c r="K412" s="9"/>
    </row>
    <row r="413" spans="1:11" x14ac:dyDescent="0.2">
      <c r="A413" s="9"/>
      <c r="B413" s="9"/>
      <c r="C413" s="129" t="s">
        <v>130</v>
      </c>
      <c r="D413" s="130"/>
      <c r="E413" s="151" t="str">
        <f>CompanyName</f>
        <v>Floris Car Wash</v>
      </c>
      <c r="F413" s="152"/>
      <c r="G413" s="152"/>
      <c r="H413" s="152"/>
      <c r="I413" s="153"/>
      <c r="J413" s="9"/>
      <c r="K413" s="9"/>
    </row>
    <row r="414" spans="1:11" x14ac:dyDescent="0.2">
      <c r="A414" s="9"/>
      <c r="B414" s="9"/>
      <c r="C414" s="131" t="s">
        <v>6</v>
      </c>
      <c r="D414" s="132"/>
      <c r="E414" s="159">
        <f>AddressLine1</f>
        <v>0</v>
      </c>
      <c r="F414" s="160"/>
      <c r="G414" s="160"/>
      <c r="H414" s="160"/>
      <c r="I414" s="161"/>
      <c r="J414" s="9"/>
      <c r="K414" s="9"/>
    </row>
    <row r="415" spans="1:11" x14ac:dyDescent="0.2">
      <c r="A415" s="9"/>
      <c r="B415" s="9"/>
      <c r="C415" s="133"/>
      <c r="D415" s="134"/>
      <c r="E415" s="162" t="str">
        <f>AddressLine2</f>
        <v>3893 McCoy Rd.</v>
      </c>
      <c r="F415" s="163"/>
      <c r="G415" s="163"/>
      <c r="H415" s="163"/>
      <c r="I415" s="164"/>
      <c r="J415" s="9"/>
      <c r="K415" s="9"/>
    </row>
    <row r="416" spans="1:11" x14ac:dyDescent="0.2">
      <c r="A416" s="9"/>
      <c r="B416" s="9"/>
      <c r="C416" s="135"/>
      <c r="D416" s="136"/>
      <c r="E416" s="165" t="str">
        <f>AddressLine3</f>
        <v>Orlando, FL 32812</v>
      </c>
      <c r="F416" s="166"/>
      <c r="G416" s="166"/>
      <c r="H416" s="166"/>
      <c r="I416" s="167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23" t="s">
        <v>185</v>
      </c>
      <c r="C419" s="123"/>
      <c r="D419" s="123"/>
      <c r="E419" s="123"/>
      <c r="F419" s="123"/>
      <c r="G419" s="123"/>
      <c r="H419" s="123"/>
      <c r="I419" s="123"/>
      <c r="J419" s="123"/>
      <c r="K419" s="9"/>
    </row>
    <row r="420" spans="1:11" x14ac:dyDescent="0.2">
      <c r="A420" s="9"/>
      <c r="B420" s="110" t="s">
        <v>186</v>
      </c>
      <c r="C420" s="110"/>
      <c r="D420" s="110"/>
      <c r="E420" s="110"/>
      <c r="F420" s="110"/>
      <c r="G420" s="110"/>
      <c r="H420" s="110"/>
      <c r="I420" s="182" t="e">
        <f>'Input Form'!E86</f>
        <v>#VALUE!</v>
      </c>
      <c r="J420" s="183"/>
      <c r="K420" s="9"/>
    </row>
    <row r="421" spans="1:11" x14ac:dyDescent="0.2">
      <c r="A421" s="9"/>
      <c r="B421" s="110" t="s">
        <v>187</v>
      </c>
      <c r="C421" s="110"/>
      <c r="D421" s="110"/>
      <c r="E421" s="110"/>
      <c r="F421" s="110"/>
      <c r="G421" s="110"/>
      <c r="H421" s="110"/>
      <c r="I421" s="184">
        <f>IFERROR((I196/I420),0)</f>
        <v>0</v>
      </c>
      <c r="J421" s="185"/>
      <c r="K421" s="9"/>
    </row>
    <row r="422" spans="1:11" x14ac:dyDescent="0.2">
      <c r="A422" s="9"/>
      <c r="B422" s="110" t="s">
        <v>188</v>
      </c>
      <c r="C422" s="110"/>
      <c r="D422" s="110"/>
      <c r="E422" s="110"/>
      <c r="F422" s="110"/>
      <c r="G422" s="110"/>
      <c r="H422" s="110"/>
      <c r="I422" s="181">
        <f>IFERROR((I247/I420),0)</f>
        <v>0</v>
      </c>
      <c r="J422" s="181"/>
      <c r="K422" s="9"/>
    </row>
    <row r="423" spans="1:11" x14ac:dyDescent="0.2">
      <c r="A423" s="9"/>
      <c r="B423" s="110" t="s">
        <v>189</v>
      </c>
      <c r="C423" s="110"/>
      <c r="D423" s="110"/>
      <c r="E423" s="110"/>
      <c r="F423" s="110"/>
      <c r="G423" s="110"/>
      <c r="H423" s="110"/>
      <c r="I423" s="181">
        <f>IFERROR((I298/I420),0)</f>
        <v>0</v>
      </c>
      <c r="J423" s="181"/>
      <c r="K423" s="9"/>
    </row>
    <row r="424" spans="1:11" x14ac:dyDescent="0.2">
      <c r="A424" s="9"/>
      <c r="B424" s="110" t="s">
        <v>190</v>
      </c>
      <c r="C424" s="110"/>
      <c r="D424" s="110"/>
      <c r="E424" s="110"/>
      <c r="F424" s="110"/>
      <c r="G424" s="110"/>
      <c r="H424" s="110"/>
      <c r="I424" s="181">
        <f>IFERROR((I349/I420),0)</f>
        <v>0</v>
      </c>
      <c r="J424" s="181"/>
      <c r="K424" s="9"/>
    </row>
    <row r="425" spans="1:11" x14ac:dyDescent="0.2">
      <c r="A425" s="9"/>
      <c r="B425" s="110" t="s">
        <v>191</v>
      </c>
      <c r="C425" s="110"/>
      <c r="D425" s="110"/>
      <c r="E425" s="110"/>
      <c r="F425" s="110"/>
      <c r="G425" s="110"/>
      <c r="H425" s="110"/>
      <c r="I425" s="181">
        <f>IFERROR((I400/I420),0)</f>
        <v>0</v>
      </c>
      <c r="J425" s="181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ZPru8fGk2FqDhB51GHki+JERTqtG67LeZErrwxB4V1UQ7Ca8CK9V3Fnj/LpXh3WIPymNnvX+EqYnjnuHlVCiig==" saltValue="qBBx1Xakrst1T1Il241qH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6:H346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B371:J371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45:J345"/>
    <mergeCell ref="B358:J358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G272:H272"/>
    <mergeCell ref="B273:E273"/>
    <mergeCell ref="G273:H273"/>
    <mergeCell ref="B274:E274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B101:C101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96:C96"/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2023-05-25T15:37:32Z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