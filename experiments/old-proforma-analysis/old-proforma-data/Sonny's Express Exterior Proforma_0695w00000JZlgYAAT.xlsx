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International\Canada\Mike Zeleznak\5 Industrial Dr. Grimsby\"/>
    </mc:Choice>
  </mc:AlternateContent>
  <xr:revisionPtr revIDLastSave="0" documentId="13_ncr:1_{F6F2D1FC-559B-4CC2-A112-66E60BD2C3E7}" xr6:coauthVersionLast="47" xr6:coauthVersionMax="47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<sst xmlns="http://schemas.openxmlformats.org/spreadsheetml/2006/main" count="430" uniqueCount="197">
  <si>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</si>
  <si>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</si>
  <si>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</si>
  <si>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</si>
  <si>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</si>
  <si>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</si>
  <si>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</si>
  <si>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</si>
  <si>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</si>
  <si>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</si>
  <si>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</si>
  <si>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</si>
  <si>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</si>
  <si>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</si>
  <si>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</si>
  <si>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</si>
  <si>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</si>
  <si>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</si>
  <si>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</si>
  <si>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</si>
  <si>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</si>
  <si>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</si>
  <si>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</si>
  <si>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</si>
  <si>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</si>
  <si>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</si>
  <si>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</si>
  <si>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</si>
  <si>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</si>
  <si>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</si>
  <si>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</si>
  <si>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</si>
  <si>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</si>
  <si>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</si>
  <si>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</si>
  <si>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</si>
  <si>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</si>
  <si>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</si>
  <si>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</si>
  <si>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</si>
  <si>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</si>
  <si>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</si>
  <si>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</si>
  <si>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</si>
  <si>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</si>
  <si>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</si>
  <si>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</si>
  <si>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</si>
  <si>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</si>
  <si>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</si>
  <si>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</si>
  <si>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</si>
  <si>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</si>
  <si>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</si>
  <si>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</si>
  <si>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</si>
  <si>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</si>
  <si>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</si>
  <si>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</si>
  <si>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</si>
  <si>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</si>
  <si>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</si>
  <si>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</si>
  <si>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</si>
  <si>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</si>
  <si>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</si>
  <si>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</si>
  <si>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</si>
  <si>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</si>
  <si>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</si>
  <si>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</si>
  <si>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</si>
  <si>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</si>
  <si>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</si>
  <si>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</si>
  <si>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</si>
  <si>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</si>
  <si>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</si>
  <si>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</si>
  <si>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</si>
  <si>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</si>
  <si>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</si>
  <si>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</si>
  <si>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</si>
  <si>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</si>
  <si>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</si>
  <si>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</si>
  <si>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</si>
  <si>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</si>
  <si>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</si>
  <si>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</si>
  <si>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</si>
  <si>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</si>
  <si>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</si>
  <si>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</si>
  <si>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</si>
  <si>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</si>
  <si>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</si>
  <si>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</si>
  <si>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</si>
  <si>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</si>
  <si>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</si>
  <si>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</si>
  <si>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</si>
  <si>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</si>
  <si>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</si>
  <si>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</si>
  <si>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</si>
  <si>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</si>
  <si>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</si>
  <si>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</si>
  <si>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</si>
  <si>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</si>
  <si>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</si>
  <si>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</si>
  <si>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</si>
  <si>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</si>
  <si>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</si>
  <si>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</si>
  <si>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</si>
  <si>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</si>
  <si>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</si>
  <si>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</si>
  <si>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</si>
  <si>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</si>
  <si>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</si>
  <si>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</si>
  <si>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</si>
  <si>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</si>
  <si>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</si>
  <si>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</si>
  <si>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</si>
  <si>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</si>
  <si>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</si>
  <si>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</si>
  <si>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</si>
  <si>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</si>
  <si>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</si>
  <si>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</si>
  <si>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</si>
  <si>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</si>
  <si>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</si>
  <si>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</si>
  <si>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</si>
  <si>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</si>
  <si>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</si>
  <si>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</si>
  <si>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</si>
  <si>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</si>
  <si>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</si>
  <si>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</si>
  <si>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</si>
  <si>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</si>
  <si>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</si>
  <si>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</si>
  <si>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</si>
  <si>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</si>
  <si>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</si>
  <si>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</si>
  <si>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</si>
  <si>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</si>
  <si>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</si>
  <si>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</si>
  <si>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</si>
  <si>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</si>
  <si>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</si>
  <si>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</si>
  <si>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</si>
  <si>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</si>
  <si>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</si>
  <si>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</si>
  <si>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</si>
  <si>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</si>
  <si>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</si>
  <si>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</si>
  <si>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</si>
  <si>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</si>
  <si>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</si>
  <si>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</si>
  <si>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</si>
  <si>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</si>
  <si>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</si>
  <si>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</si>
  <si>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</si>
  <si>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</si>
  <si>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</si>
  <si>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</si>
  <si>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</si>
  <si>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</si>
  <si>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</si>
  <si>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</si>
  <si>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</si>
  <si>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</si>
  <si>
    <t>Mike Zeleznak</t>
  </si>
  <si>
    <t>Mike's Express Car Wash</t>
  </si>
  <si>
    <t>5 Industrial Dr.</t>
  </si>
  <si>
    <t>Grimsby, ON L3M 5H8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</si>
</sst>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D22" sqref="D22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193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194</v>
      </c>
      <c r="C3" s="87"/>
      <c r="D3" s="88"/>
      <c r="E3" s="34"/>
      <c r="F3" s="34"/>
    </row>
    <row r="4" spans="1:9" ht="15.75" x14ac:dyDescent="0.25">
      <c r="A4" s="35" t="s">
        <v>12</v>
      </c>
      <c r="B4" s="86"/>
      <c r="C4" s="87"/>
      <c r="D4" s="88"/>
      <c r="E4" s="34"/>
      <c r="F4" s="34"/>
    </row>
    <row r="5" spans="1:9" ht="15.75" x14ac:dyDescent="0.25">
      <c r="A5" s="35" t="s">
        <v>13</v>
      </c>
      <c r="B5" s="86" t="s">
        <v>195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196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49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9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27</v>
      </c>
      <c r="B20" s="47">
        <v>11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28</v>
      </c>
      <c r="B21" s="47">
        <v>15</v>
      </c>
      <c r="C21" s="48">
        <v>0.74399999999999999</v>
      </c>
      <c r="D21" s="45">
        <v>0.2</v>
      </c>
      <c r="E21" s="34"/>
      <c r="F21" s="34"/>
    </row>
    <row r="22" spans="1:8" ht="15.75" x14ac:dyDescent="0.25">
      <c r="A22" s="43" t="s">
        <v>29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30</v>
      </c>
      <c r="B23" s="47">
        <v>0</v>
      </c>
      <c r="C23" s="48">
        <v>1.7869999999999999</v>
      </c>
      <c r="D23" s="45"/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9</v>
      </c>
      <c r="C27" s="47">
        <v>9</v>
      </c>
      <c r="D27" s="47">
        <v>9</v>
      </c>
      <c r="E27" s="47">
        <v>9</v>
      </c>
      <c r="F27" s="34"/>
    </row>
    <row r="28" spans="1:8" ht="15.75" x14ac:dyDescent="0.25">
      <c r="A28" s="43" t="s">
        <v>27</v>
      </c>
      <c r="B28" s="47">
        <v>11</v>
      </c>
      <c r="C28" s="47">
        <v>11</v>
      </c>
      <c r="D28" s="47">
        <v>11</v>
      </c>
      <c r="E28" s="47">
        <v>11</v>
      </c>
      <c r="F28" s="34"/>
    </row>
    <row r="29" spans="1:8" ht="15.75" x14ac:dyDescent="0.2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30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1.1000000000000001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2.65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0.52900000000000003</v>
      </c>
      <c r="F58" s="61">
        <f>-0.3*(0.55-E58)</f>
        <v>-6.3000000000000052E-3</v>
      </c>
    </row>
    <row r="59" spans="1:8" ht="15.75" x14ac:dyDescent="0.25">
      <c r="A59" s="83" t="s">
        <v>3</v>
      </c>
      <c r="B59" s="84"/>
      <c r="C59" s="84"/>
      <c r="D59" s="85"/>
      <c r="E59" s="45">
        <v>0.87</v>
      </c>
      <c r="F59" s="61">
        <f>-0.75*(0.5-E59)</f>
        <v>0.27749999999999997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6.7799999999999985E-2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9.6730117647058841E-3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1.2767173913043481E-2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1.5455000000000002E-2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17860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51827.997035294124</v>
      </c>
      <c r="C74" s="68">
        <f>F65*A70*300</f>
        <v>68406.517826086972</v>
      </c>
      <c r="D74" s="68">
        <f>($F$54*(1+$F$61))/85*($A$70*(1+B$70))*300</f>
        <v>74780.395722352943</v>
      </c>
      <c r="E74" s="68">
        <f>($F$54*(1+$F$61))/82*($A$70*(1+C$70))*300</f>
        <v>77516.263858536593</v>
      </c>
      <c r="F74" s="68">
        <f>F66*(A70*(1+D70)*300)</f>
        <v>83635.968900000007</v>
      </c>
    </row>
    <row r="75" spans="1:6" ht="15.75" x14ac:dyDescent="0.25">
      <c r="A75" s="35" t="s">
        <v>105</v>
      </c>
      <c r="B75" s="68">
        <f>B74/12</f>
        <v>4318.9997529411767</v>
      </c>
      <c r="C75" s="68">
        <f>C74/12</f>
        <v>5700.5431521739147</v>
      </c>
      <c r="D75" s="68">
        <f t="shared" ref="D75:F75" si="0">D74/12</f>
        <v>6231.6996435294122</v>
      </c>
      <c r="E75" s="68">
        <f t="shared" si="0"/>
        <v>6459.6886548780494</v>
      </c>
      <c r="F75" s="68">
        <f t="shared" si="0"/>
        <v>6969.6640750000006</v>
      </c>
    </row>
    <row r="76" spans="1:6" ht="15.75" x14ac:dyDescent="0.25">
      <c r="A76" s="35" t="s">
        <v>106</v>
      </c>
      <c r="B76" s="68">
        <f>B75/4.5/7*3</f>
        <v>411.33330980392162</v>
      </c>
      <c r="C76" s="68">
        <f t="shared" ref="C76:F76" si="1">C75/4.5/7*3</f>
        <v>542.90887163561092</v>
      </c>
      <c r="D76" s="68">
        <f t="shared" si="1"/>
        <v>593.49520414565825</v>
      </c>
      <c r="E76" s="68">
        <f t="shared" si="1"/>
        <v>615.20844332171896</v>
      </c>
      <c r="F76" s="68">
        <f t="shared" si="1"/>
        <v>663.77753095238108</v>
      </c>
    </row>
    <row r="77" spans="1:6" ht="15.75" x14ac:dyDescent="0.25">
      <c r="A77" s="35" t="s">
        <v>107</v>
      </c>
      <c r="B77" s="68">
        <f>IFERROR((B76/$B9*1.3),0)</f>
        <v>44.561108562091512</v>
      </c>
      <c r="C77" s="68">
        <f t="shared" ref="C77:F77" si="2">IFERROR((C76/$B9*1.3),0)</f>
        <v>58.815127760524518</v>
      </c>
      <c r="D77" s="68">
        <f t="shared" si="2"/>
        <v>64.295313782446314</v>
      </c>
      <c r="E77" s="68">
        <f t="shared" si="2"/>
        <v>66.647581359852893</v>
      </c>
      <c r="F77" s="68">
        <f t="shared" si="2"/>
        <v>71.909232519841296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>
        <v>0</v>
      </c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6" zoomScaleNormal="100" workbookViewId="0">
      <selection activeCell="M38" sqref="M38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Mike Zeleznak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Mike's 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5 Industrial Dr.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Grimsby, ON L3M 5H8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192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Mike Zeleznak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Mike's 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5 Industrial Dr.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Grimsby, ON L3M 5H8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2529.4864434588585</v>
      </c>
      <c r="J65" s="18">
        <f>'Input Form'!B75</f>
        <v>4318.9997529411767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9</v>
      </c>
      <c r="G69" s="139">
        <f>'Input Form'!D19</f>
        <v>0.45</v>
      </c>
      <c r="H69" s="140"/>
      <c r="I69" s="20">
        <f>IFERROR((I$65*G69*F69),0)</f>
        <v>10244.420096008376</v>
      </c>
      <c r="J69" s="20">
        <f>J$65*F69*G69</f>
        <v>17491.948999411765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11</v>
      </c>
      <c r="G70" s="139">
        <f>'Input Form'!D20</f>
        <v>0.15</v>
      </c>
      <c r="H70" s="140"/>
      <c r="I70" s="20">
        <f>IFERROR((I$65*G70*F70),0)</f>
        <v>4173.6526317071166</v>
      </c>
      <c r="J70" s="20">
        <f t="shared" ref="J70:J73" si="0">J$65*F70*G70</f>
        <v>7126.3495923529417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0.2</v>
      </c>
      <c r="H71" s="140"/>
      <c r="I71" s="20">
        <f>IFERROR((I$65*G71*F71),0)</f>
        <v>7588.459330376576</v>
      </c>
      <c r="J71" s="20">
        <f t="shared" si="0"/>
        <v>12956.999258823531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10117.945773835434</v>
      </c>
      <c r="J72" s="20">
        <f t="shared" si="0"/>
        <v>17275.999011764707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0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32124.477831927499</v>
      </c>
      <c r="J74" s="20">
        <f>SUM(J69:J73)</f>
        <v>54851.296862352945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-578.24060097469487</v>
      </c>
      <c r="J75" s="20">
        <f>-(J74*$F75*$G75)</f>
        <v>-987.32334352235284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31546.237230952804</v>
      </c>
      <c r="J76" s="20">
        <f>SUM(J74:J75)</f>
        <v>53863.973518830593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12.471399999999999</v>
      </c>
      <c r="J77" s="22">
        <f>J76/(J65+0.000000001)</f>
        <v>12.471399999997113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946.38711692858408</v>
      </c>
      <c r="J80" s="20">
        <f>$G80*J76</f>
        <v>1615.9192055649178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5.1183464566929134E-2</v>
      </c>
      <c r="H81" s="131"/>
      <c r="I81" s="20">
        <f>G81*I76</f>
        <v>1614.6457155304136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2807.4794094043532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315.46237230952806</v>
      </c>
      <c r="J82" s="20">
        <f>$G82*J76</f>
        <v>538.63973518830596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3.1128910646638797E-2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0.6665011058551833</v>
      </c>
      <c r="H84" s="131"/>
      <c r="I84" s="20">
        <f>J84</f>
        <v>21411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315.46237230952806</v>
      </c>
      <c r="J85" s="20">
        <f>$G85*J76</f>
        <v>538.63973518830596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315.46237230952806</v>
      </c>
      <c r="J86" s="20">
        <f>$G86*J76</f>
        <v>538.63973518830596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473.19355846429204</v>
      </c>
      <c r="J87" s="20">
        <f>$G87*J76</f>
        <v>807.95960278245889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315.46237230952806</v>
      </c>
      <c r="J88" s="20">
        <f>$G88*J76</f>
        <v>538.63973518830596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6.2257821293277595E-2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315.46237230952806</v>
      </c>
      <c r="J90" s="20">
        <f>$G90*J76</f>
        <v>538.63973518830596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2523.6989784762245</v>
      </c>
      <c r="J91" s="20">
        <f>$G91*J76</f>
        <v>4309.1178815064477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31546.237230947154</v>
      </c>
      <c r="J92" s="20">
        <f>SUM(J80:J91)</f>
        <v>36644.67477519971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5.6497810874134302E-9</v>
      </c>
      <c r="J93" s="24">
        <f>J76-J92</f>
        <v>17219.298743630883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Mike Zeleznak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Mike's 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5 Industrial Dr.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Grimsby, ON L3M 5H8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31546.237230952804</v>
      </c>
      <c r="H138" s="167"/>
      <c r="I138" s="167">
        <f>J76</f>
        <v>53863.973518830593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31546.237230947154</v>
      </c>
      <c r="H139" s="167"/>
      <c r="I139" s="167">
        <f>J92</f>
        <v>36644.67477519971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5.6497810874134302E-9</v>
      </c>
      <c r="H140" s="167"/>
      <c r="I140" s="167">
        <f>J93</f>
        <v>17219.298743630883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5.6497810874134302E-9</v>
      </c>
      <c r="H143" s="167"/>
      <c r="I143" s="167">
        <f>I140-I141-I142</f>
        <v>17219.298743630883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Mike Zeleznak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Mike's 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5 Industrial Dr.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Grimsby, ON L3M 5H8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51827.997035294124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9</v>
      </c>
      <c r="G169" s="139">
        <f>'Input Form'!$D$19</f>
        <v>0.45</v>
      </c>
      <c r="H169" s="140"/>
      <c r="I169" s="20">
        <f>I$166*F169*G169</f>
        <v>209903.38799294122</v>
      </c>
      <c r="J169" s="30">
        <f>IFERROR((I169/I$174),0)</f>
        <v>0.31889763779527563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11</v>
      </c>
      <c r="G170" s="139">
        <f>'Input Form'!$D$20</f>
        <v>0.15</v>
      </c>
      <c r="H170" s="140"/>
      <c r="I170" s="20">
        <f>I$166*F170*G170</f>
        <v>85516.195108235304</v>
      </c>
      <c r="J170" s="30">
        <f t="shared" ref="J170:J176" si="2">IFERROR((I170/I$174),0)</f>
        <v>0.12992125984251968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0.2</v>
      </c>
      <c r="H171" s="140"/>
      <c r="I171" s="20">
        <f>I$166*F171*G171</f>
        <v>155483.99110588239</v>
      </c>
      <c r="J171" s="30">
        <f t="shared" si="2"/>
        <v>0.23622047244094491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207311.98814117652</v>
      </c>
      <c r="J172" s="30">
        <f t="shared" si="2"/>
        <v>0.31496062992125989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0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658215.5623482354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0.6</v>
      </c>
      <c r="H175" s="179"/>
      <c r="I175" s="20">
        <f>-(I174*F175*G175)</f>
        <v>-11847.880122268236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646367.68222596718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19391.030466779015</v>
      </c>
      <c r="J178" s="30">
        <f>IFERROR((I178/I$176),0)</f>
        <v>0.03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33083.337360420897</v>
      </c>
      <c r="J179" s="30">
        <f t="shared" ref="J179:J196" si="3">IFERROR((I179/I$176),0)</f>
        <v>5.1183464566929127E-2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6463.676822259672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1.8565284635943254E-2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256932</v>
      </c>
      <c r="J182" s="30">
        <f t="shared" si="3"/>
        <v>0.39750130934018102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6463.676822259672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6463.676822259672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9695.5152333895076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6463.676822259672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3.7130569271886509E-2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6463.676822259672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51709.414578077376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439129.68174996518</v>
      </c>
      <c r="J190" s="30">
        <f t="shared" si="3"/>
        <v>0.67938062781493991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207238.00047600199</v>
      </c>
      <c r="J191" s="30">
        <f t="shared" si="3"/>
        <v>0.32061937218506004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207238.00047600199</v>
      </c>
      <c r="J196" s="30">
        <f t="shared" si="3"/>
        <v>0.32061937218506004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Mike Zeleznak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Mike's 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5 Industrial Dr.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Grimsby, ON L3M 5H8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68406.517826086972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9</v>
      </c>
      <c r="G220" s="139">
        <f>'Input Form'!$D$19</f>
        <v>0.45</v>
      </c>
      <c r="H220" s="140"/>
      <c r="I220" s="20">
        <f>I$217*F220*G220</f>
        <v>277046.39719565224</v>
      </c>
      <c r="J220" s="30">
        <f>IFERROR((I220/I$225),0)</f>
        <v>0.31889763779527558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11</v>
      </c>
      <c r="G221" s="139">
        <f>'Input Form'!$D$20</f>
        <v>0.15</v>
      </c>
      <c r="H221" s="140"/>
      <c r="I221" s="20">
        <f>I$217*F221*G221</f>
        <v>112870.7544130435</v>
      </c>
      <c r="J221" s="30">
        <f t="shared" ref="J221:J227" si="4">IFERROR((I221/I$225),0)</f>
        <v>0.12992125984251968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0.2</v>
      </c>
      <c r="H222" s="140"/>
      <c r="I222" s="20">
        <f>I$217*F222*G222</f>
        <v>205219.55347826093</v>
      </c>
      <c r="J222" s="30">
        <f t="shared" si="4"/>
        <v>0.23622047244094491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273626.07130434789</v>
      </c>
      <c r="J223" s="30">
        <f t="shared" si="4"/>
        <v>0.31496062992125984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0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868762.77639130456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0.6</v>
      </c>
      <c r="H226" s="179"/>
      <c r="I226" s="20">
        <f>-(I225*F226*G226)</f>
        <v>-15637.729975043481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853125.04641626112</v>
      </c>
      <c r="J227" s="30">
        <f t="shared" si="4"/>
        <v>0.9820000000000001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25593.751392487833</v>
      </c>
      <c r="J229" s="30">
        <f>IFERROR((I229/I$227),0)</f>
        <v>0.03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43665.895584406477</v>
      </c>
      <c r="J230" s="30">
        <f t="shared" ref="J230:J247" si="5">IFERROR((I230/I$227),0)</f>
        <v>5.118346456692914E-2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8531.250464162611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1.4065933300644064E-2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256932</v>
      </c>
      <c r="J233" s="30">
        <f t="shared" si="5"/>
        <v>0.30116569790009007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8531.250464162611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8531.250464162611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12796.875696243917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8531.250464162611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2.8131866601288129E-2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8531.250464162611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68250.003713300888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485894.77870725212</v>
      </c>
      <c r="J241" s="30">
        <f t="shared" si="5"/>
        <v>0.5695469623689513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367230.267709009</v>
      </c>
      <c r="J242" s="30">
        <f t="shared" si="5"/>
        <v>0.4304530376310487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367230.267709009</v>
      </c>
      <c r="J247" s="30">
        <f t="shared" si="5"/>
        <v>0.4304530376310487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Mike Zeleznak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Mike's 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5 Industrial Dr.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Grimsby, ON L3M 5H8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74780.395722352943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9</v>
      </c>
      <c r="G271" s="139">
        <f>'Input Form'!$D$19</f>
        <v>0.45</v>
      </c>
      <c r="H271" s="140"/>
      <c r="I271" s="20">
        <f>I$268*F271*G271</f>
        <v>302860.60267552943</v>
      </c>
      <c r="J271" s="30">
        <f>IFERROR((I271/I$276),0)</f>
        <v>0.31889763779527563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11</v>
      </c>
      <c r="G272" s="139">
        <f>'Input Form'!$D$20</f>
        <v>0.15</v>
      </c>
      <c r="H272" s="140"/>
      <c r="I272" s="20">
        <f t="shared" ref="I272:I275" si="6">I$268*F272*G272</f>
        <v>123387.65294188235</v>
      </c>
      <c r="J272" s="30">
        <f t="shared" ref="J272:J278" si="7">IFERROR((I272/I$276),0)</f>
        <v>0.12992125984251968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0.2</v>
      </c>
      <c r="H273" s="140"/>
      <c r="I273" s="20">
        <f t="shared" si="6"/>
        <v>224341.18716705884</v>
      </c>
      <c r="J273" s="30">
        <f t="shared" si="7"/>
        <v>0.23622047244094491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299121.58288941177</v>
      </c>
      <c r="J274" s="30">
        <f t="shared" si="7"/>
        <v>0.31496062992125984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0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949711.02567388234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0.6</v>
      </c>
      <c r="H277" s="179"/>
      <c r="I277" s="20">
        <f>-(I276*F277*G277)</f>
        <v>-17094.798462129878</v>
      </c>
      <c r="J277" s="30">
        <f t="shared" si="7"/>
        <v>-1.7999999999999995E-2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932616.22721175244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27978.486816352572</v>
      </c>
      <c r="J280" s="30">
        <f>IFERROR((I280/I$278),0)</f>
        <v>0.03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47734.529620035864</v>
      </c>
      <c r="J281" s="30">
        <f t="shared" ref="J281:J298" si="8">IFERROR((I281/I$278),0)</f>
        <v>5.118346456692914E-2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9326.1622721175245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1.2867028955604239E-2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256932</v>
      </c>
      <c r="J284" s="30">
        <f t="shared" si="8"/>
        <v>0.27549595696844237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9326.1622721175245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9326.1622721175245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13989.243408176286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9326.1622721175245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2.5734057911208478E-2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9326.1622721175245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74609.298176940196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503874.36938209244</v>
      </c>
      <c r="J292" s="30">
        <f t="shared" si="8"/>
        <v>0.54028050840218411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428741.85782966</v>
      </c>
      <c r="J293" s="30">
        <f t="shared" si="8"/>
        <v>0.45971949159781589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428741.85782966</v>
      </c>
      <c r="J298" s="30">
        <f t="shared" si="8"/>
        <v>0.45971949159781589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Mike Zeleznak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Mike's 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5 Industrial Dr.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Grimsby, ON L3M 5H8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77516.263858536593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9</v>
      </c>
      <c r="G322" s="139">
        <f>'Input Form'!$D$19</f>
        <v>0.45</v>
      </c>
      <c r="H322" s="140"/>
      <c r="I322" s="20">
        <f>I$319*F322*G322</f>
        <v>313940.86862707324</v>
      </c>
      <c r="J322" s="30">
        <f>IFERROR((I322/I$327),0)</f>
        <v>0.31889763779527558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11</v>
      </c>
      <c r="G323" s="139">
        <f>'Input Form'!$D$20</f>
        <v>0.15</v>
      </c>
      <c r="H323" s="140"/>
      <c r="I323" s="20">
        <f>I$319*F323*G323</f>
        <v>127901.83536658538</v>
      </c>
      <c r="J323" s="30">
        <f t="shared" ref="J323:J329" si="9">IFERROR((I323/I$327),0)</f>
        <v>0.12992125984251968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0.2</v>
      </c>
      <c r="H324" s="140"/>
      <c r="I324" s="20">
        <f>I$319*F324*G324</f>
        <v>232548.79157560982</v>
      </c>
      <c r="J324" s="30">
        <f t="shared" si="9"/>
        <v>0.23622047244094488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310065.05543414637</v>
      </c>
      <c r="J325" s="30">
        <f t="shared" si="9"/>
        <v>0.31496062992125978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0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984456.5510034149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0.6</v>
      </c>
      <c r="H328" s="179"/>
      <c r="I328" s="20">
        <f>-(I327*F328*G328)</f>
        <v>-17720.217918061466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966736.33308535349</v>
      </c>
      <c r="J329" s="30">
        <f t="shared" si="9"/>
        <v>0.9820000000000001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29002.089992560603</v>
      </c>
      <c r="J331" s="30">
        <f>IFERROR((I331/I$329),0)</f>
        <v>0.03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49480.914850037188</v>
      </c>
      <c r="J332" s="30">
        <f t="shared" ref="J332:J344" si="10">IFERROR((I332/I$329),0)</f>
        <v>5.1183464566929134E-2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9667.3633308535354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1.2412898521877025E-2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256932</v>
      </c>
      <c r="J335" s="30">
        <f t="shared" si="10"/>
        <v>0.26577257025190898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9667.3633308535354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9667.3633308535354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14501.044996280301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9667.3633308535354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2.4825797043754049E-2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9667.3633308535354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77338.906646828284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511591.77313997399</v>
      </c>
      <c r="J343" s="30">
        <f t="shared" si="10"/>
        <v>0.52919473038446918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455144.5599453795</v>
      </c>
      <c r="J344" s="30">
        <f t="shared" si="10"/>
        <v>0.47080526961553087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455144.5599453795</v>
      </c>
      <c r="J349" s="30">
        <f t="shared" si="11"/>
        <v>0.47080526961553087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Mike Zeleznak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Mike's 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5 Industrial Dr.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Grimsby, ON L3M 5H8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83635.968900000007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9</v>
      </c>
      <c r="G373" s="139">
        <f>'Input Form'!$D$19</f>
        <v>0.45</v>
      </c>
      <c r="H373" s="140"/>
      <c r="I373" s="20">
        <f>I$370*F373*G373</f>
        <v>338725.67404500005</v>
      </c>
      <c r="J373" s="30">
        <f>IFERROR((I373/I$378),0)</f>
        <v>0.31889763779527558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11</v>
      </c>
      <c r="G374" s="139">
        <f>'Input Form'!$D$20</f>
        <v>0.15</v>
      </c>
      <c r="H374" s="140"/>
      <c r="I374" s="20">
        <f t="shared" ref="I374:I377" si="12">I$370*F374*G374</f>
        <v>137999.348685</v>
      </c>
      <c r="J374" s="30">
        <f t="shared" ref="J374:J380" si="13">IFERROR((I374/I$378),0)</f>
        <v>0.12992125984251968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0.2</v>
      </c>
      <c r="H375" s="140"/>
      <c r="I375" s="20">
        <f t="shared" si="12"/>
        <v>250907.90670000005</v>
      </c>
      <c r="J375" s="30">
        <f t="shared" si="13"/>
        <v>0.23622047244094491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334543.87560000003</v>
      </c>
      <c r="J376" s="30">
        <f t="shared" si="13"/>
        <v>0.31496062992125984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0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1062176.8050300002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0.6</v>
      </c>
      <c r="H379" s="179"/>
      <c r="I379" s="20">
        <f>-(I378*F379*G379)</f>
        <v>-19119.182490540003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1043057.6225394602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31291.728676183804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53387.302864513804</v>
      </c>
      <c r="J383" s="30">
        <f t="shared" ref="J383:J395" si="14">IFERROR((I383/I$380),0)</f>
        <v>5.1183464566929134E-2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10430.576225394601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1.150463765442261E-2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256932</v>
      </c>
      <c r="J386" s="30">
        <f t="shared" si="14"/>
        <v>0.24632579681884251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10430.576225394601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10430.576225394601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15645.864338091902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10430.576225394601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2.3009275308845219E-2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10430.576225394601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83444.609803156811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528854.38680891949</v>
      </c>
      <c r="J394" s="30">
        <f t="shared" si="14"/>
        <v>0.50702317434903965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514203.23573054071</v>
      </c>
      <c r="J395" s="30">
        <f t="shared" si="14"/>
        <v>0.49297682565096035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514203.23573054071</v>
      </c>
      <c r="J400" s="30">
        <f t="shared" si="15"/>
        <v>0.49297682565096035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Mike Zeleznak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Mike's 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5 Industrial Dr.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Grimsby, ON L3M 5H8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dPjHmtp5zXBxOGJoxpXxJbUB6VQoJwqi2wBOQsul6cM409Vf5j2qOyufrjkHZNOg4oq1txD/sFeWh/HZrOpL6Q==" saltValue="fCXaFP7Oe8SZJ0QLzd1rh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2020-11-17T15:47:41Z</cp:lastPrinted>
  <dcterms:created xsi:type="dcterms:W3CDTF">2003-04-06T16:14:55Z</dcterms:created>
  <dcterms:modified xsi:type="dcterms:W3CDTF">2021-07-22T13:20:49Z</dcterms:modified>
</cp:coreProperties>
</file>