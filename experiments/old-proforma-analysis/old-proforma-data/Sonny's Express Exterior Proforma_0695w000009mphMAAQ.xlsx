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Martin Emmett\6301 E Hillsborough Ave. Tampa\"/>
    </mc:Choice>
  </mc:AlternateContent>
  <xr:revisionPtr revIDLastSave="0" documentId="8_{4D88E995-94DD-47A8-84E0-57B6ED937F76}" xr6:coauthVersionLast="45" xr6:coauthVersionMax="45" xr10:uidLastSave="{00000000-0000-0000-0000-000000000000}"/>
  <workbookProtection workbookPassword="FB8D" lockStructure="1"/>
  <bookViews>
    <workbookView xWindow="33225" yWindow="3420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<sst xmlns="http://schemas.openxmlformats.org/spreadsheetml/2006/main" count="434" uniqueCount="202">
  <si>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</si>
  <si>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</si>
  <si>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</si>
  <si>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</si>
  <si>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</si>
  <si>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</si>
  <si>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</si>
  <si>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</si>
  <si>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</si>
  <si>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</si>
  <si>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</si>
  <si>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</si>
  <si>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</si>
  <si>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</si>
  <si>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</si>
  <si>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</si>
  <si>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</si>
  <si>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</si>
  <si>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</si>
  <si>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</si>
  <si>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</si>
  <si>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</si>
  <si>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</si>
  <si>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</si>
  <si>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</si>
  <si>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</si>
  <si>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</si>
  <si>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</si>
  <si>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</si>
  <si>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</si>
  <si>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</si>
  <si>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</si>
  <si>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</si>
  <si>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</si>
  <si>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</si>
  <si>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</si>
  <si>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</si>
  <si>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</si>
  <si>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</si>
  <si>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</si>
  <si>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</si>
  <si>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</si>
  <si>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</si>
  <si>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</si>
  <si>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</si>
  <si>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</si>
  <si>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</si>
  <si>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</si>
  <si>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</si>
  <si>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</si>
  <si>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</si>
  <si>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</si>
  <si>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</si>
  <si>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</si>
  <si>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</si>
  <si>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</si>
  <si>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</si>
  <si>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</si>
  <si>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</si>
  <si>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</si>
  <si>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</si>
  <si>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</si>
  <si>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</si>
  <si>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</si>
  <si>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</si>
  <si>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</si>
  <si>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</si>
  <si>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</si>
  <si>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</si>
  <si>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</si>
  <si>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</si>
  <si>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</si>
  <si>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</si>
  <si>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</si>
  <si>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</si>
  <si>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</si>
  <si>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</si>
  <si>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</si>
  <si>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</si>
  <si>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</si>
  <si>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</si>
  <si>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</si>
  <si>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</si>
  <si>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</si>
  <si>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</si>
  <si>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</si>
  <si>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</si>
  <si>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</si>
  <si>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</si>
  <si>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</si>
  <si>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</si>
  <si>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</si>
  <si>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</si>
  <si>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</si>
  <si>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</si>
  <si>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</si>
  <si>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</si>
  <si>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</si>
  <si>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</si>
  <si>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</si>
  <si>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</si>
  <si>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</si>
  <si>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</si>
  <si>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</si>
  <si>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</si>
  <si>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</si>
  <si>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</si>
  <si>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</si>
  <si>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</si>
  <si>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</si>
  <si>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</si>
  <si>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</si>
  <si>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</si>
  <si>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</si>
  <si>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</si>
  <si>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</si>
  <si>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</si>
  <si>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</si>
  <si>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</si>
  <si>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</si>
  <si>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</si>
  <si>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</si>
  <si>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</si>
  <si>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</si>
  <si>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</si>
  <si>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</si>
  <si>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</si>
  <si>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</si>
  <si>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</si>
  <si>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</si>
  <si>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</si>
  <si>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</si>
  <si>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</si>
  <si>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</si>
  <si>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</si>
  <si>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</si>
  <si>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</si>
  <si>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</si>
  <si>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</si>
  <si>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</si>
  <si>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</si>
  <si>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</si>
  <si>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</si>
  <si>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</si>
  <si>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</si>
  <si>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</si>
  <si>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</si>
  <si>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</si>
  <si>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</si>
  <si>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</si>
  <si>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</si>
  <si>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</si>
  <si>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</si>
  <si>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</si>
  <si>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</si>
  <si>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</si>
  <si>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</si>
  <si>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</si>
  <si>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</si>
  <si>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</si>
  <si>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</si>
  <si>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</si>
  <si>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</si>
  <si>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</si>
  <si>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</si>
  <si>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</si>
  <si>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</si>
  <si>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</si>
  <si>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</si>
  <si>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</si>
  <si>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</si>
  <si>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</si>
  <si>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</si>
  <si>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</si>
  <si>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</si>
  <si>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</si>
  <si>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</si>
  <si>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</si>
  <si>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</si>
  <si>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</si>
  <si>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</si>
  <si>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</si>
  <si>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</si>
  <si>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</si>
  <si>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</si>
  <si>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</si>
  <si>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</si>
  <si>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</si>
  <si>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</si>
  <si>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</si>
  <si>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</si>
  <si>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</si>
  <si>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</si>
  <si>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</si>
  <si>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</si>
  <si>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</si>
  <si>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</si>
  <si>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Martin Emmett</t>
  </si>
  <si>
    <t>Dirty Dog's Car Wash</t>
  </si>
  <si>
    <t>6301 E Hillsborough Ave.</t>
  </si>
  <si>
    <t>Tampa, FL 33610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</si>
  <si>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  </r>
    <r>
      <rPr>
        <b/>
        <sz val="10"/>
        <rFont val="Calibri"/>
        <family val="2"/>
        <scheme val="minor"/>
      </rPr>
      <t xml:space="preserve"> The vehicle market was used instead of the traffic count to account for the commuter make-up of the traffic pattern.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</si>
</sst>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80597</xdr:colOff>
      <xdr:row>32</xdr:row>
      <xdr:rowOff>167796</xdr:rowOff>
    </xdr:from>
    <xdr:to>
      <xdr:col>6</xdr:col>
      <xdr:colOff>483578</xdr:colOff>
      <xdr:row>38</xdr:row>
      <xdr:rowOff>121418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EDE92-9D6C-4753-8BC4-B8D5D5817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4520" y="5846161"/>
          <a:ext cx="1853712" cy="957411"/>
        </a:xfrm>
        <a:prstGeom prst="rect">
          <a:avLst/>
        </a:prstGeom>
      </xdr:spPr>
    </xdr:pic>
    <xdr:clientData/>
  </xdr:twoCellAnchor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4" zoomScaleNormal="100" workbookViewId="0">
      <selection activeCell="D94" sqref="D94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197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198</v>
      </c>
      <c r="C3" s="87"/>
      <c r="D3" s="88"/>
      <c r="E3" s="34"/>
      <c r="F3" s="34"/>
    </row>
    <row r="4" spans="1:9" ht="15.75" x14ac:dyDescent="0.25">
      <c r="A4" s="35" t="s">
        <v>13</v>
      </c>
      <c r="B4" s="86"/>
      <c r="C4" s="87"/>
      <c r="D4" s="88"/>
      <c r="E4" s="34"/>
      <c r="F4" s="34"/>
    </row>
    <row r="5" spans="1:9" ht="15.75" x14ac:dyDescent="0.25">
      <c r="A5" s="35" t="s">
        <v>14</v>
      </c>
      <c r="B5" s="86" t="s">
        <v>199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200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6</v>
      </c>
      <c r="C19" s="48">
        <v>0.309</v>
      </c>
      <c r="D19" s="45">
        <v>0.6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19</v>
      </c>
      <c r="C22" s="48">
        <v>1.357</v>
      </c>
      <c r="D22" s="45">
        <v>0.1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19</v>
      </c>
      <c r="C30" s="47">
        <v>19</v>
      </c>
      <c r="D30" s="47">
        <v>19</v>
      </c>
      <c r="E30" s="47">
        <v>19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>
        <v>1</v>
      </c>
      <c r="D45" s="50"/>
      <c r="E45" s="50">
        <v>1</v>
      </c>
      <c r="F45" s="51">
        <f>IF(B45=1,0.15,IF(C45=1,0.125,IF(D45=1,0.075,IF(E45=1,0.05,0))))</f>
        <v>0.125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1.1499999999999999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2.6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0.51500000000000001</v>
      </c>
      <c r="F58" s="61">
        <f>-0.3*(0.55-E58)</f>
        <v>-1.0500000000000009E-2</v>
      </c>
    </row>
    <row r="59" spans="1:8" ht="15.75" x14ac:dyDescent="0.25">
      <c r="A59" s="83" t="s">
        <v>3</v>
      </c>
      <c r="B59" s="84"/>
      <c r="C59" s="84"/>
      <c r="D59" s="85"/>
      <c r="E59" s="45">
        <v>0.47699999999999998</v>
      </c>
      <c r="F59" s="61">
        <f>-0.75*(0.5-E59)</f>
        <v>-1.7250000000000015E-2</v>
      </c>
    </row>
    <row r="60" spans="1:8" ht="15.75" x14ac:dyDescent="0.25">
      <c r="A60" s="83" t="s">
        <v>4</v>
      </c>
      <c r="B60" s="84"/>
      <c r="C60" s="84"/>
      <c r="D60" s="85"/>
      <c r="E60" s="47">
        <v>6</v>
      </c>
      <c r="F60" s="62">
        <f>IF(E60&lt;5.01,0.5*(5-E60),-0.075*(E60-5))</f>
        <v>-7.4999999999999997E-2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-2.5687500000000005E-2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9.2273124999999994E-3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1.217890625E-2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1.4742886513157895E-2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35430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98077.104562499997</v>
      </c>
      <c r="C74" s="68">
        <f>F65*A70*300</f>
        <v>129449.59453125</v>
      </c>
      <c r="D74" s="68">
        <f>($F$54*(1+$F$61))/85*($A$70*(1+B$70))*300</f>
        <v>140110.14937500001</v>
      </c>
      <c r="E74" s="68">
        <f>($F$54*(1+$F$61))/82*($A$70*(1+C$70))*300</f>
        <v>145236.13044969513</v>
      </c>
      <c r="F74" s="68">
        <f>F66*(A70*(1+D70)*300)</f>
        <v>156702.14074835528</v>
      </c>
    </row>
    <row r="75" spans="1:6" ht="15.75" x14ac:dyDescent="0.25">
      <c r="A75" s="35" t="s">
        <v>106</v>
      </c>
      <c r="B75" s="68">
        <f>B74/12</f>
        <v>8173.0920468750001</v>
      </c>
      <c r="C75" s="68">
        <f>C74/12</f>
        <v>10787.4662109375</v>
      </c>
      <c r="D75" s="68">
        <f t="shared" ref="D75:F75" si="0">D74/12</f>
        <v>11675.84578125</v>
      </c>
      <c r="E75" s="68">
        <f t="shared" si="0"/>
        <v>12103.010870807928</v>
      </c>
      <c r="F75" s="68">
        <f t="shared" si="0"/>
        <v>13058.511729029606</v>
      </c>
    </row>
    <row r="76" spans="1:6" ht="15.75" x14ac:dyDescent="0.25">
      <c r="A76" s="35" t="s">
        <v>107</v>
      </c>
      <c r="B76" s="68">
        <f>B75/4.5/7*3</f>
        <v>778.38971875000004</v>
      </c>
      <c r="C76" s="68">
        <f t="shared" ref="C76:F76" si="1">C75/4.5/7*3</f>
        <v>1027.377734375</v>
      </c>
      <c r="D76" s="68">
        <f t="shared" si="1"/>
        <v>1111.9853125</v>
      </c>
      <c r="E76" s="68">
        <f t="shared" si="1"/>
        <v>1152.6677019817075</v>
      </c>
      <c r="F76" s="68">
        <f t="shared" si="1"/>
        <v>1243.6677837171055</v>
      </c>
    </row>
    <row r="77" spans="1:6" ht="15.75" x14ac:dyDescent="0.25">
      <c r="A77" s="35" t="s">
        <v>108</v>
      </c>
      <c r="B77" s="68">
        <f>IFERROR((B76/$B9*1.3),0)</f>
        <v>84.325552864583344</v>
      </c>
      <c r="C77" s="68">
        <f t="shared" ref="C77:F77" si="2">IFERROR((C76/$B9*1.3),0)</f>
        <v>111.29925455729168</v>
      </c>
      <c r="D77" s="68">
        <f t="shared" si="2"/>
        <v>120.46507552083334</v>
      </c>
      <c r="E77" s="68">
        <f t="shared" si="2"/>
        <v>124.87233438135165</v>
      </c>
      <c r="F77" s="68">
        <f t="shared" si="2"/>
        <v>134.73067656935311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360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360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360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360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360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37" zoomScale="130" zoomScaleNormal="100" zoomScalePageLayoutView="130" workbookViewId="0">
      <selection activeCell="O38" sqref="O38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Martin Emmett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Dirty Dog's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6301 E Hillsborough Ave.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Tampa, FL 33610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201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Martin Emmett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Dirty Dog's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6301 E Hillsborough Ave.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Tampa, FL 33610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2419.1626879275227</v>
      </c>
      <c r="J65" s="18">
        <f>'Input Form'!B75</f>
        <v>8173.0920468750001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6</v>
      </c>
      <c r="G69" s="139">
        <f>'Input Form'!D19</f>
        <v>0.6</v>
      </c>
      <c r="H69" s="140"/>
      <c r="I69" s="20">
        <f>IFERROR((I$65*G69*F69),0)</f>
        <v>8708.9856765390814</v>
      </c>
      <c r="J69" s="20">
        <f>J$65*F69*G69</f>
        <v>29423.131368749997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3628.7440318912836</v>
      </c>
      <c r="J70" s="20">
        <f t="shared" ref="J70:J73" si="0">J$65*F70*G70</f>
        <v>12259.6380703125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5443.1160478369256</v>
      </c>
      <c r="J71" s="20">
        <f t="shared" si="0"/>
        <v>18389.457105468751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19</v>
      </c>
      <c r="G72" s="139">
        <f>'Input Form'!D22</f>
        <v>0.1</v>
      </c>
      <c r="H72" s="140"/>
      <c r="I72" s="20">
        <f t="shared" ref="I72:I73" si="1">I$65*G72*F72</f>
        <v>4596.4091070622935</v>
      </c>
      <c r="J72" s="20">
        <f t="shared" si="0"/>
        <v>15528.874889062499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0</v>
      </c>
      <c r="G73" s="139">
        <f>'Input Form'!D23</f>
        <v>0</v>
      </c>
      <c r="H73" s="140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22377.254863329585</v>
      </c>
      <c r="J74" s="20">
        <f>SUM(J69:J73)</f>
        <v>75601.101433593751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-402.79058753993252</v>
      </c>
      <c r="J75" s="20">
        <f>-(J74*$F75*$G75)</f>
        <v>-1360.8198258046875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21974.464275789651</v>
      </c>
      <c r="J76" s="20">
        <f>SUM(J74:J75)</f>
        <v>74240.28160778906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9.083499999999999</v>
      </c>
      <c r="J77" s="22">
        <f>J76/(J65+0.000000001)</f>
        <v>9.083499999998887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659.23392827368946</v>
      </c>
      <c r="J80" s="20">
        <f>$G80*J76</f>
        <v>2227.2084482336718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5.6592432432432428E-2</v>
      </c>
      <c r="H81" s="131"/>
      <c r="I81" s="20">
        <f>G81*I76</f>
        <v>1243.5883847665259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4278.4502246981247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219.74464275789651</v>
      </c>
      <c r="J82" s="20">
        <f>$G82*J76</f>
        <v>742.40281607789063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4.4688233928047008E-2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0.61069152956711914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219.74464275789651</v>
      </c>
      <c r="J85" s="20">
        <f>$G85*J76</f>
        <v>742.40281607789063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219.74464275789651</v>
      </c>
      <c r="J86" s="20">
        <f>$G86*J76</f>
        <v>742.40281607789063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329.61696413684473</v>
      </c>
      <c r="J87" s="20">
        <f>$G87*J76</f>
        <v>1113.6042241168359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219.74464275789651</v>
      </c>
      <c r="J88" s="20">
        <f>$G88*J76</f>
        <v>742.40281607789063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8.9376467856094016E-2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219.74464275789651</v>
      </c>
      <c r="J90" s="20">
        <f>$G90*J76</f>
        <v>742.40281607789063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1977.7017848210685</v>
      </c>
      <c r="J91" s="20">
        <f>$G91*J76</f>
        <v>6681.6253447010149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21974.464275787614</v>
      </c>
      <c r="J92" s="20">
        <f>SUM(J80:J91)</f>
        <v>34678.502322139102</v>
      </c>
      <c r="K92" s="10"/>
    </row>
    <row r="93" spans="1:12" x14ac:dyDescent="0.2">
      <c r="A93" s="10"/>
      <c r="B93" s="119" t="s">
        <v>196</v>
      </c>
      <c r="C93" s="119"/>
      <c r="D93" s="119"/>
      <c r="E93" s="119"/>
      <c r="F93" s="119"/>
      <c r="G93" s="119"/>
      <c r="H93" s="119"/>
      <c r="I93" s="24">
        <f>I76-I92</f>
        <v>2.0372681319713593E-9</v>
      </c>
      <c r="J93" s="24">
        <f>J76-J92</f>
        <v>39561.779285649958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Martin Emmett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Dirty Dog's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6301 E Hillsborough Ave.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Tampa, FL 33610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360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360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360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360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360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21974.464275789651</v>
      </c>
      <c r="H138" s="169"/>
      <c r="I138" s="169">
        <f>J76</f>
        <v>74240.28160778906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21974.464275787614</v>
      </c>
      <c r="H139" s="169"/>
      <c r="I139" s="169">
        <f>J92</f>
        <v>34678.502322139102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2.0372681319713593E-9</v>
      </c>
      <c r="H140" s="169"/>
      <c r="I140" s="169">
        <f>J93</f>
        <v>39561.779285649958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2.0372681319713593E-9</v>
      </c>
      <c r="H143" s="169"/>
      <c r="I143" s="169">
        <f>I140-I141-I142</f>
        <v>39561.779285649958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Martin Emmett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Dirty Dog's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6301 E Hillsborough Ave.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Tampa, FL 33610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98077.104562499997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6</v>
      </c>
      <c r="G169" s="139">
        <f>'Input Form'!$D$19</f>
        <v>0.6</v>
      </c>
      <c r="H169" s="140"/>
      <c r="I169" s="20">
        <f>I$166*F169*G169</f>
        <v>353077.57642499992</v>
      </c>
      <c r="J169" s="30">
        <f>IFERROR((I169/I$174),0)</f>
        <v>0.38918918918918916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147115.65684375001</v>
      </c>
      <c r="J170" s="30">
        <f t="shared" ref="J170:J176" si="2">IFERROR((I170/I$174),0)</f>
        <v>0.1621621621621622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220673.48526562497</v>
      </c>
      <c r="J171" s="30">
        <f t="shared" si="2"/>
        <v>0.24324324324324323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19</v>
      </c>
      <c r="G172" s="139">
        <f>'Input Form'!$D$22</f>
        <v>0.1</v>
      </c>
      <c r="H172" s="140"/>
      <c r="I172" s="20">
        <f>I$166*F172*G172</f>
        <v>186346.49866875002</v>
      </c>
      <c r="J172" s="30">
        <f t="shared" si="2"/>
        <v>0.20540540540540544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0</v>
      </c>
      <c r="G173" s="139">
        <f>'Input Form'!$D$23</f>
        <v>0</v>
      </c>
      <c r="H173" s="140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907213.21720312489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-16329.837909656246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890883.37929346866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26726.50137880406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50417.257447842698</v>
      </c>
      <c r="J179" s="30">
        <f t="shared" ref="J179:J196" si="3">IFERROR((I179/I$176),0)</f>
        <v>5.6592432432432428E-2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8908.8337929346872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1.3469776492538024E-2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0.18407257763642762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8908.8337929346872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8908.8337929346872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13363.25068940203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8908.8337929346872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2.6939552985076047E-2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8908.8337929346872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80179.504136412172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415217.88261713431</v>
      </c>
      <c r="J190" s="30">
        <f t="shared" si="3"/>
        <v>0.46607433954647404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475665.49667633435</v>
      </c>
      <c r="J191" s="30">
        <f t="shared" si="3"/>
        <v>0.53392566045352596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475665.49667633435</v>
      </c>
      <c r="J196" s="30">
        <f t="shared" si="3"/>
        <v>0.53392566045352596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Martin Emmett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Dirty Dog's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6301 E Hillsborough Ave.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Tampa, FL 33610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129449.59453125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6</v>
      </c>
      <c r="G220" s="139">
        <f>'Input Form'!$D$19</f>
        <v>0.6</v>
      </c>
      <c r="H220" s="140"/>
      <c r="I220" s="20">
        <f>I$217*F220*G220</f>
        <v>466018.54031249997</v>
      </c>
      <c r="J220" s="30">
        <f>IFERROR((I220/I$225),0)</f>
        <v>0.38918918918918916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194174.39179687499</v>
      </c>
      <c r="J221" s="30">
        <f t="shared" ref="J221:J227" si="4">IFERROR((I221/I$225),0)</f>
        <v>0.16216216216216214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291261.58769531251</v>
      </c>
      <c r="J222" s="30">
        <f t="shared" si="4"/>
        <v>0.24324324324324323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19</v>
      </c>
      <c r="G223" s="139">
        <f>'Input Form'!$D$22</f>
        <v>0.1</v>
      </c>
      <c r="H223" s="140"/>
      <c r="I223" s="20">
        <f>I$217*F223*G223</f>
        <v>245954.229609375</v>
      </c>
      <c r="J223" s="30">
        <f t="shared" si="4"/>
        <v>0.20540540540540539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0</v>
      </c>
      <c r="G224" s="139">
        <f>'Input Form'!$D$23</f>
        <v>0</v>
      </c>
      <c r="H224" s="140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1197408.7494140626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-21553.357489453123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1175855.3919246094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35275.661757738279</v>
      </c>
      <c r="J229" s="30">
        <f>IFERROR((I229/I$227),0)</f>
        <v>2.9999999999999995E-2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66544.516817804804</v>
      </c>
      <c r="J230" s="30">
        <f t="shared" ref="J230:J247" si="5">IFERROR((I230/I$227),0)</f>
        <v>5.6592432432432421E-2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11758.553919246095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1.0205336542581748E-2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0.13946204705630516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11758.553919246095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11758.553919246095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17637.830878869139</v>
      </c>
      <c r="J236" s="30">
        <f t="shared" si="5"/>
        <v>1.4999999999999998E-2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11758.553919246095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2.0410673085163495E-2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11758.553919246095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105826.98527321484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484064.96432385745</v>
      </c>
      <c r="J241" s="30">
        <f t="shared" si="5"/>
        <v>0.41167048911648274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691790.42760075198</v>
      </c>
      <c r="J242" s="30">
        <f t="shared" si="5"/>
        <v>0.58832951088351726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691790.42760075198</v>
      </c>
      <c r="J247" s="30">
        <f t="shared" si="5"/>
        <v>0.58832951088351726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Martin Emmett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Dirty Dog's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6301 E Hillsborough Ave.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Tampa, FL 33610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140110.14937500001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6</v>
      </c>
      <c r="G271" s="139">
        <f>'Input Form'!$D$19</f>
        <v>0.6</v>
      </c>
      <c r="H271" s="140"/>
      <c r="I271" s="20">
        <f>I$268*F271*G271</f>
        <v>504396.53774999996</v>
      </c>
      <c r="J271" s="30">
        <f>IFERROR((I271/I$276),0)</f>
        <v>0.3891891891891891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210165.22406250003</v>
      </c>
      <c r="J272" s="30">
        <f t="shared" ref="J272:J278" si="7">IFERROR((I272/I$276),0)</f>
        <v>0.16216216216216217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315247.83609375003</v>
      </c>
      <c r="J273" s="30">
        <f t="shared" si="7"/>
        <v>0.24324324324324323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19</v>
      </c>
      <c r="G274" s="139">
        <f>'Input Form'!$D$22</f>
        <v>0.1</v>
      </c>
      <c r="H274" s="140"/>
      <c r="I274" s="20">
        <f t="shared" si="6"/>
        <v>266209.28381250001</v>
      </c>
      <c r="J274" s="30">
        <f t="shared" si="7"/>
        <v>0.20540540540540539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0</v>
      </c>
      <c r="G275" s="139">
        <f>'Input Form'!$D$23</f>
        <v>0</v>
      </c>
      <c r="H275" s="140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1296018.8817187501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-23328.3398709375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1272690.5418478127</v>
      </c>
      <c r="J278" s="30">
        <f t="shared" si="7"/>
        <v>0.9820000000000001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38180.716255434381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72024.653496918152</v>
      </c>
      <c r="J281" s="30">
        <f t="shared" ref="J281:J298" si="8">IFERROR((I281/I$278),0)</f>
        <v>5.6592432432432421E-2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12726.905418478127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9.4288435447766137E-3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0.12885080434549931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12726.905418478127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12726.905418478127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19090.358127717191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12726.905418478127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1.8857687089553227E-2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12726.905418478127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114542.14876630314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507459.60373876354</v>
      </c>
      <c r="J292" s="30">
        <f t="shared" si="8"/>
        <v>0.39872976741226157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765230.93810904911</v>
      </c>
      <c r="J293" s="30">
        <f t="shared" si="8"/>
        <v>0.60127023258773837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765230.93810904911</v>
      </c>
      <c r="J298" s="30">
        <f t="shared" si="8"/>
        <v>0.60127023258773837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Martin Emmett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Dirty Dog's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6301 E Hillsborough Ave.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Tampa, FL 33610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145236.13044969513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6</v>
      </c>
      <c r="G322" s="139">
        <f>'Input Form'!$D$19</f>
        <v>0.6</v>
      </c>
      <c r="H322" s="140"/>
      <c r="I322" s="20">
        <f>I$319*F322*G322</f>
        <v>522850.0696189024</v>
      </c>
      <c r="J322" s="30">
        <f>IFERROR((I322/I$327),0)</f>
        <v>0.3891891891891891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217854.19567454272</v>
      </c>
      <c r="J323" s="30">
        <f t="shared" ref="J323:J329" si="9">IFERROR((I323/I$327),0)</f>
        <v>0.16216216216216217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326781.29351181403</v>
      </c>
      <c r="J324" s="30">
        <f t="shared" si="9"/>
        <v>0.24324324324324323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19</v>
      </c>
      <c r="G325" s="139">
        <f>'Input Form'!$D$22</f>
        <v>0.1</v>
      </c>
      <c r="H325" s="140"/>
      <c r="I325" s="20">
        <f>I$319*F325*G325</f>
        <v>275948.64785442076</v>
      </c>
      <c r="J325" s="30">
        <f t="shared" si="9"/>
        <v>0.20540540540540542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0</v>
      </c>
      <c r="G326" s="139">
        <f>'Input Form'!$D$23</f>
        <v>0</v>
      </c>
      <c r="H326" s="140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1343434.20665968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-24181.815719874241</v>
      </c>
      <c r="J328" s="30">
        <f t="shared" si="9"/>
        <v>-1.8000000000000002E-2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1319252.3909398057</v>
      </c>
      <c r="J329" s="30">
        <f t="shared" si="9"/>
        <v>0.98199999999999987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39577.571728194169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74659.701795585876</v>
      </c>
      <c r="J332" s="30">
        <f t="shared" ref="J332:J344" si="10">IFERROR((I332/I$329),0)</f>
        <v>5.6592432432432421E-2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13192.523909398056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9.0960608314315586E-3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0.12430312889801111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13192.523909398056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13192.523909398056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19788.785864097084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13192.523909398056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1.8192121662863117E-2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13192.523909398056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118732.7151845825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518708.59411944996</v>
      </c>
      <c r="J343" s="30">
        <f t="shared" si="10"/>
        <v>0.39318374382473825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800543.7968203557</v>
      </c>
      <c r="J344" s="30">
        <f t="shared" si="10"/>
        <v>0.6068162561752618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800543.7968203557</v>
      </c>
      <c r="J349" s="30">
        <f t="shared" si="11"/>
        <v>0.6068162561752618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Martin Emmett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Dirty Dog's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6301 E Hillsborough Ave.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Tampa, FL 33610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156702.14074835528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6</v>
      </c>
      <c r="G373" s="139">
        <f>'Input Form'!$D$19</f>
        <v>0.6</v>
      </c>
      <c r="H373" s="140"/>
      <c r="I373" s="20">
        <f>I$370*F373*G373</f>
        <v>564127.70669407898</v>
      </c>
      <c r="J373" s="30">
        <f>IFERROR((I373/I$378),0)</f>
        <v>0.38918918918918916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235053.21112253293</v>
      </c>
      <c r="J374" s="30">
        <f t="shared" ref="J374:J380" si="13">IFERROR((I374/I$378),0)</f>
        <v>0.16216216216216217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352579.81668379938</v>
      </c>
      <c r="J375" s="30">
        <f t="shared" si="13"/>
        <v>0.24324324324324323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19</v>
      </c>
      <c r="G376" s="139">
        <f>'Input Form'!$D$22</f>
        <v>0.1</v>
      </c>
      <c r="H376" s="140"/>
      <c r="I376" s="20">
        <f t="shared" si="12"/>
        <v>297734.06742187502</v>
      </c>
      <c r="J376" s="30">
        <f t="shared" si="13"/>
        <v>0.20540540540540539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0</v>
      </c>
      <c r="G377" s="139">
        <f>'Input Form'!$D$23</f>
        <v>0</v>
      </c>
      <c r="H377" s="140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1449494.8019222864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-26090.906434601155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1423403.8954876852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42702.116864630552</v>
      </c>
      <c r="J382" s="30">
        <f>IFERROR((I382/I$380),0)</f>
        <v>2.9999999999999995E-2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80553.888779447938</v>
      </c>
      <c r="J383" s="30">
        <f t="shared" ref="J383:J395" si="14">IFERROR((I383/I$380),0)</f>
        <v>5.6592432432432428E-2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14234.038954876853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8.4304954047414431E-3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0.11520777800303468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14234.038954876853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14234.038954876853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21351.058432315276</v>
      </c>
      <c r="J389" s="30">
        <f t="shared" si="14"/>
        <v>1.4999999999999998E-2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14234.038954876853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1.6860990809482886E-2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14234.038954876853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128106.35059389166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543870.80944466963</v>
      </c>
      <c r="J394" s="30">
        <f t="shared" si="14"/>
        <v>0.38209169664969139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879533.08604301559</v>
      </c>
      <c r="J395" s="30">
        <f t="shared" si="14"/>
        <v>0.61790830335030866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879533.08604301559</v>
      </c>
      <c r="J400" s="30">
        <f t="shared" si="15"/>
        <v>0.61790830335030866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Martin Emmett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Dirty Dog's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6301 E Hillsborough Ave.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Tampa, FL 33610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RoQDsfqFBk9N9P9bVzDoWwqOHVsOBP6mNrWV6YxZD551fmCfVUiKyNonKgGySLOFF7D1gNnyWyBNKmj43CCmPA==" saltValue="sOPt8ivDH6JkAuM35jgHV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2020-03-06T13:39:47Z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