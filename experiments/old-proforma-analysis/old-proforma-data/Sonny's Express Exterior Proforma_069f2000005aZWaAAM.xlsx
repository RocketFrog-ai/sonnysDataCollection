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2" windowWidth="9420" windowHeight="4500" activeTab="1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J84" i="3" l="1"/>
  <c r="B9" i="2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I392" i="3" l="1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<sst xmlns="http://schemas.openxmlformats.org/spreadsheetml/2006/main" count="434" uniqueCount="200">
  <si>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</si>
  <si>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</si>
  <si>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</si>
  <si>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</si>
  <si>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</si>
  <si>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</si>
  <si>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</si>
  <si>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</si>
  <si>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</si>
  <si>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</si>
  <si>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</si>
  <si>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</si>
  <si>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</si>
  <si>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</si>
  <si>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</si>
  <si>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</si>
  <si>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</si>
  <si>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</si>
  <si>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</si>
  <si>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</si>
  <si>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</si>
  <si>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</si>
  <si>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</si>
  <si>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</si>
  <si>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</si>
  <si>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</si>
  <si>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</si>
  <si>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</si>
  <si>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</si>
  <si>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</si>
  <si>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</si>
  <si>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</si>
  <si>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</si>
  <si>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</si>
  <si>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</si>
  <si>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</si>
  <si>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</si>
  <si>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</si>
  <si>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</si>
  <si>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</si>
  <si>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</si>
  <si>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</si>
  <si>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</si>
  <si>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</si>
  <si>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</si>
  <si>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</si>
  <si>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</si>
  <si>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</si>
  <si>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</si>
  <si>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</si>
  <si>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</si>
  <si>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</si>
  <si>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</si>
  <si>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</si>
  <si>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</si>
  <si>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</si>
  <si>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</si>
  <si>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</si>
  <si>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</si>
  <si>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</si>
  <si>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</si>
  <si>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</si>
  <si>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</si>
  <si>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</si>
  <si>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</si>
  <si>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</si>
  <si>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</si>
  <si>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</si>
  <si>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</si>
  <si>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</si>
  <si>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</si>
  <si>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</si>
  <si>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</si>
  <si>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</si>
  <si>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</si>
  <si>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</si>
  <si>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</si>
  <si>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</si>
  <si>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</si>
  <si>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</si>
  <si>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</si>
  <si>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</si>
  <si>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</si>
  <si>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</si>
  <si>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</si>
  <si>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</si>
  <si>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</si>
  <si>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</si>
  <si>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</si>
  <si>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</si>
  <si>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</si>
  <si>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</si>
  <si>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</si>
  <si>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</si>
  <si>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</si>
  <si>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</si>
  <si>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</si>
  <si>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</si>
  <si>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</si>
  <si>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</si>
  <si>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</si>
  <si>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</si>
  <si>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</si>
  <si>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</si>
  <si>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</si>
  <si>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</si>
  <si>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</si>
  <si>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</si>
  <si>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</si>
  <si>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</si>
  <si>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</si>
  <si>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</si>
  <si>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</si>
  <si>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</si>
  <si>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</si>
  <si>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</si>
  <si>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</si>
  <si>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</si>
  <si>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</si>
  <si>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</si>
  <si>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</si>
  <si>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</si>
  <si>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</si>
  <si>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</si>
  <si>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</si>
  <si>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</si>
  <si>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</si>
  <si>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</si>
  <si>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</si>
  <si>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</si>
  <si>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</si>
  <si>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</si>
  <si>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</si>
  <si>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</si>
  <si>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</si>
  <si>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</si>
  <si>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</si>
  <si>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</si>
  <si>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</si>
  <si>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</si>
  <si>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</si>
  <si>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</si>
  <si>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</si>
  <si>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</si>
  <si>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</si>
  <si>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</si>
  <si>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</si>
  <si>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</si>
  <si>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</si>
  <si>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</si>
  <si>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</si>
  <si>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</si>
  <si>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</si>
  <si>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</si>
  <si>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</si>
  <si>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</si>
  <si>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</si>
  <si>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</si>
  <si>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</si>
  <si>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</si>
  <si>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</si>
  <si>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</si>
  <si>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</si>
  <si>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</si>
  <si>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</si>
  <si>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</si>
  <si>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</si>
  <si>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</si>
  <si>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</si>
  <si>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</si>
  <si>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</si>
  <si>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</si>
  <si>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</si>
  <si>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</si>
  <si>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</si>
  <si>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</si>
  <si>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</si>
  <si>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</si>
  <si>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</si>
  <si>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</si>
  <si>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</si>
  <si>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</si>
  <si>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</si>
  <si>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</si>
  <si>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</si>
  <si>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</si>
  <si>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</si>
  <si>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</si>
  <si>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</si>
  <si>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</si>
  <si>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</si>
  <si>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</si>
  <si>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</si>
  <si>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</si>
  <si>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</si>
  <si>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</si>
  <si>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Dan Palmer</t>
  </si>
  <si>
    <t>The Car Spa</t>
  </si>
  <si>
    <t>1832 King Ave. W</t>
  </si>
  <si>
    <t>Billings, MT 59102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</si>
</sst>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topLeftCell="A37" zoomScaleNormal="100" workbookViewId="0">
      <selection activeCell="E70" sqref="E70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8" t="s">
        <v>41</v>
      </c>
      <c r="B1" s="98"/>
      <c r="C1" s="98"/>
      <c r="D1" s="98"/>
      <c r="E1" s="34"/>
      <c r="F1" s="34"/>
    </row>
    <row r="2" spans="1:9" ht="15.6" x14ac:dyDescent="0.3">
      <c r="A2" s="35" t="s">
        <v>12</v>
      </c>
      <c r="B2" s="99" t="s">
        <v>196</v>
      </c>
      <c r="C2" s="100"/>
      <c r="D2" s="101"/>
      <c r="E2" s="34"/>
      <c r="F2" s="34"/>
    </row>
    <row r="3" spans="1:9" ht="15.6" x14ac:dyDescent="0.3">
      <c r="A3" s="35" t="s">
        <v>15</v>
      </c>
      <c r="B3" s="99" t="s">
        <v>197</v>
      </c>
      <c r="C3" s="100"/>
      <c r="D3" s="101"/>
      <c r="E3" s="34"/>
      <c r="F3" s="34"/>
    </row>
    <row r="4" spans="1:9" ht="15.6" x14ac:dyDescent="0.3">
      <c r="A4" s="35" t="s">
        <v>13</v>
      </c>
      <c r="B4" s="99" t="s">
        <v>198</v>
      </c>
      <c r="C4" s="100"/>
      <c r="D4" s="101"/>
      <c r="E4" s="34"/>
      <c r="F4" s="34"/>
    </row>
    <row r="5" spans="1:9" ht="15.6" x14ac:dyDescent="0.3">
      <c r="A5" s="35" t="s">
        <v>14</v>
      </c>
      <c r="B5" s="99" t="s">
        <v>199</v>
      </c>
      <c r="C5" s="100"/>
      <c r="D5" s="101"/>
      <c r="E5" s="34"/>
      <c r="F5" s="34"/>
    </row>
    <row r="6" spans="1:9" ht="15.6" x14ac:dyDescent="0.3">
      <c r="A6" s="35" t="s">
        <v>16</v>
      </c>
      <c r="B6" s="99"/>
      <c r="C6" s="100"/>
      <c r="D6" s="101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7" t="s">
        <v>40</v>
      </c>
      <c r="B11" s="87"/>
      <c r="C11" s="87"/>
      <c r="D11" s="87"/>
      <c r="E11" s="34"/>
      <c r="F11" s="34"/>
    </row>
    <row r="12" spans="1:9" ht="15.6" x14ac:dyDescent="0.3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6" x14ac:dyDescent="0.3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6" x14ac:dyDescent="0.3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6" x14ac:dyDescent="0.3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91" t="s">
        <v>39</v>
      </c>
      <c r="B17" s="92"/>
      <c r="C17" s="92"/>
      <c r="D17" s="93"/>
      <c r="E17" s="34"/>
      <c r="F17" s="34"/>
    </row>
    <row r="18" spans="1:8" ht="15.6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6" x14ac:dyDescent="0.3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6" x14ac:dyDescent="0.3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6" x14ac:dyDescent="0.3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6" x14ac:dyDescent="0.3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6" x14ac:dyDescent="0.3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91" t="s">
        <v>44</v>
      </c>
      <c r="B25" s="92"/>
      <c r="C25" s="92"/>
      <c r="D25" s="92"/>
      <c r="E25" s="93"/>
      <c r="F25" s="34"/>
    </row>
    <row r="26" spans="1:8" ht="15.6" x14ac:dyDescent="0.3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6" x14ac:dyDescent="0.3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6" x14ac:dyDescent="0.3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6" x14ac:dyDescent="0.3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6" x14ac:dyDescent="0.3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6" x14ac:dyDescent="0.3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91" t="s">
        <v>59</v>
      </c>
      <c r="B33" s="92"/>
      <c r="C33" s="92"/>
      <c r="D33" s="92"/>
      <c r="E33" s="92"/>
      <c r="F33" s="93"/>
    </row>
    <row r="34" spans="1:6" ht="15.6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9.2" x14ac:dyDescent="0.45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6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9.2" x14ac:dyDescent="0.45">
      <c r="A37" s="10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27.6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9.2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9.2" x14ac:dyDescent="0.45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6.8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9.2" x14ac:dyDescent="0.45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2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9.2" x14ac:dyDescent="0.45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2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9.2" x14ac:dyDescent="0.45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6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9.2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9.2" x14ac:dyDescent="0.45">
      <c r="A51" s="10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2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9.2" x14ac:dyDescent="0.45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6" x14ac:dyDescent="0.3">
      <c r="A54" s="95" t="s">
        <v>0</v>
      </c>
      <c r="B54" s="96"/>
      <c r="C54" s="96"/>
      <c r="D54" s="96"/>
      <c r="E54" s="97"/>
      <c r="F54" s="56">
        <f>F35+F37+F39+F41+F43+F45+F47+F49+F51+F53</f>
        <v>0.92499999999999993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91" t="s">
        <v>1</v>
      </c>
      <c r="B56" s="92"/>
      <c r="C56" s="92"/>
      <c r="D56" s="92"/>
      <c r="E56" s="92"/>
      <c r="F56" s="93"/>
    </row>
    <row r="57" spans="1:8" ht="15.6" x14ac:dyDescent="0.3">
      <c r="A57" s="95" t="s">
        <v>93</v>
      </c>
      <c r="B57" s="96"/>
      <c r="C57" s="96"/>
      <c r="D57" s="97"/>
      <c r="E57" s="59">
        <v>2.2999999999999998</v>
      </c>
      <c r="F57" s="60">
        <f>IF(E57&lt;2.101,-0.1*(2.1-E57),IF(E57&gt;3,-0.5*(E57-3),0))</f>
        <v>0</v>
      </c>
      <c r="H57" s="2"/>
    </row>
    <row r="58" spans="1:8" ht="15.6" x14ac:dyDescent="0.3">
      <c r="A58" s="95" t="s">
        <v>94</v>
      </c>
      <c r="B58" s="96"/>
      <c r="C58" s="96"/>
      <c r="D58" s="97"/>
      <c r="E58" s="45">
        <v>0.51400000000000001</v>
      </c>
      <c r="F58" s="61">
        <f>-0.3*(0.55-E58)</f>
        <v>-1.0800000000000009E-2</v>
      </c>
    </row>
    <row r="59" spans="1:8" ht="15.6" x14ac:dyDescent="0.3">
      <c r="A59" s="95" t="s">
        <v>3</v>
      </c>
      <c r="B59" s="96"/>
      <c r="C59" s="96"/>
      <c r="D59" s="97"/>
      <c r="E59" s="45">
        <v>0.66300000000000003</v>
      </c>
      <c r="F59" s="61">
        <f>-0.75*(0.5-E59)</f>
        <v>0.12225000000000003</v>
      </c>
    </row>
    <row r="60" spans="1:8" ht="15.6" x14ac:dyDescent="0.3">
      <c r="A60" s="95" t="s">
        <v>4</v>
      </c>
      <c r="B60" s="96"/>
      <c r="C60" s="96"/>
      <c r="D60" s="97"/>
      <c r="E60" s="47">
        <v>6</v>
      </c>
      <c r="F60" s="62">
        <f>IF(E60&lt;5.01,0.5*(5-E60),-0.075*(E60-5))</f>
        <v>-7.4999999999999997E-2</v>
      </c>
    </row>
    <row r="61" spans="1:8" ht="15.6" x14ac:dyDescent="0.3">
      <c r="A61" s="95" t="s">
        <v>95</v>
      </c>
      <c r="B61" s="96"/>
      <c r="C61" s="96"/>
      <c r="D61" s="96"/>
      <c r="E61" s="97"/>
      <c r="F61" s="61">
        <f>SUM(F57:F60)/4</f>
        <v>9.112500000000006E-3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4" t="s">
        <v>98</v>
      </c>
      <c r="B63" s="94"/>
      <c r="C63" s="94"/>
      <c r="D63" s="94"/>
      <c r="E63" s="94"/>
      <c r="F63" s="94"/>
    </row>
    <row r="64" spans="1:8" ht="15.6" x14ac:dyDescent="0.3">
      <c r="A64" s="95" t="s">
        <v>96</v>
      </c>
      <c r="B64" s="96"/>
      <c r="C64" s="96"/>
      <c r="D64" s="96"/>
      <c r="E64" s="97"/>
      <c r="F64" s="64">
        <f>(F54*0.7)*(1+F61)/85</f>
        <v>7.6870628676470589E-3</v>
      </c>
    </row>
    <row r="65" spans="1:6" ht="15.6" x14ac:dyDescent="0.3">
      <c r="A65" s="95" t="s">
        <v>97</v>
      </c>
      <c r="B65" s="96"/>
      <c r="C65" s="96"/>
      <c r="D65" s="96"/>
      <c r="E65" s="97"/>
      <c r="F65" s="64">
        <f>$F$54*(1+$F$61)/92</f>
        <v>1.0145968070652173E-2</v>
      </c>
    </row>
    <row r="66" spans="1:6" ht="15.6" x14ac:dyDescent="0.3">
      <c r="A66" s="95" t="s">
        <v>10</v>
      </c>
      <c r="B66" s="96"/>
      <c r="C66" s="96"/>
      <c r="D66" s="96"/>
      <c r="E66" s="97"/>
      <c r="F66" s="64">
        <f>$F$54*(1+$F$61)/76</f>
        <v>1.2281961348684211E-2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91" t="s">
        <v>103</v>
      </c>
      <c r="B68" s="92"/>
      <c r="C68" s="92"/>
      <c r="D68" s="93"/>
      <c r="E68" s="57"/>
      <c r="F68" s="58"/>
    </row>
    <row r="69" spans="1:6" ht="15.6" x14ac:dyDescent="0.3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6" x14ac:dyDescent="0.3">
      <c r="A70" s="50">
        <v>36267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91" t="s">
        <v>104</v>
      </c>
      <c r="B72" s="92"/>
      <c r="C72" s="92"/>
      <c r="D72" s="92"/>
      <c r="E72" s="92"/>
      <c r="F72" s="93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105</v>
      </c>
      <c r="B74" s="68">
        <f>F64*A70*280</f>
        <v>78060.278525867645</v>
      </c>
      <c r="C74" s="68">
        <f>F65*A70*280</f>
        <v>103029.87072513587</v>
      </c>
      <c r="D74" s="68">
        <f>($F$54*(1+$F$61))/85*($A$70*(1+B$70))*280</f>
        <v>111514.68360838236</v>
      </c>
      <c r="E74" s="68">
        <f>($F$54*(1+$F$61))/82*($A$70*(1+C$70))*280</f>
        <v>115594.48910625</v>
      </c>
      <c r="F74" s="68">
        <f>F66*(A70*(1+D70)*280)</f>
        <v>124720.36982516448</v>
      </c>
    </row>
    <row r="75" spans="1:6" ht="15.6" x14ac:dyDescent="0.3">
      <c r="A75" s="35" t="s">
        <v>106</v>
      </c>
      <c r="B75" s="68">
        <f>B74/12</f>
        <v>6505.0232104889701</v>
      </c>
      <c r="C75" s="68">
        <f>C74/12</f>
        <v>8585.8225604279887</v>
      </c>
      <c r="D75" s="68">
        <f t="shared" ref="D75:F75" si="0">D74/12</f>
        <v>9292.8903006985292</v>
      </c>
      <c r="E75" s="68">
        <f t="shared" si="0"/>
        <v>9632.8740921874996</v>
      </c>
      <c r="F75" s="68">
        <f t="shared" si="0"/>
        <v>10393.36415209704</v>
      </c>
    </row>
    <row r="76" spans="1:6" ht="15.6" x14ac:dyDescent="0.3">
      <c r="A76" s="35" t="s">
        <v>107</v>
      </c>
      <c r="B76" s="68">
        <f>B75/4.5/7*3</f>
        <v>619.52602004656865</v>
      </c>
      <c r="C76" s="68">
        <f t="shared" ref="C76:F76" si="1">C75/4.5/7*3</f>
        <v>817.69738670742754</v>
      </c>
      <c r="D76" s="68">
        <f t="shared" si="1"/>
        <v>885.03717149509805</v>
      </c>
      <c r="E76" s="68">
        <f t="shared" si="1"/>
        <v>917.41658020833324</v>
      </c>
      <c r="F76" s="68">
        <f t="shared" si="1"/>
        <v>989.84420496162295</v>
      </c>
    </row>
    <row r="77" spans="1:6" ht="15.6" x14ac:dyDescent="0.3">
      <c r="A77" s="35" t="s">
        <v>108</v>
      </c>
      <c r="B77" s="68">
        <f>IFERROR((B76/$B9*1.3),0)</f>
        <v>67.115318838378272</v>
      </c>
      <c r="C77" s="68">
        <f t="shared" ref="C77:F77" si="2">IFERROR((C76/$B9*1.3),0)</f>
        <v>88.583883559971312</v>
      </c>
      <c r="D77" s="68">
        <f t="shared" si="2"/>
        <v>95.879026911968964</v>
      </c>
      <c r="E77" s="68">
        <f t="shared" si="2"/>
        <v>99.386796189236094</v>
      </c>
      <c r="F77" s="68">
        <f t="shared" si="2"/>
        <v>107.23312220417583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7" t="s">
        <v>2</v>
      </c>
      <c r="B79" s="87"/>
      <c r="C79" s="87"/>
      <c r="D79" s="87"/>
      <c r="E79" s="87"/>
      <c r="F79" s="87"/>
    </row>
    <row r="80" spans="1:6" ht="31.2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6" x14ac:dyDescent="0.3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6" x14ac:dyDescent="0.3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6" x14ac:dyDescent="0.3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6" x14ac:dyDescent="0.3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6" x14ac:dyDescent="0.3">
      <c r="A87" s="91" t="s">
        <v>121</v>
      </c>
      <c r="B87" s="92"/>
      <c r="C87" s="92"/>
      <c r="D87" s="92"/>
      <c r="E87" s="92"/>
      <c r="F87" s="93"/>
    </row>
    <row r="88" spans="1:6" ht="31.2" x14ac:dyDescent="0.25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6" x14ac:dyDescent="0.3">
      <c r="A89" s="35" t="s">
        <v>118</v>
      </c>
      <c r="B89" s="76">
        <f>F81</f>
        <v>0</v>
      </c>
      <c r="C89" s="77">
        <v>5.7500000000000002E-2</v>
      </c>
      <c r="D89" s="40">
        <v>240</v>
      </c>
      <c r="E89" s="60"/>
      <c r="F89" s="71">
        <f>IFERROR(PMT(C89/12,(D89),B89)*-1,0)</f>
        <v>0</v>
      </c>
    </row>
    <row r="90" spans="1:6" ht="15.6" x14ac:dyDescent="0.25">
      <c r="A90" s="72" t="s">
        <v>120</v>
      </c>
      <c r="B90" s="76">
        <f t="shared" ref="B90:B93" si="6">F82</f>
        <v>0</v>
      </c>
      <c r="C90" s="77">
        <v>5.7500000000000002E-2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6" x14ac:dyDescent="0.3">
      <c r="A91" s="35" t="s">
        <v>117</v>
      </c>
      <c r="B91" s="76">
        <f t="shared" si="6"/>
        <v>0</v>
      </c>
      <c r="C91" s="77">
        <v>5.7500000000000002E-2</v>
      </c>
      <c r="D91" s="40">
        <v>240</v>
      </c>
      <c r="E91" s="60"/>
      <c r="F91" s="71">
        <f t="shared" si="7"/>
        <v>0</v>
      </c>
    </row>
    <row r="92" spans="1:6" ht="15.6" x14ac:dyDescent="0.3">
      <c r="A92" s="35" t="s">
        <v>119</v>
      </c>
      <c r="B92" s="76">
        <f t="shared" si="6"/>
        <v>0</v>
      </c>
      <c r="C92" s="77">
        <v>5.7500000000000002E-2</v>
      </c>
      <c r="D92" s="40">
        <v>240</v>
      </c>
      <c r="E92" s="60"/>
      <c r="F92" s="71">
        <f t="shared" si="7"/>
        <v>0</v>
      </c>
    </row>
    <row r="93" spans="1:6" ht="15.6" x14ac:dyDescent="0.3">
      <c r="A93" s="73" t="s">
        <v>159</v>
      </c>
      <c r="B93" s="76">
        <f t="shared" si="6"/>
        <v>0</v>
      </c>
      <c r="C93" s="77">
        <v>5.7500000000000002E-2</v>
      </c>
      <c r="D93" s="40">
        <v>240</v>
      </c>
      <c r="E93" s="60"/>
      <c r="F93" s="71">
        <f t="shared" si="7"/>
        <v>0</v>
      </c>
    </row>
    <row r="94" spans="1:6" ht="15.6" x14ac:dyDescent="0.25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6" x14ac:dyDescent="0.3">
      <c r="A95" s="91" t="s">
        <v>123</v>
      </c>
      <c r="B95" s="92"/>
      <c r="C95" s="92"/>
      <c r="D95" s="92"/>
      <c r="E95" s="92"/>
      <c r="F95" s="93"/>
    </row>
    <row r="96" spans="1:6" ht="15.6" x14ac:dyDescent="0.3">
      <c r="A96" s="88" t="s">
        <v>124</v>
      </c>
      <c r="B96" s="89"/>
      <c r="C96" s="89"/>
      <c r="D96" s="90"/>
      <c r="E96" s="81" t="s">
        <v>126</v>
      </c>
      <c r="F96" s="82"/>
    </row>
    <row r="97" spans="1:8" ht="15.6" x14ac:dyDescent="0.3">
      <c r="A97" s="78" t="s">
        <v>117</v>
      </c>
      <c r="B97" s="79"/>
      <c r="C97" s="79"/>
      <c r="D97" s="80"/>
      <c r="E97" s="83">
        <v>0</v>
      </c>
      <c r="F97" s="84"/>
    </row>
    <row r="98" spans="1:8" ht="15.6" x14ac:dyDescent="0.3">
      <c r="A98" s="78" t="s">
        <v>118</v>
      </c>
      <c r="B98" s="79"/>
      <c r="C98" s="79"/>
      <c r="D98" s="80"/>
      <c r="E98" s="83">
        <v>0</v>
      </c>
      <c r="F98" s="84"/>
    </row>
    <row r="99" spans="1:8" ht="15.6" x14ac:dyDescent="0.3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6" x14ac:dyDescent="0.3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tabSelected="1" view="pageLayout" topLeftCell="A79" zoomScale="130" zoomScaleNormal="100" zoomScalePageLayoutView="130" workbookViewId="0">
      <selection activeCell="D30" sqref="D30"/>
    </sheetView>
  </sheetViews>
  <sheetFormatPr defaultColWidth="9.10937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4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64" t="str">
        <f>'Input Form'!B2</f>
        <v>Dan Palmer</v>
      </c>
      <c r="F29" s="164"/>
      <c r="G29" s="164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64" t="str">
        <f>'Input Form'!B3</f>
        <v>The Car Spa</v>
      </c>
      <c r="F30" s="164"/>
      <c r="G30" s="164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64" t="str">
        <f>'Input Form'!B4</f>
        <v>1832 King Ave. W</v>
      </c>
      <c r="F31" s="164"/>
      <c r="G31" s="164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64" t="str">
        <f>'Input Form'!B5</f>
        <v>Billings, MT 59102</v>
      </c>
      <c r="F32" s="164"/>
      <c r="G32" s="164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187</v>
      </c>
      <c r="D56" s="115"/>
      <c r="E56" s="116" t="str">
        <f>CustomerName</f>
        <v>Dan Palmer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188</v>
      </c>
      <c r="D57" s="135"/>
      <c r="E57" s="116" t="str">
        <f>CompanyName</f>
        <v>The Car Spa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129</v>
      </c>
      <c r="D58" s="120"/>
      <c r="E58" s="125" t="str">
        <f>AddressLine1</f>
        <v>1832 King Ave. W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Billings, MT 59102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3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2179.4901357359504</v>
      </c>
      <c r="J65" s="18">
        <f>'Input Form'!B75</f>
        <v>6505.0232104889701</v>
      </c>
      <c r="K65" s="10"/>
    </row>
    <row r="66" spans="1:15" ht="18" x14ac:dyDescent="0.35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3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6</v>
      </c>
      <c r="G69" s="140">
        <f>'Input Form'!D19</f>
        <v>0.5</v>
      </c>
      <c r="H69" s="141"/>
      <c r="I69" s="20">
        <f>IFERROR((I$65*G69*F69),0)</f>
        <v>6538.4704072078512</v>
      </c>
      <c r="J69" s="20">
        <f>J$65*F69*G69</f>
        <v>19515.069631466911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3269.2352036039256</v>
      </c>
      <c r="J70" s="20">
        <f t="shared" ref="J70:J73" si="0">J$65*F70*G70</f>
        <v>9757.5348157334538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0.15</v>
      </c>
      <c r="H71" s="141"/>
      <c r="I71" s="20">
        <f>IFERROR((I$65*G71*F71),0)</f>
        <v>4576.9292850454958</v>
      </c>
      <c r="J71" s="20">
        <f t="shared" si="0"/>
        <v>13660.548742026836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0.2</v>
      </c>
      <c r="H72" s="141"/>
      <c r="I72" s="20">
        <f t="shared" ref="I72:I73" si="1">I$65*G72*F72</f>
        <v>7846.1644886494214</v>
      </c>
      <c r="J72" s="20">
        <f t="shared" si="0"/>
        <v>23418.083557760296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3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22230.799384506692</v>
      </c>
      <c r="J74" s="20">
        <f>SUM(J69:J73)</f>
        <v>66351.236746987503</v>
      </c>
      <c r="K74" s="10"/>
      <c r="O74" s="5"/>
    </row>
    <row r="75" spans="1:15" x14ac:dyDescent="0.3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-400.15438892112041</v>
      </c>
      <c r="J75" s="20">
        <f>-(J74*$F75*$G75)</f>
        <v>-1194.322261445775</v>
      </c>
      <c r="K75" s="10"/>
      <c r="L75" s="7"/>
    </row>
    <row r="76" spans="1:15" x14ac:dyDescent="0.3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21830.644995585571</v>
      </c>
      <c r="J76" s="20">
        <f>SUM(J74:J75)</f>
        <v>65156.914485541725</v>
      </c>
      <c r="K76" s="10"/>
      <c r="L76" s="5"/>
      <c r="N76" s="8"/>
    </row>
    <row r="77" spans="1:15" x14ac:dyDescent="0.3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10.016399999999999</v>
      </c>
      <c r="J77" s="22">
        <f>J76/(J65+0.000000001)</f>
        <v>10.016399999998461</v>
      </c>
      <c r="K77" s="10"/>
      <c r="M77" s="5"/>
      <c r="N77" s="7"/>
    </row>
    <row r="78" spans="1:15" ht="18" x14ac:dyDescent="0.35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3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654.91934986756712</v>
      </c>
      <c r="J80" s="20">
        <f>$G80*J76</f>
        <v>1954.7074345662518</v>
      </c>
      <c r="K80" s="10"/>
    </row>
    <row r="81" spans="1:12" x14ac:dyDescent="0.3">
      <c r="A81" s="10"/>
      <c r="B81" s="137" t="s">
        <v>142</v>
      </c>
      <c r="C81" s="138"/>
      <c r="D81" s="138"/>
      <c r="E81" s="138"/>
      <c r="F81" s="139"/>
      <c r="G81" s="162">
        <f>IFERROR((J81/J74),0)</f>
        <v>6.159607843137254E-2</v>
      </c>
      <c r="H81" s="163"/>
      <c r="I81" s="20">
        <f>G81*I76</f>
        <v>1344.6821213555393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4086.97598268601</v>
      </c>
      <c r="K81" s="10"/>
    </row>
    <row r="82" spans="1:12" x14ac:dyDescent="0.3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218.30644995585573</v>
      </c>
      <c r="J82" s="20">
        <f>$G82*J76</f>
        <v>651.56914485541722</v>
      </c>
      <c r="K82" s="10"/>
    </row>
    <row r="83" spans="1:12" x14ac:dyDescent="0.3">
      <c r="A83" s="10"/>
      <c r="B83" s="137" t="s">
        <v>151</v>
      </c>
      <c r="C83" s="138"/>
      <c r="D83" s="138"/>
      <c r="E83" s="138"/>
      <c r="F83" s="139"/>
      <c r="G83" s="162">
        <f>IFERROR((I83/I74),0)</f>
        <v>4.4982637947645274E-2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0.61471473713734126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3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218.30644995585573</v>
      </c>
      <c r="J85" s="20">
        <f>$G85*J76</f>
        <v>651.56914485541722</v>
      </c>
      <c r="K85" s="10"/>
    </row>
    <row r="86" spans="1:12" x14ac:dyDescent="0.3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218.30644995585573</v>
      </c>
      <c r="J86" s="20">
        <f>$G86*J76</f>
        <v>651.56914485541722</v>
      </c>
      <c r="K86" s="10"/>
    </row>
    <row r="87" spans="1:12" x14ac:dyDescent="0.3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327.45967493378356</v>
      </c>
      <c r="J87" s="20">
        <f>$G87*J76</f>
        <v>977.35371728312589</v>
      </c>
      <c r="K87" s="10"/>
    </row>
    <row r="88" spans="1:12" x14ac:dyDescent="0.3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218.30644995585573</v>
      </c>
      <c r="J88" s="20">
        <f>$G88*J76</f>
        <v>651.56914485541722</v>
      </c>
      <c r="K88" s="10"/>
    </row>
    <row r="89" spans="1:12" x14ac:dyDescent="0.3">
      <c r="A89" s="10"/>
      <c r="B89" s="137" t="s">
        <v>150</v>
      </c>
      <c r="C89" s="138"/>
      <c r="D89" s="138"/>
      <c r="E89" s="138"/>
      <c r="F89" s="139"/>
      <c r="G89" s="162">
        <f>IFERROR((I89/I74),0)</f>
        <v>8.9965275895290547E-2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218.30644995585573</v>
      </c>
      <c r="J90" s="20">
        <f>$G90*J76</f>
        <v>651.56914485541722</v>
      </c>
      <c r="K90" s="10"/>
      <c r="L90" s="5"/>
    </row>
    <row r="91" spans="1:12" x14ac:dyDescent="0.3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1746.4515996468458</v>
      </c>
      <c r="J91" s="20">
        <f>$G91*J76</f>
        <v>5212.5531588433378</v>
      </c>
      <c r="K91" s="10"/>
      <c r="L91" s="5"/>
    </row>
    <row r="92" spans="1:12" x14ac:dyDescent="0.3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21830.644995583021</v>
      </c>
      <c r="J92" s="20">
        <f>SUM(J80:J91)</f>
        <v>32155.03601765581</v>
      </c>
      <c r="K92" s="10"/>
    </row>
    <row r="93" spans="1:12" x14ac:dyDescent="0.3">
      <c r="A93" s="10"/>
      <c r="B93" s="115" t="s">
        <v>158</v>
      </c>
      <c r="C93" s="115"/>
      <c r="D93" s="115"/>
      <c r="E93" s="115"/>
      <c r="F93" s="115"/>
      <c r="G93" s="115"/>
      <c r="H93" s="115"/>
      <c r="I93" s="24">
        <f>I76-I92</f>
        <v>2.5502231437712908E-9</v>
      </c>
      <c r="J93" s="24">
        <f>J76-J92</f>
        <v>33001.878467885916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187</v>
      </c>
      <c r="D108" s="115"/>
      <c r="E108" s="116" t="str">
        <f>CustomerName</f>
        <v>Dan Palmer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188</v>
      </c>
      <c r="D109" s="135"/>
      <c r="E109" s="116" t="str">
        <f>CompanyName</f>
        <v>The Car Spa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129</v>
      </c>
      <c r="D110" s="120"/>
      <c r="E110" s="125" t="str">
        <f>AddressLine1</f>
        <v>1832 King Ave. W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Billings, MT 59102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41.4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3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3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" x14ac:dyDescent="0.35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7.6" x14ac:dyDescent="0.3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0</v>
      </c>
      <c r="D125" s="141"/>
      <c r="E125" s="152">
        <f>'Input Form'!C89</f>
        <v>5.7500000000000002E-2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10"/>
    </row>
    <row r="126" spans="1:11" x14ac:dyDescent="0.3">
      <c r="A126" s="10"/>
      <c r="B126" s="27" t="s">
        <v>120</v>
      </c>
      <c r="C126" s="151">
        <f>'Input Form'!B90</f>
        <v>0</v>
      </c>
      <c r="D126" s="141"/>
      <c r="E126" s="152">
        <f>'Input Form'!C90</f>
        <v>5.7500000000000002E-2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5.7500000000000002E-2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0</v>
      </c>
      <c r="D128" s="141"/>
      <c r="E128" s="152">
        <f>'Input Form'!C92</f>
        <v>5.7500000000000002E-2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10"/>
    </row>
    <row r="129" spans="1:11" x14ac:dyDescent="0.3">
      <c r="A129" s="10"/>
      <c r="B129" s="27" t="s">
        <v>159</v>
      </c>
      <c r="C129" s="151">
        <f>'Input Form'!B93</f>
        <v>0</v>
      </c>
      <c r="D129" s="141"/>
      <c r="E129" s="152">
        <f>'Input Form'!C93</f>
        <v>5.7500000000000002E-2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" x14ac:dyDescent="0.35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" x14ac:dyDescent="0.35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3">
      <c r="A138" s="10"/>
      <c r="B138" s="103" t="s">
        <v>139</v>
      </c>
      <c r="C138" s="103"/>
      <c r="D138" s="103"/>
      <c r="E138" s="103"/>
      <c r="F138" s="103"/>
      <c r="G138" s="146">
        <f>I76</f>
        <v>21830.644995585571</v>
      </c>
      <c r="H138" s="146"/>
      <c r="I138" s="146">
        <f>J76</f>
        <v>65156.914485541725</v>
      </c>
      <c r="J138" s="146"/>
      <c r="K138" s="10"/>
    </row>
    <row r="139" spans="1:11" x14ac:dyDescent="0.3">
      <c r="A139" s="10"/>
      <c r="B139" s="103" t="s">
        <v>163</v>
      </c>
      <c r="C139" s="103"/>
      <c r="D139" s="103"/>
      <c r="E139" s="103"/>
      <c r="F139" s="103"/>
      <c r="G139" s="146">
        <f>I92</f>
        <v>21830.644995583021</v>
      </c>
      <c r="H139" s="146"/>
      <c r="I139" s="146">
        <f>J92</f>
        <v>32155.03601765581</v>
      </c>
      <c r="J139" s="146"/>
      <c r="K139" s="10"/>
    </row>
    <row r="140" spans="1:11" x14ac:dyDescent="0.3">
      <c r="A140" s="10"/>
      <c r="B140" s="103" t="s">
        <v>158</v>
      </c>
      <c r="C140" s="103"/>
      <c r="D140" s="103"/>
      <c r="E140" s="103"/>
      <c r="F140" s="103"/>
      <c r="G140" s="146">
        <f>G138-G139</f>
        <v>2.5502231437712908E-9</v>
      </c>
      <c r="H140" s="146"/>
      <c r="I140" s="146">
        <f>J93</f>
        <v>33001.878467885916</v>
      </c>
      <c r="J140" s="146"/>
      <c r="K140" s="10"/>
    </row>
    <row r="141" spans="1:11" x14ac:dyDescent="0.3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3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166</v>
      </c>
      <c r="C143" s="103"/>
      <c r="D143" s="103"/>
      <c r="E143" s="103"/>
      <c r="F143" s="103"/>
      <c r="G143" s="146">
        <f>G140-G141-G142</f>
        <v>2.5502231437712908E-9</v>
      </c>
      <c r="H143" s="146"/>
      <c r="I143" s="146">
        <f>I140-I141-I142</f>
        <v>33001.878467885916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187</v>
      </c>
      <c r="D157" s="115"/>
      <c r="E157" s="116" t="str">
        <f>CustomerName</f>
        <v>Dan Palmer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188</v>
      </c>
      <c r="D158" s="135"/>
      <c r="E158" s="116" t="str">
        <f>CompanyName</f>
        <v>The Car Spa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129</v>
      </c>
      <c r="D159" s="120"/>
      <c r="E159" s="125" t="str">
        <f>AddressLine1</f>
        <v>1832 King Ave. W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Billings, MT 59102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78060.278525867645</v>
      </c>
      <c r="J166" s="143"/>
      <c r="K166" s="10"/>
    </row>
    <row r="167" spans="1:11" ht="18" x14ac:dyDescent="0.35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6</v>
      </c>
      <c r="G169" s="140">
        <f>'Input Form'!$D$19</f>
        <v>0.5</v>
      </c>
      <c r="H169" s="141"/>
      <c r="I169" s="20">
        <f>I$166*F169*G169</f>
        <v>234180.83557760293</v>
      </c>
      <c r="J169" s="30">
        <f>IFERROR((I169/I$174),0)</f>
        <v>0.29411764705882348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117090.41778880145</v>
      </c>
      <c r="J170" s="30">
        <f t="shared" ref="J170:J176" si="2">IFERROR((I170/I$174),0)</f>
        <v>0.14705882352941174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0.15</v>
      </c>
      <c r="H171" s="141"/>
      <c r="I171" s="20">
        <f>I$166*F171*G171</f>
        <v>163926.58490432205</v>
      </c>
      <c r="J171" s="30">
        <f t="shared" si="2"/>
        <v>0.20588235294117646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0.2</v>
      </c>
      <c r="H172" s="141"/>
      <c r="I172" s="20">
        <f>I$166*F172*G172</f>
        <v>281017.00269312353</v>
      </c>
      <c r="J172" s="30">
        <f t="shared" si="2"/>
        <v>0.3529411764705882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3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796214.84096385003</v>
      </c>
      <c r="J174" s="30">
        <f t="shared" si="2"/>
        <v>1</v>
      </c>
      <c r="K174" s="10"/>
    </row>
    <row r="175" spans="1:11" x14ac:dyDescent="0.3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-14331.8671373493</v>
      </c>
      <c r="J175" s="30">
        <f t="shared" si="2"/>
        <v>-1.7999999999999999E-2</v>
      </c>
      <c r="K175" s="10"/>
    </row>
    <row r="176" spans="1:11" x14ac:dyDescent="0.3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781882.9738265007</v>
      </c>
      <c r="J176" s="30">
        <f t="shared" si="2"/>
        <v>0.98199999999999998</v>
      </c>
      <c r="K176" s="10"/>
    </row>
    <row r="177" spans="1:11" ht="18" x14ac:dyDescent="0.35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23456.48921479502</v>
      </c>
      <c r="J178" s="30">
        <f>IFERROR((I178/I$176),0)</f>
        <v>0.03</v>
      </c>
      <c r="K178" s="10"/>
    </row>
    <row r="179" spans="1:11" x14ac:dyDescent="0.3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48160.92497997194</v>
      </c>
      <c r="J179" s="30">
        <f t="shared" ref="J179:J196" si="3">IFERROR((I179/I$176),0)</f>
        <v>6.159607843137254E-2</v>
      </c>
      <c r="K179" s="10"/>
    </row>
    <row r="180" spans="1:11" x14ac:dyDescent="0.3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7818.8297382650071</v>
      </c>
      <c r="J180" s="30">
        <f t="shared" si="3"/>
        <v>0.01</v>
      </c>
      <c r="K180" s="10"/>
    </row>
    <row r="181" spans="1:11" x14ac:dyDescent="0.3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1.5347565302864354E-2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0.20973368840282314</v>
      </c>
      <c r="K182" s="10"/>
    </row>
    <row r="183" spans="1:11" x14ac:dyDescent="0.3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7818.8297382650071</v>
      </c>
      <c r="J183" s="30">
        <f t="shared" si="3"/>
        <v>0.01</v>
      </c>
      <c r="K183" s="10"/>
    </row>
    <row r="184" spans="1:11" x14ac:dyDescent="0.3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7818.8297382650071</v>
      </c>
      <c r="J184" s="30">
        <f t="shared" si="3"/>
        <v>0.01</v>
      </c>
      <c r="K184" s="10"/>
    </row>
    <row r="185" spans="1:11" x14ac:dyDescent="0.3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11728.24460739751</v>
      </c>
      <c r="J185" s="30">
        <f t="shared" si="3"/>
        <v>1.4999999999999999E-2</v>
      </c>
      <c r="K185" s="10"/>
    </row>
    <row r="186" spans="1:11" x14ac:dyDescent="0.3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7818.8297382650071</v>
      </c>
      <c r="J186" s="30">
        <f t="shared" si="3"/>
        <v>0.01</v>
      </c>
      <c r="K186" s="10"/>
    </row>
    <row r="187" spans="1:11" x14ac:dyDescent="0.3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3.0695130605728708E-2</v>
      </c>
      <c r="K187" s="10"/>
    </row>
    <row r="188" spans="1:11" x14ac:dyDescent="0.3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7818.8297382650071</v>
      </c>
      <c r="J188" s="30">
        <f t="shared" si="3"/>
        <v>0.01</v>
      </c>
      <c r="K188" s="10"/>
    </row>
    <row r="189" spans="1:11" x14ac:dyDescent="0.3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62550.637906120057</v>
      </c>
      <c r="J189" s="30">
        <f t="shared" si="3"/>
        <v>0.08</v>
      </c>
      <c r="K189" s="10"/>
    </row>
    <row r="190" spans="1:11" x14ac:dyDescent="0.3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384977.64539960964</v>
      </c>
      <c r="J190" s="30">
        <f t="shared" si="3"/>
        <v>0.49237246274278884</v>
      </c>
      <c r="K190" s="10"/>
    </row>
    <row r="191" spans="1:11" x14ac:dyDescent="0.3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396905.32842689106</v>
      </c>
      <c r="J191" s="30">
        <f t="shared" si="3"/>
        <v>0.50762753725721121</v>
      </c>
      <c r="K191" s="10"/>
    </row>
    <row r="192" spans="1:11" ht="18" x14ac:dyDescent="0.35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396905.32842689106</v>
      </c>
      <c r="J196" s="30">
        <f t="shared" si="3"/>
        <v>0.50762753725721121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187</v>
      </c>
      <c r="D208" s="115"/>
      <c r="E208" s="116" t="str">
        <f>CustomerName</f>
        <v>Dan Palmer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188</v>
      </c>
      <c r="D209" s="135"/>
      <c r="E209" s="116" t="str">
        <f>CompanyName</f>
        <v>The Car Spa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129</v>
      </c>
      <c r="D210" s="120"/>
      <c r="E210" s="125" t="str">
        <f>AddressLine1</f>
        <v>1832 King Ave. W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Billings, MT 59102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103029.87072513587</v>
      </c>
      <c r="J217" s="143"/>
      <c r="K217" s="10"/>
    </row>
    <row r="218" spans="1:11" ht="18" x14ac:dyDescent="0.35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7.6" x14ac:dyDescent="0.3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6</v>
      </c>
      <c r="G220" s="140">
        <f>'Input Form'!$D$19</f>
        <v>0.5</v>
      </c>
      <c r="H220" s="141"/>
      <c r="I220" s="20">
        <f>I$217*F220*G220</f>
        <v>309089.61217540759</v>
      </c>
      <c r="J220" s="30">
        <f>IFERROR((I220/I$225),0)</f>
        <v>0.29411764705882348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0.15</v>
      </c>
      <c r="H221" s="141"/>
      <c r="I221" s="20">
        <f>I$217*F221*G221</f>
        <v>154544.80608770382</v>
      </c>
      <c r="J221" s="30">
        <f t="shared" ref="J221:J227" si="4">IFERROR((I221/I$225),0)</f>
        <v>0.14705882352941177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14</v>
      </c>
      <c r="G222" s="140">
        <f>'Input Form'!$D$21</f>
        <v>0.15</v>
      </c>
      <c r="H222" s="141"/>
      <c r="I222" s="20">
        <f>I$217*F222*G222</f>
        <v>216362.72852278533</v>
      </c>
      <c r="J222" s="30">
        <f t="shared" si="4"/>
        <v>0.20588235294117646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18</v>
      </c>
      <c r="G223" s="140">
        <f>'Input Form'!$D$22</f>
        <v>0.2</v>
      </c>
      <c r="H223" s="141"/>
      <c r="I223" s="20">
        <f>I$217*F223*G223</f>
        <v>370907.53461048915</v>
      </c>
      <c r="J223" s="30">
        <f t="shared" si="4"/>
        <v>0.35294117647058826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3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1050904.6813963859</v>
      </c>
      <c r="J225" s="30">
        <f t="shared" si="4"/>
        <v>1</v>
      </c>
      <c r="K225" s="10"/>
    </row>
    <row r="226" spans="1:11" x14ac:dyDescent="0.3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-18916.284265134946</v>
      </c>
      <c r="J226" s="30">
        <f t="shared" si="4"/>
        <v>-1.7999999999999999E-2</v>
      </c>
      <c r="K226" s="10"/>
    </row>
    <row r="227" spans="1:11" x14ac:dyDescent="0.3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1031988.3971312509</v>
      </c>
      <c r="J227" s="30">
        <f t="shared" si="4"/>
        <v>0.98199999999999998</v>
      </c>
      <c r="K227" s="10"/>
    </row>
    <row r="228" spans="1:11" ht="18" x14ac:dyDescent="0.35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30959.651913937527</v>
      </c>
      <c r="J229" s="30">
        <f>IFERROR((I229/I$227),0)</f>
        <v>0.03</v>
      </c>
      <c r="K229" s="10"/>
    </row>
    <row r="230" spans="1:11" x14ac:dyDescent="0.3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63566.438249962965</v>
      </c>
      <c r="J230" s="30">
        <f t="shared" ref="J230:J247" si="5">IFERROR((I230/I$227),0)</f>
        <v>6.159607843137254E-2</v>
      </c>
      <c r="K230" s="10"/>
    </row>
    <row r="231" spans="1:11" x14ac:dyDescent="0.3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10319.883971312509</v>
      </c>
      <c r="J231" s="30">
        <f t="shared" si="5"/>
        <v>0.01</v>
      </c>
      <c r="K231" s="10"/>
    </row>
    <row r="232" spans="1:11" x14ac:dyDescent="0.3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1.1628037711817227E-2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0.15890411215460953</v>
      </c>
      <c r="K233" s="10"/>
    </row>
    <row r="234" spans="1:11" x14ac:dyDescent="0.3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10319.883971312509</v>
      </c>
      <c r="J234" s="30">
        <f t="shared" si="5"/>
        <v>0.01</v>
      </c>
      <c r="K234" s="10"/>
    </row>
    <row r="235" spans="1:11" x14ac:dyDescent="0.3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10319.883971312509</v>
      </c>
      <c r="J235" s="30">
        <f t="shared" si="5"/>
        <v>0.01</v>
      </c>
      <c r="K235" s="10"/>
    </row>
    <row r="236" spans="1:11" x14ac:dyDescent="0.3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15479.825956968763</v>
      </c>
      <c r="J236" s="30">
        <f t="shared" si="5"/>
        <v>1.4999999999999999E-2</v>
      </c>
      <c r="K236" s="10"/>
    </row>
    <row r="237" spans="1:11" x14ac:dyDescent="0.3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10319.883971312509</v>
      </c>
      <c r="J237" s="30">
        <f t="shared" si="5"/>
        <v>0.01</v>
      </c>
      <c r="K237" s="10"/>
    </row>
    <row r="238" spans="1:11" x14ac:dyDescent="0.3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2.3256075423634455E-2</v>
      </c>
      <c r="K238" s="10"/>
    </row>
    <row r="239" spans="1:11" x14ac:dyDescent="0.3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10319.883971312509</v>
      </c>
      <c r="J239" s="30">
        <f t="shared" si="5"/>
        <v>0.01</v>
      </c>
      <c r="K239" s="10"/>
    </row>
    <row r="240" spans="1:11" x14ac:dyDescent="0.3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82559.071770500072</v>
      </c>
      <c r="J240" s="30">
        <f t="shared" si="5"/>
        <v>0.08</v>
      </c>
      <c r="K240" s="10"/>
    </row>
    <row r="241" spans="1:11" x14ac:dyDescent="0.3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444151.60774793185</v>
      </c>
      <c r="J241" s="30">
        <f t="shared" si="5"/>
        <v>0.43038430372143371</v>
      </c>
      <c r="K241" s="10"/>
    </row>
    <row r="242" spans="1:11" x14ac:dyDescent="0.3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587836.78938331909</v>
      </c>
      <c r="J242" s="30">
        <f t="shared" si="5"/>
        <v>0.56961569627856634</v>
      </c>
      <c r="K242" s="10"/>
    </row>
    <row r="243" spans="1:11" ht="18" x14ac:dyDescent="0.35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587836.78938331909</v>
      </c>
      <c r="J247" s="30">
        <f t="shared" si="5"/>
        <v>0.56961569627856634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187</v>
      </c>
      <c r="D259" s="115"/>
      <c r="E259" s="116" t="str">
        <f>CustomerName</f>
        <v>Dan Palmer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188</v>
      </c>
      <c r="D260" s="135"/>
      <c r="E260" s="116" t="str">
        <f>CompanyName</f>
        <v>The Car Spa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129</v>
      </c>
      <c r="D261" s="120"/>
      <c r="E261" s="125" t="str">
        <f>AddressLine1</f>
        <v>1832 King Ave. W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Billings, MT 59102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111514.68360838236</v>
      </c>
      <c r="J268" s="143"/>
      <c r="K268" s="10"/>
    </row>
    <row r="269" spans="1:11" ht="18" x14ac:dyDescent="0.35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7.6" x14ac:dyDescent="0.3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6</v>
      </c>
      <c r="G271" s="140">
        <f>'Input Form'!$D$19</f>
        <v>0.5</v>
      </c>
      <c r="H271" s="141"/>
      <c r="I271" s="20">
        <f>I$268*F271*G271</f>
        <v>334544.05082514707</v>
      </c>
      <c r="J271" s="30">
        <f>IFERROR((I271/I$276),0)</f>
        <v>0.29411764705882354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0.15</v>
      </c>
      <c r="H272" s="141"/>
      <c r="I272" s="20">
        <f t="shared" ref="I272:I275" si="6">I$268*F272*G272</f>
        <v>167272.02541257354</v>
      </c>
      <c r="J272" s="30">
        <f t="shared" ref="J272:J278" si="7">IFERROR((I272/I$276),0)</f>
        <v>0.14705882352941177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14</v>
      </c>
      <c r="G273" s="140">
        <f>'Input Form'!$D$21</f>
        <v>0.15</v>
      </c>
      <c r="H273" s="141"/>
      <c r="I273" s="20">
        <f t="shared" si="6"/>
        <v>234180.83557760293</v>
      </c>
      <c r="J273" s="30">
        <f t="shared" si="7"/>
        <v>0.20588235294117646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18</v>
      </c>
      <c r="G274" s="140">
        <f>'Input Form'!$D$22</f>
        <v>0.2</v>
      </c>
      <c r="H274" s="141"/>
      <c r="I274" s="20">
        <f t="shared" si="6"/>
        <v>401452.8609901765</v>
      </c>
      <c r="J274" s="30">
        <f t="shared" si="7"/>
        <v>0.35294117647058826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3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1137449.7728055001</v>
      </c>
      <c r="J276" s="30">
        <f t="shared" si="7"/>
        <v>1</v>
      </c>
      <c r="K276" s="10"/>
    </row>
    <row r="277" spans="1:11" x14ac:dyDescent="0.3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-20474.095910499</v>
      </c>
      <c r="J277" s="30">
        <f t="shared" si="7"/>
        <v>-1.7999999999999999E-2</v>
      </c>
      <c r="K277" s="10"/>
    </row>
    <row r="278" spans="1:11" x14ac:dyDescent="0.3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1116975.676895001</v>
      </c>
      <c r="J278" s="30">
        <f t="shared" si="7"/>
        <v>0.98199999999999987</v>
      </c>
      <c r="K278" s="10"/>
    </row>
    <row r="279" spans="1:11" ht="18" x14ac:dyDescent="0.35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33509.270306850027</v>
      </c>
      <c r="J280" s="30">
        <f>IFERROR((I280/I$278),0)</f>
        <v>0.03</v>
      </c>
      <c r="K280" s="10"/>
    </row>
    <row r="281" spans="1:11" x14ac:dyDescent="0.3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68801.32139995991</v>
      </c>
      <c r="J281" s="30">
        <f t="shared" ref="J281:J298" si="8">IFERROR((I281/I$278),0)</f>
        <v>6.159607843137254E-2</v>
      </c>
      <c r="K281" s="10"/>
    </row>
    <row r="282" spans="1:11" x14ac:dyDescent="0.3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11169.75676895001</v>
      </c>
      <c r="J282" s="30">
        <f t="shared" si="8"/>
        <v>0.01</v>
      </c>
      <c r="K282" s="10"/>
    </row>
    <row r="283" spans="1:11" x14ac:dyDescent="0.3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1.0743295712005049E-2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0.14681358188197619</v>
      </c>
      <c r="K284" s="10"/>
    </row>
    <row r="285" spans="1:11" x14ac:dyDescent="0.3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11169.75676895001</v>
      </c>
      <c r="J285" s="30">
        <f t="shared" si="8"/>
        <v>0.01</v>
      </c>
      <c r="K285" s="10"/>
    </row>
    <row r="286" spans="1:11" x14ac:dyDescent="0.3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11169.75676895001</v>
      </c>
      <c r="J286" s="30">
        <f t="shared" si="8"/>
        <v>0.01</v>
      </c>
      <c r="K286" s="10"/>
    </row>
    <row r="287" spans="1:11" x14ac:dyDescent="0.3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16754.635153425013</v>
      </c>
      <c r="J287" s="30">
        <f t="shared" si="8"/>
        <v>1.4999999999999999E-2</v>
      </c>
      <c r="K287" s="10"/>
    </row>
    <row r="288" spans="1:11" x14ac:dyDescent="0.3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11169.75676895001</v>
      </c>
      <c r="J288" s="30">
        <f t="shared" si="8"/>
        <v>0.01</v>
      </c>
      <c r="K288" s="10"/>
    </row>
    <row r="289" spans="1:11" x14ac:dyDescent="0.3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2.1486591424010097E-2</v>
      </c>
      <c r="K289" s="10"/>
    </row>
    <row r="290" spans="1:11" x14ac:dyDescent="0.3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11169.75676895001</v>
      </c>
      <c r="J290" s="30">
        <f t="shared" si="8"/>
        <v>0.01</v>
      </c>
      <c r="K290" s="10"/>
    </row>
    <row r="291" spans="1:11" x14ac:dyDescent="0.3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89358.054151600081</v>
      </c>
      <c r="J291" s="30">
        <f t="shared" si="8"/>
        <v>0.08</v>
      </c>
      <c r="K291" s="10"/>
    </row>
    <row r="292" spans="1:11" x14ac:dyDescent="0.3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464259.26485658519</v>
      </c>
      <c r="J292" s="30">
        <f t="shared" si="8"/>
        <v>0.41563954744936399</v>
      </c>
      <c r="K292" s="10"/>
    </row>
    <row r="293" spans="1:11" x14ac:dyDescent="0.3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652716.41203841579</v>
      </c>
      <c r="J293" s="30">
        <f t="shared" si="8"/>
        <v>0.58436045255063607</v>
      </c>
      <c r="K293" s="10"/>
    </row>
    <row r="294" spans="1:11" ht="18" x14ac:dyDescent="0.35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652716.41203841579</v>
      </c>
      <c r="J298" s="30">
        <f t="shared" si="8"/>
        <v>0.58436045255063607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187</v>
      </c>
      <c r="D310" s="115"/>
      <c r="E310" s="116" t="str">
        <f>CustomerName</f>
        <v>Dan Palmer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188</v>
      </c>
      <c r="D311" s="135"/>
      <c r="E311" s="116" t="str">
        <f>CompanyName</f>
        <v>The Car Spa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129</v>
      </c>
      <c r="D312" s="120"/>
      <c r="E312" s="125" t="str">
        <f>AddressLine1</f>
        <v>1832 King Ave. W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Billings, MT 59102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115594.48910625</v>
      </c>
      <c r="J319" s="143"/>
      <c r="K319" s="10"/>
    </row>
    <row r="320" spans="1:11" ht="18" x14ac:dyDescent="0.35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7.6" x14ac:dyDescent="0.3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6</v>
      </c>
      <c r="G322" s="140">
        <f>'Input Form'!$D$19</f>
        <v>0.5</v>
      </c>
      <c r="H322" s="141"/>
      <c r="I322" s="20">
        <f>I$319*F322*G322</f>
        <v>346783.46731874999</v>
      </c>
      <c r="J322" s="30">
        <f>IFERROR((I322/I$327),0)</f>
        <v>0.29411764705882354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0.15</v>
      </c>
      <c r="H323" s="141"/>
      <c r="I323" s="20">
        <f>I$319*F323*G323</f>
        <v>173391.73365937499</v>
      </c>
      <c r="J323" s="30">
        <f t="shared" ref="J323:J329" si="9">IFERROR((I323/I$327),0)</f>
        <v>0.14705882352941177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14</v>
      </c>
      <c r="G324" s="140">
        <f>'Input Form'!$D$21</f>
        <v>0.15</v>
      </c>
      <c r="H324" s="141"/>
      <c r="I324" s="20">
        <f>I$319*F324*G324</f>
        <v>242748.42712312497</v>
      </c>
      <c r="J324" s="30">
        <f t="shared" si="9"/>
        <v>0.20588235294117646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18</v>
      </c>
      <c r="G325" s="140">
        <f>'Input Form'!$D$22</f>
        <v>0.2</v>
      </c>
      <c r="H325" s="141"/>
      <c r="I325" s="20">
        <f>I$319*F325*G325</f>
        <v>416140.1607825</v>
      </c>
      <c r="J325" s="30">
        <f t="shared" si="9"/>
        <v>0.35294117647058826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3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1179063.7888837499</v>
      </c>
      <c r="J327" s="30">
        <f t="shared" si="9"/>
        <v>1</v>
      </c>
      <c r="K327" s="10"/>
    </row>
    <row r="328" spans="1:11" x14ac:dyDescent="0.3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-21223.148199907497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1157840.6406838424</v>
      </c>
      <c r="J329" s="30">
        <f t="shared" si="9"/>
        <v>0.98199999999999998</v>
      </c>
      <c r="K329" s="10"/>
    </row>
    <row r="330" spans="1:11" ht="18" x14ac:dyDescent="0.35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34735.219220515268</v>
      </c>
      <c r="J331" s="30">
        <f>IFERROR((I331/I$329),0)</f>
        <v>0.03</v>
      </c>
      <c r="K331" s="10"/>
    </row>
    <row r="332" spans="1:11" x14ac:dyDescent="0.3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71318.442914592582</v>
      </c>
      <c r="J332" s="30">
        <f t="shared" ref="J332:J344" si="10">IFERROR((I332/I$329),0)</f>
        <v>6.159607843137254E-2</v>
      </c>
      <c r="K332" s="10"/>
    </row>
    <row r="333" spans="1:11" x14ac:dyDescent="0.3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11578.406406838423</v>
      </c>
      <c r="J333" s="30">
        <f t="shared" si="10"/>
        <v>0.01</v>
      </c>
      <c r="K333" s="10"/>
    </row>
    <row r="334" spans="1:11" x14ac:dyDescent="0.3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1.03641205692284E-2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0.14163192605084765</v>
      </c>
      <c r="K335" s="10"/>
    </row>
    <row r="336" spans="1:11" x14ac:dyDescent="0.3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11578.406406838423</v>
      </c>
      <c r="J336" s="30">
        <f t="shared" si="10"/>
        <v>0.01</v>
      </c>
      <c r="K336" s="10"/>
    </row>
    <row r="337" spans="1:11" x14ac:dyDescent="0.3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11578.406406838423</v>
      </c>
      <c r="J337" s="30">
        <f t="shared" si="10"/>
        <v>0.01</v>
      </c>
      <c r="K337" s="10"/>
    </row>
    <row r="338" spans="1:11" x14ac:dyDescent="0.3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17367.609610257634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11578.406406838423</v>
      </c>
      <c r="J339" s="30">
        <f t="shared" si="10"/>
        <v>0.01</v>
      </c>
      <c r="K339" s="10"/>
    </row>
    <row r="340" spans="1:11" x14ac:dyDescent="0.3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2.07282411384568E-2</v>
      </c>
      <c r="K340" s="10"/>
    </row>
    <row r="341" spans="1:11" x14ac:dyDescent="0.3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11578.406406838423</v>
      </c>
      <c r="J341" s="30">
        <f t="shared" si="10"/>
        <v>0.01</v>
      </c>
      <c r="K341" s="10"/>
    </row>
    <row r="342" spans="1:11" x14ac:dyDescent="0.3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92627.251254707386</v>
      </c>
      <c r="J342" s="30">
        <f t="shared" si="10"/>
        <v>0.08</v>
      </c>
      <c r="K342" s="10"/>
    </row>
    <row r="343" spans="1:11" x14ac:dyDescent="0.3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473927.75503426511</v>
      </c>
      <c r="J343" s="30">
        <f t="shared" si="10"/>
        <v>0.40932036618990547</v>
      </c>
      <c r="K343" s="10"/>
    </row>
    <row r="344" spans="1:11" x14ac:dyDescent="0.3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683912.88564957725</v>
      </c>
      <c r="J344" s="30">
        <f t="shared" si="10"/>
        <v>0.59067963381009458</v>
      </c>
      <c r="K344" s="10"/>
    </row>
    <row r="345" spans="1:11" ht="18" x14ac:dyDescent="0.35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683912.88564957725</v>
      </c>
      <c r="J349" s="30">
        <f t="shared" si="11"/>
        <v>0.59067963381009458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187</v>
      </c>
      <c r="D361" s="115"/>
      <c r="E361" s="116" t="str">
        <f>CustomerName</f>
        <v>Dan Palmer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188</v>
      </c>
      <c r="D362" s="135"/>
      <c r="E362" s="116" t="str">
        <f>CompanyName</f>
        <v>The Car Spa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129</v>
      </c>
      <c r="D363" s="120"/>
      <c r="E363" s="125" t="str">
        <f>AddressLine1</f>
        <v>1832 King Ave. W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Billings, MT 59102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124720.36982516448</v>
      </c>
      <c r="J370" s="143"/>
      <c r="K370" s="10"/>
    </row>
    <row r="371" spans="1:11" ht="18" x14ac:dyDescent="0.35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7.6" x14ac:dyDescent="0.3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6</v>
      </c>
      <c r="G373" s="140">
        <f>'Input Form'!$D$19</f>
        <v>0.5</v>
      </c>
      <c r="H373" s="141"/>
      <c r="I373" s="20">
        <f>I$370*F373*G373</f>
        <v>374161.10947549343</v>
      </c>
      <c r="J373" s="30">
        <f>IFERROR((I373/I$378),0)</f>
        <v>0.29411764705882354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0.15</v>
      </c>
      <c r="H374" s="141"/>
      <c r="I374" s="20">
        <f t="shared" ref="I374:I377" si="12">I$370*F374*G374</f>
        <v>187080.55473774672</v>
      </c>
      <c r="J374" s="30">
        <f t="shared" ref="J374:J380" si="13">IFERROR((I374/I$378),0)</f>
        <v>0.14705882352941177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14</v>
      </c>
      <c r="G375" s="140">
        <f>'Input Form'!$D$21</f>
        <v>0.15</v>
      </c>
      <c r="H375" s="141"/>
      <c r="I375" s="20">
        <f t="shared" si="12"/>
        <v>261912.7766328454</v>
      </c>
      <c r="J375" s="30">
        <f t="shared" si="13"/>
        <v>0.20588235294117646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18</v>
      </c>
      <c r="G376" s="140">
        <f>'Input Form'!$D$22</f>
        <v>0.2</v>
      </c>
      <c r="H376" s="141"/>
      <c r="I376" s="20">
        <f t="shared" si="12"/>
        <v>448993.33137059212</v>
      </c>
      <c r="J376" s="30">
        <f t="shared" si="13"/>
        <v>0.35294117647058826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3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1272147.7722166777</v>
      </c>
      <c r="J378" s="30">
        <f t="shared" si="13"/>
        <v>1</v>
      </c>
      <c r="K378" s="10"/>
    </row>
    <row r="379" spans="1:11" x14ac:dyDescent="0.3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-22898.659899900194</v>
      </c>
      <c r="J379" s="30">
        <f t="shared" si="13"/>
        <v>-1.7999999999999999E-2</v>
      </c>
      <c r="K379" s="10"/>
    </row>
    <row r="380" spans="1:11" x14ac:dyDescent="0.3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1249249.1123167775</v>
      </c>
      <c r="J380" s="30">
        <f t="shared" si="13"/>
        <v>0.98199999999999998</v>
      </c>
      <c r="K380" s="10"/>
    </row>
    <row r="381" spans="1:11" ht="18" x14ac:dyDescent="0.35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37477.473369503321</v>
      </c>
      <c r="J382" s="30">
        <f>IFERROR((I382/I$380),0)</f>
        <v>0.03</v>
      </c>
      <c r="K382" s="10"/>
    </row>
    <row r="383" spans="1:11" x14ac:dyDescent="0.3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76948.846302586753</v>
      </c>
      <c r="J383" s="30">
        <f t="shared" ref="J383:J395" si="14">IFERROR((I383/I$380),0)</f>
        <v>6.1596078431372547E-2</v>
      </c>
      <c r="K383" s="10"/>
    </row>
    <row r="384" spans="1:11" x14ac:dyDescent="0.3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12492.491123167774</v>
      </c>
      <c r="J384" s="30">
        <f t="shared" si="14"/>
        <v>0.01</v>
      </c>
      <c r="K384" s="10"/>
    </row>
    <row r="385" spans="1:11" x14ac:dyDescent="0.3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9.6057702836751021E-3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0.13126861438859047</v>
      </c>
      <c r="K386" s="10"/>
    </row>
    <row r="387" spans="1:11" x14ac:dyDescent="0.3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12492.491123167774</v>
      </c>
      <c r="J387" s="30">
        <f t="shared" si="14"/>
        <v>0.01</v>
      </c>
      <c r="K387" s="10"/>
    </row>
    <row r="388" spans="1:11" x14ac:dyDescent="0.3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12492.491123167774</v>
      </c>
      <c r="J388" s="30">
        <f t="shared" si="14"/>
        <v>0.01</v>
      </c>
      <c r="K388" s="10"/>
    </row>
    <row r="389" spans="1:11" x14ac:dyDescent="0.3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18738.736684751661</v>
      </c>
      <c r="J389" s="30">
        <f t="shared" si="14"/>
        <v>1.4999999999999999E-2</v>
      </c>
      <c r="K389" s="10"/>
    </row>
    <row r="390" spans="1:11" x14ac:dyDescent="0.3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12492.491123167774</v>
      </c>
      <c r="J390" s="30">
        <f t="shared" si="14"/>
        <v>0.01</v>
      </c>
      <c r="K390" s="10"/>
    </row>
    <row r="391" spans="1:11" x14ac:dyDescent="0.3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1.9211540567350204E-2</v>
      </c>
      <c r="K391" s="10"/>
    </row>
    <row r="392" spans="1:11" x14ac:dyDescent="0.3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12492.491123167774</v>
      </c>
      <c r="J392" s="30">
        <f t="shared" si="14"/>
        <v>0.01</v>
      </c>
      <c r="K392" s="10"/>
    </row>
    <row r="393" spans="1:11" x14ac:dyDescent="0.3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99939.928985342194</v>
      </c>
      <c r="J393" s="30">
        <f t="shared" si="14"/>
        <v>0.08</v>
      </c>
      <c r="K393" s="10"/>
    </row>
    <row r="394" spans="1:11" x14ac:dyDescent="0.3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495554.64095802291</v>
      </c>
      <c r="J394" s="30">
        <f t="shared" si="14"/>
        <v>0.39668200367098838</v>
      </c>
      <c r="K394" s="10"/>
    </row>
    <row r="395" spans="1:11" x14ac:dyDescent="0.3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753694.47135875456</v>
      </c>
      <c r="J395" s="30">
        <f t="shared" si="14"/>
        <v>0.60331799632901162</v>
      </c>
      <c r="K395" s="10"/>
    </row>
    <row r="396" spans="1:11" ht="18" x14ac:dyDescent="0.35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753694.47135875456</v>
      </c>
      <c r="J400" s="30">
        <f t="shared" si="15"/>
        <v>0.60331799632901162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187</v>
      </c>
      <c r="D412" s="115"/>
      <c r="E412" s="116" t="str">
        <f>CustomerName</f>
        <v>Dan Palmer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188</v>
      </c>
      <c r="D413" s="135"/>
      <c r="E413" s="116" t="str">
        <f>CompanyName</f>
        <v>The Car Spa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129</v>
      </c>
      <c r="D414" s="120"/>
      <c r="E414" s="125" t="str">
        <f>AddressLine1</f>
        <v>1832 King Ave. W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Billings, MT 59102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3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3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3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3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3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4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3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2019-04-08T11:50:55Z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