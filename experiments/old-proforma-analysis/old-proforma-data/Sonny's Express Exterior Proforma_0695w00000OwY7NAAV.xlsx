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ew Jersey\Jason Patel\2 Cambridge Drive, Aberdeen Township\"/>
    </mc:Choice>
  </mc:AlternateContent>
  <xr:revisionPtr revIDLastSave="0" documentId="8_{39DC224C-05E4-4760-AAB8-DA78000B0827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<sst xmlns="http://schemas.openxmlformats.org/spreadsheetml/2006/main" count="430" uniqueCount="197">
  <si>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</si>
  <si>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</si>
  <si>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</si>
  <si>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</si>
  <si>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</si>
  <si>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</si>
  <si>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</si>
  <si>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</si>
  <si>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</si>
  <si>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</si>
  <si>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</si>
  <si>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</si>
  <si>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</si>
  <si>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</si>
  <si>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</si>
  <si>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</si>
  <si>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</si>
  <si>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</si>
  <si>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</si>
  <si>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</si>
  <si>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</si>
  <si>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</si>
  <si>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</si>
  <si>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</si>
  <si>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</si>
  <si>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</si>
  <si>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</si>
  <si>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</si>
  <si>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</si>
  <si>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</si>
  <si>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</si>
  <si>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</si>
  <si>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</si>
  <si>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</si>
  <si>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</si>
  <si>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</si>
  <si>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</si>
  <si>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</si>
  <si>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</si>
  <si>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</si>
  <si>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</si>
  <si>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</si>
  <si>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</si>
  <si>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</si>
  <si>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</si>
  <si>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</si>
  <si>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</si>
  <si>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</si>
  <si>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</si>
  <si>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</si>
  <si>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</si>
  <si>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</si>
  <si>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</si>
  <si>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</si>
  <si>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</si>
  <si>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</si>
  <si>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</si>
  <si>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</si>
  <si>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</si>
  <si>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</si>
  <si>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</si>
  <si>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</si>
  <si>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</si>
  <si>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</si>
  <si>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</si>
  <si>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</si>
  <si>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</si>
  <si>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</si>
  <si>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</si>
  <si>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</si>
  <si>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</si>
  <si>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</si>
  <si>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</si>
  <si>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</si>
  <si>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</si>
  <si>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</si>
  <si>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</si>
  <si>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</si>
  <si>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</si>
  <si>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</si>
  <si>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</si>
  <si>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</si>
  <si>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</si>
  <si>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</si>
  <si>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</si>
  <si>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</si>
  <si>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</si>
  <si>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</si>
  <si>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</si>
  <si>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</si>
  <si>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</si>
  <si>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</si>
  <si>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</si>
  <si>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</si>
  <si>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</si>
  <si>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</si>
  <si>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</si>
  <si>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</si>
  <si>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</si>
  <si>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</si>
  <si>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</si>
  <si>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</si>
  <si>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</si>
  <si>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</si>
  <si>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</si>
  <si>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</si>
  <si>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</si>
  <si>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</si>
  <si>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</si>
  <si>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</si>
  <si>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</si>
  <si>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</si>
  <si>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</si>
  <si>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</si>
  <si>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</si>
  <si>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</si>
  <si>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</si>
  <si>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</si>
  <si>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</si>
  <si>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</si>
  <si>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</si>
  <si>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</si>
  <si>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</si>
  <si>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</si>
  <si>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</si>
  <si>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</si>
  <si>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</si>
  <si>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</si>
  <si>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</si>
  <si>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</si>
  <si>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</si>
  <si>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</si>
  <si>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</si>
  <si>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</si>
  <si>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</si>
  <si>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</si>
  <si>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</si>
  <si>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</si>
  <si>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</si>
  <si>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</si>
  <si>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</si>
  <si>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</si>
  <si>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</si>
  <si>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</si>
  <si>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</si>
  <si>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</si>
  <si>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</si>
  <si>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</si>
  <si>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</si>
  <si>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</si>
  <si>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</si>
  <si>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</si>
  <si>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</si>
  <si>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</si>
  <si>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</si>
  <si>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</si>
  <si>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</si>
  <si>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</si>
  <si>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</si>
  <si>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</si>
  <si>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</si>
  <si>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</si>
  <si>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</si>
  <si>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</si>
  <si>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</si>
  <si>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</si>
  <si>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</si>
  <si>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</si>
  <si>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</si>
  <si>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</si>
  <si>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</si>
  <si>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</si>
  <si>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</si>
  <si>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</si>
  <si>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</si>
  <si>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</si>
  <si>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</si>
  <si>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</si>
  <si>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</si>
  <si>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</si>
  <si>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</si>
  <si>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</si>
  <si>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</si>
  <si>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</si>
  <si>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</si>
  <si>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</si>
  <si>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</si>
  <si>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</si>
  <si>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</si>
  <si>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</si>
  <si>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</si>
  <si>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</si>
  <si>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</si>
  <si>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Jason Patel</t>
  </si>
  <si>
    <t>Aberdeen Express Car Wash</t>
  </si>
  <si>
    <t>2 Cambridge Dr.</t>
  </si>
  <si>
    <t>Aberdeen Township NJ 07747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</si>
</sst>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67" zoomScaleNormal="100" workbookViewId="0">
      <selection activeCell="A71" sqref="A7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0" t="s">
        <v>40</v>
      </c>
      <c r="B1" s="90"/>
      <c r="C1" s="90"/>
      <c r="D1" s="90"/>
      <c r="E1" s="34"/>
      <c r="F1" s="34"/>
    </row>
    <row r="2" spans="1:9" ht="15.5" x14ac:dyDescent="0.35">
      <c r="A2" s="35" t="s">
        <v>11</v>
      </c>
      <c r="B2" s="86" t="s">
        <v>193</v>
      </c>
      <c r="C2" s="87"/>
      <c r="D2" s="88"/>
      <c r="E2" s="34"/>
      <c r="F2" s="34"/>
    </row>
    <row r="3" spans="1:9" ht="15.5" x14ac:dyDescent="0.35">
      <c r="A3" s="35" t="s">
        <v>14</v>
      </c>
      <c r="B3" s="86" t="s">
        <v>194</v>
      </c>
      <c r="C3" s="87"/>
      <c r="D3" s="88"/>
      <c r="E3" s="34"/>
      <c r="F3" s="34"/>
    </row>
    <row r="4" spans="1:9" ht="15.5" x14ac:dyDescent="0.35">
      <c r="A4" s="35" t="s">
        <v>12</v>
      </c>
      <c r="B4" s="86"/>
      <c r="C4" s="87"/>
      <c r="D4" s="88"/>
      <c r="E4" s="34"/>
      <c r="F4" s="34"/>
    </row>
    <row r="5" spans="1:9" ht="15.5" x14ac:dyDescent="0.35">
      <c r="A5" s="35" t="s">
        <v>13</v>
      </c>
      <c r="B5" s="86" t="s">
        <v>195</v>
      </c>
      <c r="C5" s="87"/>
      <c r="D5" s="88"/>
      <c r="E5" s="34"/>
      <c r="F5" s="34"/>
    </row>
    <row r="6" spans="1:9" ht="15.5" x14ac:dyDescent="0.35">
      <c r="A6" s="35" t="s">
        <v>15</v>
      </c>
      <c r="B6" s="86" t="s">
        <v>196</v>
      </c>
      <c r="C6" s="87"/>
      <c r="D6" s="88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9" t="s">
        <v>39</v>
      </c>
      <c r="B11" s="89"/>
      <c r="C11" s="89"/>
      <c r="D11" s="89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79" t="s">
        <v>38</v>
      </c>
      <c r="B17" s="80"/>
      <c r="C17" s="80"/>
      <c r="D17" s="81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0.45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0.88600000000000001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1.873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2.121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79" t="s">
        <v>43</v>
      </c>
      <c r="B25" s="80"/>
      <c r="C25" s="80"/>
      <c r="D25" s="80"/>
      <c r="E25" s="81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79" t="s">
        <v>58</v>
      </c>
      <c r="B33" s="80"/>
      <c r="C33" s="80"/>
      <c r="D33" s="80"/>
      <c r="E33" s="80"/>
      <c r="F33" s="81"/>
    </row>
    <row r="34" spans="1:6" ht="15.5" x14ac:dyDescent="0.25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8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28" x14ac:dyDescent="0.25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" x14ac:dyDescent="0.25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83" t="s">
        <v>0</v>
      </c>
      <c r="B54" s="84"/>
      <c r="C54" s="84"/>
      <c r="D54" s="84"/>
      <c r="E54" s="85"/>
      <c r="F54" s="56">
        <f>F35+F37+F39+F41+F43+F45+F47+F49+F51+F53</f>
        <v>1.0249999999999999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79" t="s">
        <v>1</v>
      </c>
      <c r="B56" s="80"/>
      <c r="C56" s="80"/>
      <c r="D56" s="80"/>
      <c r="E56" s="80"/>
      <c r="F56" s="81"/>
    </row>
    <row r="57" spans="1:8" ht="15.5" x14ac:dyDescent="0.35">
      <c r="A57" s="83" t="s">
        <v>92</v>
      </c>
      <c r="B57" s="84"/>
      <c r="C57" s="84"/>
      <c r="D57" s="85"/>
      <c r="E57" s="59">
        <v>2.8</v>
      </c>
      <c r="F57" s="60">
        <f>IF(E57&lt;2.101,-0.1*(2.1-E57),IF(E57&gt;3,-0.5*(E57-3),0))</f>
        <v>0</v>
      </c>
      <c r="H57" s="2"/>
    </row>
    <row r="58" spans="1:8" ht="15.5" x14ac:dyDescent="0.35">
      <c r="A58" s="83" t="s">
        <v>93</v>
      </c>
      <c r="B58" s="84"/>
      <c r="C58" s="84"/>
      <c r="D58" s="85"/>
      <c r="E58" s="45">
        <v>0.51</v>
      </c>
      <c r="F58" s="61">
        <f>-0.3*(0.55-E58)</f>
        <v>-1.2000000000000011E-2</v>
      </c>
    </row>
    <row r="59" spans="1:8" ht="15.5" x14ac:dyDescent="0.35">
      <c r="A59" s="83" t="s">
        <v>3</v>
      </c>
      <c r="B59" s="84"/>
      <c r="C59" s="84"/>
      <c r="D59" s="85"/>
      <c r="E59" s="45">
        <v>0.86</v>
      </c>
      <c r="F59" s="61">
        <f>-0.75*(0.5-E59)</f>
        <v>0.27</v>
      </c>
    </row>
    <row r="60" spans="1:8" ht="15.5" x14ac:dyDescent="0.3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5" x14ac:dyDescent="0.35">
      <c r="A61" s="83" t="s">
        <v>94</v>
      </c>
      <c r="B61" s="84"/>
      <c r="C61" s="84"/>
      <c r="D61" s="84"/>
      <c r="E61" s="85"/>
      <c r="F61" s="61">
        <f>SUM(F57:F60)/4</f>
        <v>6.4500000000000002E-2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1" t="s">
        <v>97</v>
      </c>
      <c r="B63" s="91"/>
      <c r="C63" s="91"/>
      <c r="D63" s="91"/>
      <c r="E63" s="91"/>
      <c r="F63" s="91"/>
    </row>
    <row r="64" spans="1:8" ht="15.5" x14ac:dyDescent="0.35">
      <c r="A64" s="83" t="s">
        <v>95</v>
      </c>
      <c r="B64" s="84"/>
      <c r="C64" s="84"/>
      <c r="D64" s="84"/>
      <c r="E64" s="85"/>
      <c r="F64" s="64">
        <f>(F54*0.7)*(1+F61)/85</f>
        <v>8.9856323529411766E-3</v>
      </c>
    </row>
    <row r="65" spans="1:6" ht="15.5" x14ac:dyDescent="0.35">
      <c r="A65" s="83" t="s">
        <v>96</v>
      </c>
      <c r="B65" s="84"/>
      <c r="C65" s="84"/>
      <c r="D65" s="84"/>
      <c r="E65" s="85"/>
      <c r="F65" s="64">
        <f>$F$54*(1+$F$61)/92</f>
        <v>1.1859918478260869E-2</v>
      </c>
    </row>
    <row r="66" spans="1:6" ht="15.5" x14ac:dyDescent="0.35">
      <c r="A66" s="83" t="s">
        <v>10</v>
      </c>
      <c r="B66" s="84"/>
      <c r="C66" s="84"/>
      <c r="D66" s="84"/>
      <c r="E66" s="85"/>
      <c r="F66" s="64">
        <f>$F$54*(1+$F$61)/76</f>
        <v>1.435674342105263E-2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79" t="s">
        <v>102</v>
      </c>
      <c r="B68" s="80"/>
      <c r="C68" s="80"/>
      <c r="D68" s="81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19368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79" t="s">
        <v>103</v>
      </c>
      <c r="B72" s="80"/>
      <c r="C72" s="80"/>
      <c r="D72" s="80"/>
      <c r="E72" s="80"/>
      <c r="F72" s="81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52210.118223529418</v>
      </c>
      <c r="C74" s="68">
        <f>F65*A70*300</f>
        <v>68910.870326086952</v>
      </c>
      <c r="D74" s="68">
        <f>($F$54*(1+$F$61))/85*($A$70*(1+B$70))*300</f>
        <v>74585.883176470583</v>
      </c>
      <c r="E74" s="68">
        <f>($F$54*(1+$F$61))/82*($A$70*(1+C$70))*300</f>
        <v>77314.634999999995</v>
      </c>
      <c r="F74" s="68">
        <f>F66*(A70*(1+D70)*300)</f>
        <v>83418.421973684206</v>
      </c>
    </row>
    <row r="75" spans="1:6" ht="15.5" x14ac:dyDescent="0.35">
      <c r="A75" s="35" t="s">
        <v>105</v>
      </c>
      <c r="B75" s="68">
        <f>B74/12</f>
        <v>4350.8431852941185</v>
      </c>
      <c r="C75" s="68">
        <f>C74/12</f>
        <v>5742.5725271739129</v>
      </c>
      <c r="D75" s="68">
        <f t="shared" ref="D75:F75" si="0">D74/12</f>
        <v>6215.4902647058816</v>
      </c>
      <c r="E75" s="68">
        <f t="shared" si="0"/>
        <v>6442.8862499999996</v>
      </c>
      <c r="F75" s="68">
        <f t="shared" si="0"/>
        <v>6951.5351644736838</v>
      </c>
    </row>
    <row r="76" spans="1:6" ht="15.5" x14ac:dyDescent="0.35">
      <c r="A76" s="35" t="s">
        <v>106</v>
      </c>
      <c r="B76" s="68">
        <f>B75/4.5/7*3</f>
        <v>414.36601764705892</v>
      </c>
      <c r="C76" s="68">
        <f t="shared" ref="C76:F76" si="1">C75/4.5/7*3</f>
        <v>546.91166925465836</v>
      </c>
      <c r="D76" s="68">
        <f t="shared" si="1"/>
        <v>591.95145378151255</v>
      </c>
      <c r="E76" s="68">
        <f t="shared" si="1"/>
        <v>613.60821428571421</v>
      </c>
      <c r="F76" s="68">
        <f t="shared" si="1"/>
        <v>662.05096804511277</v>
      </c>
    </row>
    <row r="77" spans="1:6" ht="15.5" x14ac:dyDescent="0.35">
      <c r="A77" s="35" t="s">
        <v>107</v>
      </c>
      <c r="B77" s="68">
        <f>IFERROR((B76/$B9*1.3),0)</f>
        <v>44.889651911764716</v>
      </c>
      <c r="C77" s="68">
        <f t="shared" ref="C77:F77" si="2">IFERROR((C76/$B9*1.3),0)</f>
        <v>59.248764169254656</v>
      </c>
      <c r="D77" s="68">
        <f t="shared" si="2"/>
        <v>64.128074159663853</v>
      </c>
      <c r="E77" s="68">
        <f t="shared" si="2"/>
        <v>66.474223214285715</v>
      </c>
      <c r="F77" s="68">
        <f t="shared" si="2"/>
        <v>71.722188204887217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9" t="s">
        <v>2</v>
      </c>
      <c r="B79" s="89"/>
      <c r="C79" s="89"/>
      <c r="D79" s="89"/>
      <c r="E79" s="89"/>
      <c r="F79" s="89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79" t="s">
        <v>120</v>
      </c>
      <c r="B87" s="80"/>
      <c r="C87" s="80"/>
      <c r="D87" s="80"/>
      <c r="E87" s="80"/>
      <c r="F87" s="81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79" t="s">
        <v>122</v>
      </c>
      <c r="B95" s="80"/>
      <c r="C95" s="80"/>
      <c r="D95" s="80"/>
      <c r="E95" s="80"/>
      <c r="F95" s="81"/>
    </row>
    <row r="96" spans="1:6" ht="15.5" x14ac:dyDescent="0.35">
      <c r="A96" s="92" t="s">
        <v>123</v>
      </c>
      <c r="B96" s="93"/>
      <c r="C96" s="93"/>
      <c r="D96" s="94"/>
      <c r="E96" s="98" t="s">
        <v>125</v>
      </c>
      <c r="F96" s="99"/>
    </row>
    <row r="97" spans="1:8" ht="15.5" x14ac:dyDescent="0.35">
      <c r="A97" s="95" t="s">
        <v>116</v>
      </c>
      <c r="B97" s="96"/>
      <c r="C97" s="96"/>
      <c r="D97" s="97"/>
      <c r="E97" s="100">
        <v>0</v>
      </c>
      <c r="F97" s="101"/>
    </row>
    <row r="98" spans="1:8" ht="15.5" x14ac:dyDescent="0.35">
      <c r="A98" s="95" t="s">
        <v>117</v>
      </c>
      <c r="B98" s="96"/>
      <c r="C98" s="96"/>
      <c r="D98" s="97"/>
      <c r="E98" s="100">
        <v>0</v>
      </c>
      <c r="F98" s="101"/>
    </row>
    <row r="99" spans="1:8" ht="15.5" x14ac:dyDescent="0.3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5" x14ac:dyDescent="0.3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259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07" t="str">
        <f>'Input Form'!B2</f>
        <v>Jason Patel</v>
      </c>
      <c r="F29" s="107"/>
      <c r="G29" s="107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07" t="str">
        <f>'Input Form'!B3</f>
        <v>Aberdeen Express Car Wash</v>
      </c>
      <c r="F30" s="107"/>
      <c r="G30" s="107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07" t="str">
        <f>'Input Form'!B5</f>
        <v>2 Cambridge Dr.</v>
      </c>
      <c r="F32" s="107"/>
      <c r="G32" s="107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07" t="str">
        <f>'Input Form'!B6</f>
        <v>Aberdeen Township NJ 07747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183</v>
      </c>
      <c r="D56" s="119"/>
      <c r="E56" s="153" t="str">
        <f>CustomerName</f>
        <v>Jason Patel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184</v>
      </c>
      <c r="D57" s="121"/>
      <c r="E57" s="153" t="str">
        <f>CompanyName</f>
        <v>Aberdeen Express Car Wash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3">
      <c r="A59" s="10"/>
      <c r="B59" s="10"/>
      <c r="C59" s="124"/>
      <c r="D59" s="125"/>
      <c r="E59" s="161" t="str">
        <f>AddressLine2</f>
        <v>2 Cambridge Dr.</v>
      </c>
      <c r="F59" s="162"/>
      <c r="G59" s="162"/>
      <c r="H59" s="162"/>
      <c r="I59" s="163"/>
      <c r="J59" s="10"/>
      <c r="K59" s="10"/>
    </row>
    <row r="60" spans="1:11" x14ac:dyDescent="0.3">
      <c r="A60" s="10"/>
      <c r="B60" s="10"/>
      <c r="C60" s="126"/>
      <c r="D60" s="127"/>
      <c r="E60" s="164" t="str">
        <f>AddressLine3</f>
        <v>Aberdeen Township NJ 07747</v>
      </c>
      <c r="F60" s="165"/>
      <c r="G60" s="165"/>
      <c r="H60" s="165"/>
      <c r="I60" s="166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2812.4999324921805</v>
      </c>
      <c r="J65" s="18">
        <f>'Input Form'!B75</f>
        <v>4350.8431852941185</v>
      </c>
      <c r="K65" s="10"/>
    </row>
    <row r="66" spans="1:15" ht="18.5" x14ac:dyDescent="0.45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5624.999864984361</v>
      </c>
      <c r="J69" s="20">
        <f>J$65*F69*G69</f>
        <v>8701.686370588237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5624.999864984361</v>
      </c>
      <c r="J70" s="20">
        <f t="shared" ref="J70:J73" si="0">J$65*F70*G70</f>
        <v>8701.686370588237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6328.1248481074063</v>
      </c>
      <c r="J71" s="20">
        <f t="shared" si="0"/>
        <v>9789.3971669117655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5624.999864984361</v>
      </c>
      <c r="J72" s="20">
        <f t="shared" si="0"/>
        <v>8701.686370588237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0.15</v>
      </c>
      <c r="H73" s="140"/>
      <c r="I73" s="20">
        <f t="shared" si="1"/>
        <v>10546.874746845677</v>
      </c>
      <c r="J73" s="20">
        <f t="shared" si="0"/>
        <v>16315.661944852944</v>
      </c>
      <c r="K73" s="10"/>
    </row>
    <row r="74" spans="1:15" x14ac:dyDescent="0.3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33749.999189906164</v>
      </c>
      <c r="J74" s="20">
        <f>SUM(J69:J73)</f>
        <v>52210.118223529418</v>
      </c>
      <c r="K74" s="10"/>
      <c r="O74" s="5"/>
    </row>
    <row r="75" spans="1:15" x14ac:dyDescent="0.3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-759.37498177288876</v>
      </c>
      <c r="J75" s="20">
        <f>-(J74*$F75*$G75)</f>
        <v>-1174.7276600294119</v>
      </c>
      <c r="K75" s="10"/>
      <c r="L75" s="7"/>
    </row>
    <row r="76" spans="1:15" x14ac:dyDescent="0.3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32990.624208133275</v>
      </c>
      <c r="J76" s="20">
        <f>SUM(J74:J75)</f>
        <v>51035.390563500005</v>
      </c>
      <c r="K76" s="10"/>
      <c r="L76" s="5"/>
      <c r="N76" s="8"/>
    </row>
    <row r="77" spans="1:15" x14ac:dyDescent="0.3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11.729999999999999</v>
      </c>
      <c r="J77" s="22">
        <f>J76/(J65+0.000000001)</f>
        <v>11.729999999997302</v>
      </c>
      <c r="K77" s="10"/>
      <c r="M77" s="5"/>
      <c r="N77" s="7"/>
    </row>
    <row r="78" spans="1:15" ht="18.5" x14ac:dyDescent="0.45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989.71872624399816</v>
      </c>
      <c r="J80" s="20">
        <f>$G80*J76</f>
        <v>1531.0617169050001</v>
      </c>
      <c r="K80" s="10"/>
    </row>
    <row r="81" spans="1:12" x14ac:dyDescent="0.3">
      <c r="A81" s="10"/>
      <c r="B81" s="132" t="s">
        <v>141</v>
      </c>
      <c r="C81" s="133"/>
      <c r="D81" s="133"/>
      <c r="E81" s="133"/>
      <c r="F81" s="134"/>
      <c r="G81" s="130">
        <f>IFERROR((J81/J74),0)</f>
        <v>8.5062500000000013E-2</v>
      </c>
      <c r="H81" s="131"/>
      <c r="I81" s="20">
        <f>G81*I76</f>
        <v>2806.2649717043373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4441.1231813889717</v>
      </c>
      <c r="K81" s="10"/>
    </row>
    <row r="82" spans="1:12" x14ac:dyDescent="0.3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329.90624208133278</v>
      </c>
      <c r="J82" s="20">
        <f>$G82*J76</f>
        <v>510.35390563500005</v>
      </c>
      <c r="K82" s="10"/>
    </row>
    <row r="83" spans="1:12" x14ac:dyDescent="0.3">
      <c r="A83" s="10"/>
      <c r="B83" s="132" t="s">
        <v>150</v>
      </c>
      <c r="C83" s="133"/>
      <c r="D83" s="133"/>
      <c r="E83" s="133"/>
      <c r="F83" s="134"/>
      <c r="G83" s="130">
        <f>IFERROR((I83/I74),0)</f>
        <v>2.9629630340823138E-2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23</v>
      </c>
      <c r="C84" s="133"/>
      <c r="D84" s="133"/>
      <c r="E84" s="133"/>
      <c r="F84" s="134"/>
      <c r="G84" s="130">
        <f>IFERROR((I84/I74),0)</f>
        <v>0.63440001522736422</v>
      </c>
      <c r="H84" s="131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3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329.90624208133278</v>
      </c>
      <c r="J85" s="20">
        <f>$G85*J76</f>
        <v>510.35390563500005</v>
      </c>
      <c r="K85" s="10"/>
    </row>
    <row r="86" spans="1:12" x14ac:dyDescent="0.3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329.90624208133278</v>
      </c>
      <c r="J86" s="20">
        <f>$G86*J76</f>
        <v>510.35390563500005</v>
      </c>
      <c r="K86" s="10"/>
    </row>
    <row r="87" spans="1:12" x14ac:dyDescent="0.3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494.85936312199908</v>
      </c>
      <c r="J87" s="20">
        <f>$G87*J76</f>
        <v>765.53085845250007</v>
      </c>
      <c r="K87" s="10"/>
    </row>
    <row r="88" spans="1:12" x14ac:dyDescent="0.3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329.90624208133278</v>
      </c>
      <c r="J88" s="20">
        <f>$G88*J76</f>
        <v>510.35390563500005</v>
      </c>
      <c r="K88" s="10"/>
    </row>
    <row r="89" spans="1:12" x14ac:dyDescent="0.3">
      <c r="A89" s="10"/>
      <c r="B89" s="132" t="s">
        <v>149</v>
      </c>
      <c r="C89" s="133"/>
      <c r="D89" s="133"/>
      <c r="E89" s="133"/>
      <c r="F89" s="134"/>
      <c r="G89" s="130">
        <f>IFERROR((I89/I74),0)</f>
        <v>5.9259260681646275E-2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329.90624208133278</v>
      </c>
      <c r="J90" s="20">
        <f>$G90*J76</f>
        <v>510.35390563500005</v>
      </c>
      <c r="K90" s="10"/>
      <c r="L90" s="5"/>
    </row>
    <row r="91" spans="1:12" x14ac:dyDescent="0.3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2639.2499366506622</v>
      </c>
      <c r="J91" s="20">
        <f>$G91*J76</f>
        <v>4082.8312450800004</v>
      </c>
      <c r="K91" s="10"/>
      <c r="L91" s="5"/>
    </row>
    <row r="92" spans="1:12" x14ac:dyDescent="0.3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32990.624208127658</v>
      </c>
      <c r="J92" s="20">
        <f>SUM(J80:J91)</f>
        <v>37783.316530001473</v>
      </c>
      <c r="K92" s="10"/>
    </row>
    <row r="93" spans="1:12" x14ac:dyDescent="0.3">
      <c r="A93" s="10"/>
      <c r="B93" s="119" t="s">
        <v>192</v>
      </c>
      <c r="C93" s="119"/>
      <c r="D93" s="119"/>
      <c r="E93" s="119"/>
      <c r="F93" s="119"/>
      <c r="G93" s="119"/>
      <c r="H93" s="119"/>
      <c r="I93" s="24">
        <f>I76-I92</f>
        <v>5.6170392781496048E-9</v>
      </c>
      <c r="J93" s="24">
        <f>J76-J92</f>
        <v>13252.074033498531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183</v>
      </c>
      <c r="D108" s="119"/>
      <c r="E108" s="153" t="str">
        <f>CustomerName</f>
        <v>Jason Patel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184</v>
      </c>
      <c r="D109" s="121"/>
      <c r="E109" s="153" t="str">
        <f>CompanyName</f>
        <v>Aberdeen Express Car Wash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3">
      <c r="A111" s="10"/>
      <c r="B111" s="10"/>
      <c r="C111" s="124"/>
      <c r="D111" s="125"/>
      <c r="E111" s="161" t="str">
        <f>AddressLine2</f>
        <v>2 Cambridge Dr.</v>
      </c>
      <c r="F111" s="162"/>
      <c r="G111" s="162"/>
      <c r="H111" s="162"/>
      <c r="I111" s="163"/>
      <c r="J111" s="10"/>
      <c r="K111" s="10"/>
    </row>
    <row r="112" spans="1:11" x14ac:dyDescent="0.3">
      <c r="A112" s="10"/>
      <c r="B112" s="10"/>
      <c r="C112" s="126"/>
      <c r="D112" s="127"/>
      <c r="E112" s="164" t="str">
        <f>AddressLine3</f>
        <v>Aberdeen Township NJ 07747</v>
      </c>
      <c r="F112" s="165"/>
      <c r="G112" s="165"/>
      <c r="H112" s="165"/>
      <c r="I112" s="166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9" x14ac:dyDescent="0.3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3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5" x14ac:dyDescent="0.45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6" x14ac:dyDescent="0.3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3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3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3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3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3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3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5" x14ac:dyDescent="0.45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3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3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3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3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5" x14ac:dyDescent="0.45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3">
      <c r="A138" s="10"/>
      <c r="B138" s="135" t="s">
        <v>138</v>
      </c>
      <c r="C138" s="135"/>
      <c r="D138" s="135"/>
      <c r="E138" s="135"/>
      <c r="F138" s="135"/>
      <c r="G138" s="167">
        <f>I76</f>
        <v>32990.624208133275</v>
      </c>
      <c r="H138" s="167"/>
      <c r="I138" s="167">
        <f>J76</f>
        <v>51035.390563500005</v>
      </c>
      <c r="J138" s="167"/>
      <c r="K138" s="10"/>
    </row>
    <row r="139" spans="1:11" x14ac:dyDescent="0.3">
      <c r="A139" s="10"/>
      <c r="B139" s="135" t="s">
        <v>162</v>
      </c>
      <c r="C139" s="135"/>
      <c r="D139" s="135"/>
      <c r="E139" s="135"/>
      <c r="F139" s="135"/>
      <c r="G139" s="167">
        <f>I92</f>
        <v>32990.624208127658</v>
      </c>
      <c r="H139" s="167"/>
      <c r="I139" s="167">
        <f>J92</f>
        <v>37783.316530001473</v>
      </c>
      <c r="J139" s="167"/>
      <c r="K139" s="10"/>
    </row>
    <row r="140" spans="1:11" x14ac:dyDescent="0.3">
      <c r="A140" s="10"/>
      <c r="B140" s="135" t="s">
        <v>157</v>
      </c>
      <c r="C140" s="135"/>
      <c r="D140" s="135"/>
      <c r="E140" s="135"/>
      <c r="F140" s="135"/>
      <c r="G140" s="167">
        <f>G138-G139</f>
        <v>5.6170392781496048E-9</v>
      </c>
      <c r="H140" s="167"/>
      <c r="I140" s="167">
        <f>J93</f>
        <v>13252.074033498531</v>
      </c>
      <c r="J140" s="167"/>
      <c r="K140" s="10"/>
    </row>
    <row r="141" spans="1:11" x14ac:dyDescent="0.3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3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3">
      <c r="A143" s="10"/>
      <c r="B143" s="135" t="s">
        <v>165</v>
      </c>
      <c r="C143" s="135"/>
      <c r="D143" s="135"/>
      <c r="E143" s="135"/>
      <c r="F143" s="135"/>
      <c r="G143" s="167">
        <f>G140-G141-G142</f>
        <v>5.6170392781496048E-9</v>
      </c>
      <c r="H143" s="167"/>
      <c r="I143" s="167">
        <f>I140-I141-I142</f>
        <v>13252.074033498531</v>
      </c>
      <c r="J143" s="16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183</v>
      </c>
      <c r="D157" s="119"/>
      <c r="E157" s="153" t="str">
        <f>CustomerName</f>
        <v>Jason Patel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184</v>
      </c>
      <c r="D158" s="121"/>
      <c r="E158" s="153" t="str">
        <f>CompanyName</f>
        <v>Aberdeen Express Car Wash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3">
      <c r="A160" s="10"/>
      <c r="B160" s="10"/>
      <c r="C160" s="124"/>
      <c r="D160" s="125"/>
      <c r="E160" s="161" t="str">
        <f>AddressLine2</f>
        <v>2 Cambridge Dr.</v>
      </c>
      <c r="F160" s="162"/>
      <c r="G160" s="162"/>
      <c r="H160" s="162"/>
      <c r="I160" s="163"/>
      <c r="J160" s="10"/>
      <c r="K160" s="10"/>
    </row>
    <row r="161" spans="1:11" x14ac:dyDescent="0.3">
      <c r="A161" s="10"/>
      <c r="B161" s="10"/>
      <c r="C161" s="126"/>
      <c r="D161" s="127"/>
      <c r="E161" s="164" t="str">
        <f>AddressLine3</f>
        <v>Aberdeen Township NJ 07747</v>
      </c>
      <c r="F161" s="165"/>
      <c r="G161" s="165"/>
      <c r="H161" s="165"/>
      <c r="I161" s="166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52210.118223529418</v>
      </c>
      <c r="J166" s="177"/>
      <c r="K166" s="10"/>
    </row>
    <row r="167" spans="1:11" ht="18.5" x14ac:dyDescent="0.45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3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</v>
      </c>
      <c r="H169" s="140"/>
      <c r="I169" s="20">
        <f>I$166*F169*G169</f>
        <v>104420.23644705885</v>
      </c>
      <c r="J169" s="30">
        <f>IFERROR((I169/I$174),0)</f>
        <v>0.16666666666666666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104420.23644705885</v>
      </c>
      <c r="J170" s="30">
        <f t="shared" ref="J170:J176" si="2">IFERROR((I170/I$174),0)</f>
        <v>0.16666666666666666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117472.76600294119</v>
      </c>
      <c r="J171" s="30">
        <f t="shared" si="2"/>
        <v>0.18749999999999997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104420.23644705885</v>
      </c>
      <c r="J172" s="30">
        <f t="shared" si="2"/>
        <v>0.16666666666666666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195787.94333823532</v>
      </c>
      <c r="J173" s="30">
        <f t="shared" si="2"/>
        <v>0.31249999999999994</v>
      </c>
      <c r="K173" s="10"/>
    </row>
    <row r="174" spans="1:11" x14ac:dyDescent="0.3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626521.41868235311</v>
      </c>
      <c r="J174" s="30">
        <f t="shared" si="2"/>
        <v>1</v>
      </c>
      <c r="K174" s="10"/>
    </row>
    <row r="175" spans="1:11" x14ac:dyDescent="0.3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-14096.731920352944</v>
      </c>
      <c r="J175" s="30">
        <f t="shared" si="2"/>
        <v>-2.2499999999999999E-2</v>
      </c>
      <c r="K175" s="10"/>
    </row>
    <row r="176" spans="1:11" x14ac:dyDescent="0.3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612424.6867620002</v>
      </c>
      <c r="J176" s="30">
        <f t="shared" si="2"/>
        <v>0.97750000000000004</v>
      </c>
      <c r="K176" s="10"/>
    </row>
    <row r="177" spans="1:11" ht="18.5" x14ac:dyDescent="0.45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18372.740602860005</v>
      </c>
      <c r="J178" s="30">
        <f>IFERROR((I178/I$176),0)</f>
        <v>0.03</v>
      </c>
      <c r="K178" s="10"/>
    </row>
    <row r="179" spans="1:11" x14ac:dyDescent="0.3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52094.37491769265</v>
      </c>
      <c r="J179" s="30">
        <f t="shared" ref="J179:J196" si="3">IFERROR((I179/I$176),0)</f>
        <v>8.5062500000000013E-2</v>
      </c>
      <c r="K179" s="10"/>
    </row>
    <row r="180" spans="1:11" x14ac:dyDescent="0.3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6124.2468676200024</v>
      </c>
      <c r="J180" s="30">
        <f t="shared" si="3"/>
        <v>0.01</v>
      </c>
      <c r="K180" s="10"/>
    </row>
    <row r="181" spans="1:11" x14ac:dyDescent="0.3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1.9594246050802042E-2</v>
      </c>
      <c r="K181" s="10"/>
    </row>
    <row r="182" spans="1:11" x14ac:dyDescent="0.3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256932</v>
      </c>
      <c r="J182" s="30">
        <f t="shared" si="3"/>
        <v>0.41953240219372251</v>
      </c>
      <c r="K182" s="10"/>
    </row>
    <row r="183" spans="1:11" x14ac:dyDescent="0.3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6124.2468676200024</v>
      </c>
      <c r="J183" s="30">
        <f t="shared" si="3"/>
        <v>0.01</v>
      </c>
      <c r="K183" s="10"/>
    </row>
    <row r="184" spans="1:11" x14ac:dyDescent="0.3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6124.2468676200024</v>
      </c>
      <c r="J184" s="30">
        <f t="shared" si="3"/>
        <v>0.01</v>
      </c>
      <c r="K184" s="10"/>
    </row>
    <row r="185" spans="1:11" x14ac:dyDescent="0.3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9186.3703014300027</v>
      </c>
      <c r="J185" s="30">
        <f t="shared" si="3"/>
        <v>1.4999999999999999E-2</v>
      </c>
      <c r="K185" s="10"/>
    </row>
    <row r="186" spans="1:11" x14ac:dyDescent="0.3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6124.2468676200024</v>
      </c>
      <c r="J186" s="30">
        <f t="shared" si="3"/>
        <v>0.01</v>
      </c>
      <c r="K186" s="10"/>
    </row>
    <row r="187" spans="1:11" x14ac:dyDescent="0.3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3.9188492101604085E-2</v>
      </c>
      <c r="K187" s="10"/>
    </row>
    <row r="188" spans="1:11" x14ac:dyDescent="0.3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6124.2468676200024</v>
      </c>
      <c r="J188" s="30">
        <f t="shared" si="3"/>
        <v>0.01</v>
      </c>
      <c r="K188" s="10"/>
    </row>
    <row r="189" spans="1:11" x14ac:dyDescent="0.3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48993.974940960019</v>
      </c>
      <c r="J189" s="30">
        <f t="shared" si="3"/>
        <v>0.08</v>
      </c>
      <c r="K189" s="10"/>
    </row>
    <row r="190" spans="1:11" x14ac:dyDescent="0.3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452200.69510104257</v>
      </c>
      <c r="J190" s="30">
        <f t="shared" si="3"/>
        <v>0.73837764034612852</v>
      </c>
      <c r="K190" s="10"/>
    </row>
    <row r="191" spans="1:11" x14ac:dyDescent="0.3">
      <c r="A191" s="10"/>
      <c r="B191" s="119" t="s">
        <v>192</v>
      </c>
      <c r="C191" s="119"/>
      <c r="D191" s="119"/>
      <c r="E191" s="119"/>
      <c r="F191" s="119"/>
      <c r="G191" s="119"/>
      <c r="H191" s="119"/>
      <c r="I191" s="24">
        <f>I176-I190</f>
        <v>160223.99166095763</v>
      </c>
      <c r="J191" s="30">
        <f t="shared" si="3"/>
        <v>0.26162235965387154</v>
      </c>
      <c r="K191" s="10"/>
    </row>
    <row r="192" spans="1:11" ht="18.5" x14ac:dyDescent="0.45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160223.99166095763</v>
      </c>
      <c r="J196" s="30">
        <f t="shared" si="3"/>
        <v>0.26162235965387154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183</v>
      </c>
      <c r="D208" s="119"/>
      <c r="E208" s="153" t="str">
        <f>CustomerName</f>
        <v>Jason Patel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184</v>
      </c>
      <c r="D209" s="121"/>
      <c r="E209" s="153" t="str">
        <f>CompanyName</f>
        <v>Aberdeen Express Car Wash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3">
      <c r="A211" s="10"/>
      <c r="B211" s="10"/>
      <c r="C211" s="124"/>
      <c r="D211" s="125"/>
      <c r="E211" s="161" t="str">
        <f>AddressLine2</f>
        <v>2 Cambridge Dr.</v>
      </c>
      <c r="F211" s="162"/>
      <c r="G211" s="162"/>
      <c r="H211" s="162"/>
      <c r="I211" s="163"/>
      <c r="J211" s="10"/>
      <c r="K211" s="10"/>
    </row>
    <row r="212" spans="1:11" x14ac:dyDescent="0.3">
      <c r="A212" s="10"/>
      <c r="B212" s="10"/>
      <c r="C212" s="126"/>
      <c r="D212" s="127"/>
      <c r="E212" s="164" t="str">
        <f>AddressLine3</f>
        <v>Aberdeen Township NJ 07747</v>
      </c>
      <c r="F212" s="165"/>
      <c r="G212" s="165"/>
      <c r="H212" s="165"/>
      <c r="I212" s="166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68910.870326086952</v>
      </c>
      <c r="J217" s="177"/>
      <c r="K217" s="10"/>
    </row>
    <row r="218" spans="1:11" ht="18.5" x14ac:dyDescent="0.45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6" x14ac:dyDescent="0.3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</v>
      </c>
      <c r="H220" s="140"/>
      <c r="I220" s="20">
        <f>I$217*F220*G220</f>
        <v>137821.7406521739</v>
      </c>
      <c r="J220" s="30">
        <f>IFERROR((I220/I$225),0)</f>
        <v>0.16666666666666669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0.2</v>
      </c>
      <c r="H221" s="140"/>
      <c r="I221" s="20">
        <f>I$217*F221*G221</f>
        <v>137821.7406521739</v>
      </c>
      <c r="J221" s="30">
        <f t="shared" ref="J221:J227" si="4">IFERROR((I221/I$225),0)</f>
        <v>0.16666666666666669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155049.45823369562</v>
      </c>
      <c r="J222" s="30">
        <f t="shared" si="4"/>
        <v>0.1875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</v>
      </c>
      <c r="H223" s="140"/>
      <c r="I223" s="20">
        <f>I$217*F223*G223</f>
        <v>137821.7406521739</v>
      </c>
      <c r="J223" s="30">
        <f t="shared" si="4"/>
        <v>0.16666666666666669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258415.76372282606</v>
      </c>
      <c r="J224" s="30">
        <f t="shared" si="4"/>
        <v>0.3125</v>
      </c>
      <c r="K224" s="10"/>
    </row>
    <row r="225" spans="1:11" x14ac:dyDescent="0.3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826930.44391304336</v>
      </c>
      <c r="J225" s="30">
        <f t="shared" si="4"/>
        <v>1</v>
      </c>
      <c r="K225" s="10"/>
    </row>
    <row r="226" spans="1:11" x14ac:dyDescent="0.3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-18605.934988043475</v>
      </c>
      <c r="J226" s="30">
        <f t="shared" si="4"/>
        <v>-2.2499999999999999E-2</v>
      </c>
      <c r="K226" s="10"/>
    </row>
    <row r="227" spans="1:11" x14ac:dyDescent="0.3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808324.50892499986</v>
      </c>
      <c r="J227" s="30">
        <f t="shared" si="4"/>
        <v>0.97749999999999992</v>
      </c>
      <c r="K227" s="10"/>
    </row>
    <row r="228" spans="1:11" ht="18.5" x14ac:dyDescent="0.45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24249.735267749995</v>
      </c>
      <c r="J229" s="30">
        <f>IFERROR((I229/I$227),0)</f>
        <v>0.03</v>
      </c>
      <c r="K229" s="10"/>
    </row>
    <row r="230" spans="1:11" x14ac:dyDescent="0.3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68758.103540432814</v>
      </c>
      <c r="J230" s="30">
        <f t="shared" ref="J230:J247" si="5">IFERROR((I230/I$227),0)</f>
        <v>8.5062500000000013E-2</v>
      </c>
      <c r="K230" s="10"/>
    </row>
    <row r="231" spans="1:11" x14ac:dyDescent="0.3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8083.2450892499992</v>
      </c>
      <c r="J231" s="30">
        <f t="shared" si="5"/>
        <v>0.01</v>
      </c>
      <c r="K231" s="10"/>
    </row>
    <row r="232" spans="1:11" x14ac:dyDescent="0.3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1.4845522890254731E-2</v>
      </c>
      <c r="K232" s="10"/>
    </row>
    <row r="233" spans="1:11" x14ac:dyDescent="0.3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256932</v>
      </c>
      <c r="J233" s="30">
        <f t="shared" si="5"/>
        <v>0.31785749060324403</v>
      </c>
      <c r="K233" s="10"/>
    </row>
    <row r="234" spans="1:11" x14ac:dyDescent="0.3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8083.2450892499992</v>
      </c>
      <c r="J234" s="30">
        <f t="shared" si="5"/>
        <v>0.01</v>
      </c>
      <c r="K234" s="10"/>
    </row>
    <row r="235" spans="1:11" x14ac:dyDescent="0.3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8083.2450892499992</v>
      </c>
      <c r="J235" s="30">
        <f t="shared" si="5"/>
        <v>0.01</v>
      </c>
      <c r="K235" s="10"/>
    </row>
    <row r="236" spans="1:11" x14ac:dyDescent="0.3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12124.867633874997</v>
      </c>
      <c r="J236" s="30">
        <f t="shared" si="5"/>
        <v>1.4999999999999999E-2</v>
      </c>
      <c r="K236" s="10"/>
    </row>
    <row r="237" spans="1:11" x14ac:dyDescent="0.3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8083.2450892499992</v>
      </c>
      <c r="J237" s="30">
        <f t="shared" si="5"/>
        <v>0.01</v>
      </c>
      <c r="K237" s="10"/>
    </row>
    <row r="238" spans="1:11" x14ac:dyDescent="0.3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2.9691045780509462E-2</v>
      </c>
      <c r="K238" s="10"/>
    </row>
    <row r="239" spans="1:11" x14ac:dyDescent="0.3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8083.2450892499992</v>
      </c>
      <c r="J239" s="30">
        <f t="shared" si="5"/>
        <v>0.01</v>
      </c>
      <c r="K239" s="10"/>
    </row>
    <row r="240" spans="1:11" x14ac:dyDescent="0.3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64665.960713999993</v>
      </c>
      <c r="J240" s="30">
        <f t="shared" si="5"/>
        <v>0.08</v>
      </c>
      <c r="K240" s="10"/>
    </row>
    <row r="241" spans="1:11" x14ac:dyDescent="0.3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503146.89260230766</v>
      </c>
      <c r="J241" s="30">
        <f t="shared" si="5"/>
        <v>0.62245655927400811</v>
      </c>
      <c r="K241" s="10"/>
    </row>
    <row r="242" spans="1:11" x14ac:dyDescent="0.3">
      <c r="A242" s="10"/>
      <c r="B242" s="119" t="s">
        <v>192</v>
      </c>
      <c r="C242" s="119"/>
      <c r="D242" s="119"/>
      <c r="E242" s="119"/>
      <c r="F242" s="119"/>
      <c r="G242" s="119"/>
      <c r="H242" s="119"/>
      <c r="I242" s="24">
        <f>I227-I241</f>
        <v>305177.61632269219</v>
      </c>
      <c r="J242" s="30">
        <f t="shared" si="5"/>
        <v>0.37754344072599189</v>
      </c>
      <c r="K242" s="10"/>
    </row>
    <row r="243" spans="1:11" ht="18.5" x14ac:dyDescent="0.45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305177.61632269219</v>
      </c>
      <c r="J247" s="30">
        <f t="shared" si="5"/>
        <v>0.37754344072599189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183</v>
      </c>
      <c r="D259" s="119"/>
      <c r="E259" s="153" t="str">
        <f>CustomerName</f>
        <v>Jason Patel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184</v>
      </c>
      <c r="D260" s="121"/>
      <c r="E260" s="153" t="str">
        <f>CompanyName</f>
        <v>Aberdeen Express Car Wash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3">
      <c r="A262" s="10"/>
      <c r="B262" s="10"/>
      <c r="C262" s="124"/>
      <c r="D262" s="125"/>
      <c r="E262" s="161" t="str">
        <f>AddressLine2</f>
        <v>2 Cambridge Dr.</v>
      </c>
      <c r="F262" s="162"/>
      <c r="G262" s="162"/>
      <c r="H262" s="162"/>
      <c r="I262" s="163"/>
      <c r="J262" s="10"/>
      <c r="K262" s="10"/>
    </row>
    <row r="263" spans="1:11" x14ac:dyDescent="0.3">
      <c r="A263" s="10"/>
      <c r="B263" s="10"/>
      <c r="C263" s="126"/>
      <c r="D263" s="127"/>
      <c r="E263" s="164" t="str">
        <f>AddressLine3</f>
        <v>Aberdeen Township NJ 07747</v>
      </c>
      <c r="F263" s="165"/>
      <c r="G263" s="165"/>
      <c r="H263" s="165"/>
      <c r="I263" s="166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74585.883176470583</v>
      </c>
      <c r="J268" s="177"/>
      <c r="K268" s="10"/>
    </row>
    <row r="269" spans="1:11" ht="18.5" x14ac:dyDescent="0.45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6" x14ac:dyDescent="0.3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</v>
      </c>
      <c r="H271" s="140"/>
      <c r="I271" s="20">
        <f>I$268*F271*G271</f>
        <v>149171.76635294117</v>
      </c>
      <c r="J271" s="30">
        <f>IFERROR((I271/I$276),0)</f>
        <v>0.16666666666666666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149171.76635294117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167818.2371470588</v>
      </c>
      <c r="J273" s="30">
        <f t="shared" si="7"/>
        <v>0.18749999999999997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</v>
      </c>
      <c r="H274" s="140"/>
      <c r="I274" s="20">
        <f t="shared" si="6"/>
        <v>149171.76635294117</v>
      </c>
      <c r="J274" s="30">
        <f t="shared" si="7"/>
        <v>0.16666666666666666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279697.06191176467</v>
      </c>
      <c r="J275" s="30">
        <f t="shared" si="7"/>
        <v>0.3125</v>
      </c>
      <c r="K275" s="10"/>
    </row>
    <row r="276" spans="1:11" x14ac:dyDescent="0.3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895030.59811764699</v>
      </c>
      <c r="J276" s="30">
        <f t="shared" si="7"/>
        <v>1</v>
      </c>
      <c r="K276" s="10"/>
    </row>
    <row r="277" spans="1:11" x14ac:dyDescent="0.3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-20138.188457647058</v>
      </c>
      <c r="J277" s="30">
        <f t="shared" si="7"/>
        <v>-2.2500000000000003E-2</v>
      </c>
      <c r="K277" s="10"/>
    </row>
    <row r="278" spans="1:11" x14ac:dyDescent="0.3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874892.40965999989</v>
      </c>
      <c r="J278" s="30">
        <f t="shared" si="7"/>
        <v>0.97749999999999992</v>
      </c>
      <c r="K278" s="10"/>
    </row>
    <row r="279" spans="1:11" ht="18.5" x14ac:dyDescent="0.45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26246.772289799996</v>
      </c>
      <c r="J280" s="30">
        <f>IFERROR((I280/I$278),0)</f>
        <v>0.03</v>
      </c>
      <c r="K280" s="10"/>
    </row>
    <row r="281" spans="1:11" x14ac:dyDescent="0.3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74420.535596703747</v>
      </c>
      <c r="J281" s="30">
        <f t="shared" ref="J281:J298" si="8">IFERROR((I281/I$278),0)</f>
        <v>8.5062500000000013E-2</v>
      </c>
      <c r="K281" s="10"/>
    </row>
    <row r="282" spans="1:11" x14ac:dyDescent="0.3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8748.9240965999998</v>
      </c>
      <c r="J282" s="30">
        <f t="shared" si="8"/>
        <v>0.01</v>
      </c>
      <c r="K282" s="10"/>
    </row>
    <row r="283" spans="1:11" x14ac:dyDescent="0.3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1.3715972235561435E-2</v>
      </c>
      <c r="K283" s="10"/>
    </row>
    <row r="284" spans="1:11" x14ac:dyDescent="0.3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256932</v>
      </c>
      <c r="J284" s="30">
        <f t="shared" si="8"/>
        <v>0.29367268153560588</v>
      </c>
      <c r="K284" s="10"/>
    </row>
    <row r="285" spans="1:11" x14ac:dyDescent="0.3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8748.9240965999998</v>
      </c>
      <c r="J285" s="30">
        <f t="shared" si="8"/>
        <v>0.01</v>
      </c>
      <c r="K285" s="10"/>
    </row>
    <row r="286" spans="1:11" x14ac:dyDescent="0.3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8748.9240965999998</v>
      </c>
      <c r="J286" s="30">
        <f t="shared" si="8"/>
        <v>0.01</v>
      </c>
      <c r="K286" s="10"/>
    </row>
    <row r="287" spans="1:11" x14ac:dyDescent="0.3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13123.386144899998</v>
      </c>
      <c r="J287" s="30">
        <f t="shared" si="8"/>
        <v>1.4999999999999999E-2</v>
      </c>
      <c r="K287" s="10"/>
    </row>
    <row r="288" spans="1:11" x14ac:dyDescent="0.3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8748.9240965999998</v>
      </c>
      <c r="J288" s="30">
        <f t="shared" si="8"/>
        <v>0.01</v>
      </c>
      <c r="K288" s="10"/>
    </row>
    <row r="289" spans="1:11" x14ac:dyDescent="0.3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2.743194447112287E-2</v>
      </c>
      <c r="K289" s="10"/>
    </row>
    <row r="290" spans="1:11" x14ac:dyDescent="0.3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8748.9240965999998</v>
      </c>
      <c r="J290" s="30">
        <f t="shared" si="8"/>
        <v>0.01</v>
      </c>
      <c r="K290" s="10"/>
    </row>
    <row r="291" spans="1:11" x14ac:dyDescent="0.3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69991.392772799998</v>
      </c>
      <c r="J291" s="30">
        <f t="shared" si="8"/>
        <v>0.08</v>
      </c>
      <c r="K291" s="10"/>
    </row>
    <row r="292" spans="1:11" x14ac:dyDescent="0.3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520458.70728720364</v>
      </c>
      <c r="J292" s="30">
        <f t="shared" si="8"/>
        <v>0.59488309824229013</v>
      </c>
      <c r="K292" s="10"/>
    </row>
    <row r="293" spans="1:11" x14ac:dyDescent="0.3">
      <c r="A293" s="10"/>
      <c r="B293" s="119" t="s">
        <v>192</v>
      </c>
      <c r="C293" s="119"/>
      <c r="D293" s="119"/>
      <c r="E293" s="119"/>
      <c r="F293" s="119"/>
      <c r="G293" s="119"/>
      <c r="H293" s="119"/>
      <c r="I293" s="24">
        <f>I278-I292</f>
        <v>354433.70237279625</v>
      </c>
      <c r="J293" s="30">
        <f t="shared" si="8"/>
        <v>0.40511690175770987</v>
      </c>
      <c r="K293" s="10"/>
    </row>
    <row r="294" spans="1:11" ht="18.5" x14ac:dyDescent="0.45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354433.70237279625</v>
      </c>
      <c r="J298" s="30">
        <f t="shared" si="8"/>
        <v>0.40511690175770987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183</v>
      </c>
      <c r="D310" s="119"/>
      <c r="E310" s="153" t="str">
        <f>CustomerName</f>
        <v>Jason Patel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184</v>
      </c>
      <c r="D311" s="121"/>
      <c r="E311" s="153" t="str">
        <f>CompanyName</f>
        <v>Aberdeen Express Car Wash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3">
      <c r="A313" s="10"/>
      <c r="B313" s="10"/>
      <c r="C313" s="124"/>
      <c r="D313" s="125"/>
      <c r="E313" s="161" t="str">
        <f>AddressLine2</f>
        <v>2 Cambridge Dr.</v>
      </c>
      <c r="F313" s="162"/>
      <c r="G313" s="162"/>
      <c r="H313" s="162"/>
      <c r="I313" s="163"/>
      <c r="J313" s="10"/>
      <c r="K313" s="10"/>
    </row>
    <row r="314" spans="1:11" x14ac:dyDescent="0.3">
      <c r="A314" s="10"/>
      <c r="B314" s="10"/>
      <c r="C314" s="126"/>
      <c r="D314" s="127"/>
      <c r="E314" s="164" t="str">
        <f>AddressLine3</f>
        <v>Aberdeen Township NJ 07747</v>
      </c>
      <c r="F314" s="165"/>
      <c r="G314" s="165"/>
      <c r="H314" s="165"/>
      <c r="I314" s="166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77314.634999999995</v>
      </c>
      <c r="J319" s="177"/>
      <c r="K319" s="10"/>
    </row>
    <row r="320" spans="1:11" ht="18.5" x14ac:dyDescent="0.45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6" x14ac:dyDescent="0.3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</v>
      </c>
      <c r="H322" s="140"/>
      <c r="I322" s="20">
        <f>I$319*F322*G322</f>
        <v>154629.26999999999</v>
      </c>
      <c r="J322" s="30">
        <f>IFERROR((I322/I$327),0)</f>
        <v>0.16666666666666666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0.2</v>
      </c>
      <c r="H323" s="140"/>
      <c r="I323" s="20">
        <f>I$319*F323*G323</f>
        <v>154629.26999999999</v>
      </c>
      <c r="J323" s="30">
        <f t="shared" ref="J323:J329" si="9">IFERROR((I323/I$327),0)</f>
        <v>0.16666666666666666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173957.92874999999</v>
      </c>
      <c r="J324" s="30">
        <f t="shared" si="9"/>
        <v>0.1875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</v>
      </c>
      <c r="H325" s="140"/>
      <c r="I325" s="20">
        <f>I$319*F325*G325</f>
        <v>154629.26999999999</v>
      </c>
      <c r="J325" s="30">
        <f t="shared" si="9"/>
        <v>0.16666666666666666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289929.88124999998</v>
      </c>
      <c r="J326" s="30">
        <f t="shared" si="9"/>
        <v>0.3125</v>
      </c>
      <c r="K326" s="10"/>
    </row>
    <row r="327" spans="1:11" x14ac:dyDescent="0.3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927775.62</v>
      </c>
      <c r="J327" s="30">
        <f t="shared" si="9"/>
        <v>1</v>
      </c>
      <c r="K327" s="10"/>
    </row>
    <row r="328" spans="1:11" x14ac:dyDescent="0.3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-20874.95145</v>
      </c>
      <c r="J328" s="30">
        <f t="shared" si="9"/>
        <v>-2.2499999999999999E-2</v>
      </c>
      <c r="K328" s="10"/>
    </row>
    <row r="329" spans="1:11" x14ac:dyDescent="0.3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906900.66854999994</v>
      </c>
      <c r="J329" s="30">
        <f t="shared" si="9"/>
        <v>0.97749999999999992</v>
      </c>
      <c r="K329" s="10"/>
    </row>
    <row r="330" spans="1:11" ht="18.5" x14ac:dyDescent="0.45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27207.020056499998</v>
      </c>
      <c r="J331" s="30">
        <f>IFERROR((I331/I$329),0)</f>
        <v>0.03</v>
      </c>
      <c r="K331" s="10"/>
    </row>
    <row r="332" spans="1:11" x14ac:dyDescent="0.3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77143.238118534384</v>
      </c>
      <c r="J332" s="30">
        <f t="shared" ref="J332:J344" si="10">IFERROR((I332/I$329),0)</f>
        <v>8.5062500000000013E-2</v>
      </c>
      <c r="K332" s="10"/>
    </row>
    <row r="333" spans="1:11" x14ac:dyDescent="0.3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9069.0066855000005</v>
      </c>
      <c r="J333" s="30">
        <f t="shared" si="10"/>
        <v>1.0000000000000002E-2</v>
      </c>
      <c r="K333" s="10"/>
    </row>
    <row r="334" spans="1:11" x14ac:dyDescent="0.3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1.3231879097835736E-2</v>
      </c>
      <c r="K334" s="10"/>
    </row>
    <row r="335" spans="1:11" x14ac:dyDescent="0.3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256932</v>
      </c>
      <c r="J335" s="30">
        <f t="shared" si="10"/>
        <v>0.28330776336376096</v>
      </c>
      <c r="K335" s="10"/>
    </row>
    <row r="336" spans="1:11" x14ac:dyDescent="0.3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9069.0066855000005</v>
      </c>
      <c r="J336" s="30">
        <f t="shared" si="10"/>
        <v>1.0000000000000002E-2</v>
      </c>
      <c r="K336" s="10"/>
    </row>
    <row r="337" spans="1:11" x14ac:dyDescent="0.3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9069.0066855000005</v>
      </c>
      <c r="J337" s="30">
        <f t="shared" si="10"/>
        <v>1.0000000000000002E-2</v>
      </c>
      <c r="K337" s="10"/>
    </row>
    <row r="338" spans="1:11" x14ac:dyDescent="0.3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13603.510028249999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9069.0066855000005</v>
      </c>
      <c r="J339" s="30">
        <f t="shared" si="10"/>
        <v>1.0000000000000002E-2</v>
      </c>
      <c r="K339" s="10"/>
    </row>
    <row r="340" spans="1:11" x14ac:dyDescent="0.3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2.6463758195671473E-2</v>
      </c>
      <c r="K340" s="10"/>
    </row>
    <row r="341" spans="1:11" x14ac:dyDescent="0.3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9069.0066855000005</v>
      </c>
      <c r="J341" s="30">
        <f t="shared" si="10"/>
        <v>1.0000000000000002E-2</v>
      </c>
      <c r="K341" s="10"/>
    </row>
    <row r="342" spans="1:11" x14ac:dyDescent="0.3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72552.053484000004</v>
      </c>
      <c r="J342" s="30">
        <f t="shared" si="10"/>
        <v>8.0000000000000016E-2</v>
      </c>
      <c r="K342" s="10"/>
    </row>
    <row r="343" spans="1:11" x14ac:dyDescent="0.3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528782.85511478432</v>
      </c>
      <c r="J343" s="30">
        <f t="shared" si="10"/>
        <v>0.58306590065726815</v>
      </c>
      <c r="K343" s="10"/>
    </row>
    <row r="344" spans="1:11" x14ac:dyDescent="0.3">
      <c r="A344" s="10"/>
      <c r="B344" s="119" t="s">
        <v>192</v>
      </c>
      <c r="C344" s="119"/>
      <c r="D344" s="119"/>
      <c r="E344" s="119"/>
      <c r="F344" s="119"/>
      <c r="G344" s="119"/>
      <c r="H344" s="119"/>
      <c r="I344" s="24">
        <f>I329-I343</f>
        <v>378117.81343521562</v>
      </c>
      <c r="J344" s="30">
        <f t="shared" si="10"/>
        <v>0.41693409934273185</v>
      </c>
      <c r="K344" s="10"/>
    </row>
    <row r="345" spans="1:11" ht="18.5" x14ac:dyDescent="0.45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378117.81343521562</v>
      </c>
      <c r="J349" s="30">
        <f t="shared" si="11"/>
        <v>0.41693409934273185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183</v>
      </c>
      <c r="D361" s="119"/>
      <c r="E361" s="153" t="str">
        <f>CustomerName</f>
        <v>Jason Patel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184</v>
      </c>
      <c r="D362" s="121"/>
      <c r="E362" s="153" t="str">
        <f>CompanyName</f>
        <v>Aberdeen Express Car Wash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3">
      <c r="A364" s="10"/>
      <c r="B364" s="10"/>
      <c r="C364" s="124"/>
      <c r="D364" s="125"/>
      <c r="E364" s="161" t="str">
        <f>AddressLine2</f>
        <v>2 Cambridge Dr.</v>
      </c>
      <c r="F364" s="162"/>
      <c r="G364" s="162"/>
      <c r="H364" s="162"/>
      <c r="I364" s="163"/>
      <c r="J364" s="10"/>
      <c r="K364" s="10"/>
    </row>
    <row r="365" spans="1:11" x14ac:dyDescent="0.3">
      <c r="A365" s="10"/>
      <c r="B365" s="10"/>
      <c r="C365" s="126"/>
      <c r="D365" s="127"/>
      <c r="E365" s="164" t="str">
        <f>AddressLine3</f>
        <v>Aberdeen Township NJ 07747</v>
      </c>
      <c r="F365" s="165"/>
      <c r="G365" s="165"/>
      <c r="H365" s="165"/>
      <c r="I365" s="166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83418.421973684206</v>
      </c>
      <c r="J370" s="177"/>
      <c r="K370" s="10"/>
    </row>
    <row r="371" spans="1:11" ht="18.5" x14ac:dyDescent="0.45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6" x14ac:dyDescent="0.3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</v>
      </c>
      <c r="H373" s="140"/>
      <c r="I373" s="20">
        <f>I$370*F373*G373</f>
        <v>166836.84394736844</v>
      </c>
      <c r="J373" s="30">
        <f>IFERROR((I373/I$378),0)</f>
        <v>0.16666666666666671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166836.84394736844</v>
      </c>
      <c r="J374" s="30">
        <f t="shared" ref="J374:J380" si="13">IFERROR((I374/I$378),0)</f>
        <v>0.16666666666666671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187691.44944078947</v>
      </c>
      <c r="J375" s="30">
        <f t="shared" si="13"/>
        <v>0.18750000000000003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166836.84394736844</v>
      </c>
      <c r="J376" s="30">
        <f t="shared" si="13"/>
        <v>0.16666666666666671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312819.08240131574</v>
      </c>
      <c r="J377" s="30">
        <f t="shared" si="13"/>
        <v>0.3125</v>
      </c>
      <c r="K377" s="10"/>
    </row>
    <row r="378" spans="1:11" x14ac:dyDescent="0.3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1001021.0636842104</v>
      </c>
      <c r="J378" s="30">
        <f t="shared" si="13"/>
        <v>1</v>
      </c>
      <c r="K378" s="10"/>
    </row>
    <row r="379" spans="1:11" x14ac:dyDescent="0.3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-22522.973932894733</v>
      </c>
      <c r="J379" s="30">
        <f t="shared" si="13"/>
        <v>-2.2499999999999999E-2</v>
      </c>
      <c r="K379" s="10"/>
    </row>
    <row r="380" spans="1:11" x14ac:dyDescent="0.3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978498.08975131565</v>
      </c>
      <c r="J380" s="30">
        <f t="shared" si="13"/>
        <v>0.97749999999999992</v>
      </c>
      <c r="K380" s="10"/>
    </row>
    <row r="381" spans="1:11" ht="18.5" x14ac:dyDescent="0.45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29354.942692539469</v>
      </c>
      <c r="J382" s="30">
        <f>IFERROR((I382/I$380),0)</f>
        <v>0.03</v>
      </c>
      <c r="K382" s="10"/>
    </row>
    <row r="383" spans="1:11" x14ac:dyDescent="0.3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83233.493759471297</v>
      </c>
      <c r="J383" s="30">
        <f t="shared" ref="J383:J395" si="14">IFERROR((I383/I$380),0)</f>
        <v>8.5062500000000013E-2</v>
      </c>
      <c r="K383" s="10"/>
    </row>
    <row r="384" spans="1:11" x14ac:dyDescent="0.3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9784.9808975131564</v>
      </c>
      <c r="J384" s="30">
        <f t="shared" si="14"/>
        <v>0.01</v>
      </c>
      <c r="K384" s="10"/>
    </row>
    <row r="385" spans="1:11" x14ac:dyDescent="0.3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1.2263692822384343E-2</v>
      </c>
      <c r="K385" s="10"/>
    </row>
    <row r="386" spans="1:11" x14ac:dyDescent="0.3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256932</v>
      </c>
      <c r="J386" s="30">
        <f t="shared" si="14"/>
        <v>0.26257792702007116</v>
      </c>
      <c r="K386" s="10"/>
    </row>
    <row r="387" spans="1:11" x14ac:dyDescent="0.3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9784.9808975131564</v>
      </c>
      <c r="J387" s="30">
        <f t="shared" si="14"/>
        <v>0.01</v>
      </c>
      <c r="K387" s="10"/>
    </row>
    <row r="388" spans="1:11" x14ac:dyDescent="0.3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9784.9808975131564</v>
      </c>
      <c r="J388" s="30">
        <f t="shared" si="14"/>
        <v>0.01</v>
      </c>
      <c r="K388" s="10"/>
    </row>
    <row r="389" spans="1:11" x14ac:dyDescent="0.3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14677.471346269735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9784.9808975131564</v>
      </c>
      <c r="J390" s="30">
        <f t="shared" si="14"/>
        <v>0.01</v>
      </c>
      <c r="K390" s="10"/>
    </row>
    <row r="391" spans="1:11" x14ac:dyDescent="0.3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2.4527385644768685E-2</v>
      </c>
      <c r="K391" s="10"/>
    </row>
    <row r="392" spans="1:11" x14ac:dyDescent="0.3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9784.9808975131564</v>
      </c>
      <c r="J392" s="30">
        <f t="shared" si="14"/>
        <v>0.01</v>
      </c>
      <c r="K392" s="10"/>
    </row>
    <row r="393" spans="1:11" x14ac:dyDescent="0.3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78279.847180105251</v>
      </c>
      <c r="J393" s="30">
        <f t="shared" si="14"/>
        <v>0.08</v>
      </c>
      <c r="K393" s="10"/>
    </row>
    <row r="394" spans="1:11" x14ac:dyDescent="0.3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547402.6594659515</v>
      </c>
      <c r="J394" s="30">
        <f t="shared" si="14"/>
        <v>0.5594315054872242</v>
      </c>
      <c r="K394" s="10"/>
    </row>
    <row r="395" spans="1:11" x14ac:dyDescent="0.3">
      <c r="A395" s="10"/>
      <c r="B395" s="119" t="s">
        <v>192</v>
      </c>
      <c r="C395" s="119"/>
      <c r="D395" s="119"/>
      <c r="E395" s="119"/>
      <c r="F395" s="119"/>
      <c r="G395" s="119"/>
      <c r="H395" s="119"/>
      <c r="I395" s="24">
        <f>I380-I394</f>
        <v>431095.43028536416</v>
      </c>
      <c r="J395" s="30">
        <f t="shared" si="14"/>
        <v>0.44056849451277585</v>
      </c>
      <c r="K395" s="10"/>
    </row>
    <row r="396" spans="1:11" ht="18.5" x14ac:dyDescent="0.45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431095.43028536416</v>
      </c>
      <c r="J400" s="30">
        <f t="shared" si="15"/>
        <v>0.44056849451277585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183</v>
      </c>
      <c r="D412" s="119"/>
      <c r="E412" s="153" t="str">
        <f>CustomerName</f>
        <v>Jason Patel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184</v>
      </c>
      <c r="D413" s="121"/>
      <c r="E413" s="153" t="str">
        <f>CompanyName</f>
        <v>Aberdeen Express Car Wash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3">
      <c r="A415" s="10"/>
      <c r="B415" s="10"/>
      <c r="C415" s="124"/>
      <c r="D415" s="125"/>
      <c r="E415" s="161" t="str">
        <f>AddressLine2</f>
        <v>2 Cambridge Dr.</v>
      </c>
      <c r="F415" s="162"/>
      <c r="G415" s="162"/>
      <c r="H415" s="162"/>
      <c r="I415" s="163"/>
      <c r="J415" s="10"/>
      <c r="K415" s="10"/>
    </row>
    <row r="416" spans="1:11" x14ac:dyDescent="0.3">
      <c r="A416" s="10"/>
      <c r="B416" s="10"/>
      <c r="C416" s="126"/>
      <c r="D416" s="127"/>
      <c r="E416" s="164" t="str">
        <f>AddressLine3</f>
        <v>Aberdeen Township NJ 07747</v>
      </c>
      <c r="F416" s="165"/>
      <c r="G416" s="165"/>
      <c r="H416" s="165"/>
      <c r="I416" s="166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3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3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3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3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3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2022-03-14T01:54:59Z</dcterms:modified>
</cp:coreProperties>
</file>