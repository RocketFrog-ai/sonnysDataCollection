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NV\5730 S Jones Blvd.,Las Vegas\"/>
    </mc:Choice>
  </mc:AlternateContent>
  <xr:revisionPtr revIDLastSave="0" documentId="14_{18942C7B-6FE0-4EC0-9769-6D01F3213F39}" xr6:coauthVersionLast="47" xr6:coauthVersionMax="47" xr10:uidLastSave="{00000000-0000-0000-0000-000000000000}"/>
  <workbookProtection workbookPassword="FB8D" lockStructure="1"/>
  <bookViews>
    <workbookView xWindow="9510" yWindow="-90" windowWidth="19380" windowHeight="1038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<sst xmlns="http://schemas.openxmlformats.org/spreadsheetml/2006/main" count="431" uniqueCount="198">
  <si>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</si>
  <si>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</si>
  <si>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</si>
  <si>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</si>
  <si>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</si>
  <si>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</si>
  <si>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</si>
  <si>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</si>
  <si>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</si>
  <si>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</si>
  <si>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</si>
  <si>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</si>
  <si>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</si>
  <si>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</si>
  <si>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</si>
  <si>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</si>
  <si>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</si>
  <si>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</si>
  <si>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</si>
  <si>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</si>
  <si>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</si>
  <si>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</si>
  <si>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</si>
  <si>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</si>
  <si>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</si>
  <si>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</si>
  <si>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</si>
  <si>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</si>
  <si>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</si>
  <si>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</si>
  <si>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</si>
  <si>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</si>
  <si>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</si>
  <si>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</si>
  <si>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</si>
  <si>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</si>
  <si>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</si>
  <si>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</si>
  <si>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</si>
  <si>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</si>
  <si>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</si>
  <si>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</si>
  <si>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</si>
  <si>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</si>
  <si>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</si>
  <si>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</si>
  <si>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</si>
  <si>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</si>
  <si>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</si>
  <si>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</si>
  <si>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</si>
  <si>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</si>
  <si>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</si>
  <si>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</si>
  <si>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</si>
  <si>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</si>
  <si>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</si>
  <si>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</si>
  <si>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</si>
  <si>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</si>
  <si>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</si>
  <si>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</si>
  <si>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</si>
  <si>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</si>
  <si>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</si>
  <si>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</si>
  <si>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</si>
  <si>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</si>
  <si>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</si>
  <si>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</si>
  <si>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</si>
  <si>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</si>
  <si>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</si>
  <si>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</si>
  <si>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</si>
  <si>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</si>
  <si>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</si>
  <si>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</si>
  <si>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</si>
  <si>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</si>
  <si>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</si>
  <si>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</si>
  <si>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</si>
  <si>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</si>
  <si>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</si>
  <si>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</si>
  <si>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</si>
  <si>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</si>
  <si>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</si>
  <si>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</si>
  <si>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</si>
  <si>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</si>
  <si>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</si>
  <si>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</si>
  <si>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</si>
  <si>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</si>
  <si>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</si>
  <si>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</si>
  <si>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</si>
  <si>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</si>
  <si>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</si>
  <si>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</si>
  <si>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</si>
  <si>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</si>
  <si>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</si>
  <si>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</si>
  <si>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</si>
  <si>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</si>
  <si>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</si>
  <si>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</si>
  <si>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</si>
  <si>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</si>
  <si>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</si>
  <si>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</si>
  <si>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</si>
  <si>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</si>
  <si>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</si>
  <si>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</si>
  <si>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</si>
  <si>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</si>
  <si>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</si>
  <si>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</si>
  <si>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</si>
  <si>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</si>
  <si>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</si>
  <si>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</si>
  <si>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</si>
  <si>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</si>
  <si>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</si>
  <si>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</si>
  <si>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</si>
  <si>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</si>
  <si>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</si>
  <si>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</si>
  <si>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</si>
  <si>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</si>
  <si>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</si>
  <si>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</si>
  <si>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</si>
  <si>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</si>
  <si>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</si>
  <si>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</si>
  <si>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</si>
  <si>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</si>
  <si>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</si>
  <si>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</si>
  <si>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</si>
  <si>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</si>
  <si>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</si>
  <si>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</si>
  <si>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</si>
  <si>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</si>
  <si>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</si>
  <si>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</si>
  <si>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</si>
  <si>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</si>
  <si>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</si>
  <si>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</si>
  <si>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</si>
  <si>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</si>
  <si>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</si>
  <si>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</si>
  <si>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</si>
  <si>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</si>
  <si>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</si>
  <si>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</si>
  <si>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</si>
  <si>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</si>
  <si>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</si>
  <si>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</si>
  <si>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</si>
  <si>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</si>
  <si>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</si>
  <si>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</si>
  <si>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</si>
  <si>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</si>
  <si>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</si>
  <si>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</si>
  <si>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</si>
  <si>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</si>
  <si>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</si>
  <si>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</si>
  <si>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</si>
  <si>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</si>
  <si>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</si>
  <si>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</si>
  <si>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</si>
  <si>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</si>
  <si>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</si>
  <si>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</si>
  <si>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</si>
  <si>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</si>
  <si>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Josh Kingsley</t>
  </si>
  <si>
    <t>LUV Car Wash</t>
  </si>
  <si>
    <t>5730 S Jones Blvd.</t>
  </si>
  <si>
    <t>Las Vegas, NV 89118</t>
  </si>
  <si>
    <t>Foamy's Car Wash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</si>
  <si>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proforma cannot account for the population density:# of competitors ratio.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</si>
</sst>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7" zoomScaleNormal="100" workbookViewId="0">
      <selection activeCell="A70" sqref="A70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 t="s">
        <v>196</v>
      </c>
      <c r="C4" s="87"/>
      <c r="D4" s="88"/>
      <c r="E4" s="34"/>
      <c r="F4" s="34"/>
    </row>
    <row r="5" spans="1:9" ht="15.75" x14ac:dyDescent="0.25">
      <c r="A5" s="35" t="s">
        <v>13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2.4700000000000002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0.53200000000000003</v>
      </c>
      <c r="F58" s="61">
        <f>-0.3*(0.55-E58)</f>
        <v>-5.4000000000000046E-3</v>
      </c>
    </row>
    <row r="59" spans="1:8" ht="15.75" x14ac:dyDescent="0.25">
      <c r="A59" s="83" t="s">
        <v>3</v>
      </c>
      <c r="B59" s="84"/>
      <c r="C59" s="84"/>
      <c r="D59" s="85"/>
      <c r="E59" s="45">
        <v>0.71599999999999997</v>
      </c>
      <c r="F59" s="61">
        <f>-0.75*(0.5-E59)</f>
        <v>0.16199999999999998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3.914999999999999E-2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8.5577058823529412E-3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1.1295108695652175E-2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1.3673026315789474E-2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44494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114229.96965882352</v>
      </c>
      <c r="C74" s="68">
        <f>F65*A70*300</f>
        <v>150769.36989130435</v>
      </c>
      <c r="D74" s="68">
        <f>($F$54*(1+$F$61))/85*($A$70*(1+B$70))*300</f>
        <v>164817.52765058828</v>
      </c>
      <c r="E74" s="68">
        <f>($F$54*(1+$F$61))/82*($A$70*(1+C$70))*300</f>
        <v>170847.43719878051</v>
      </c>
      <c r="F74" s="68">
        <f>F66*(A70*(1+D70)*300)</f>
        <v>184335.39276710528</v>
      </c>
    </row>
    <row r="75" spans="1:6" ht="15.75" x14ac:dyDescent="0.25">
      <c r="A75" s="35" t="s">
        <v>105</v>
      </c>
      <c r="B75" s="68">
        <f>B74/12</f>
        <v>9519.1641382352936</v>
      </c>
      <c r="C75" s="68">
        <f>C74/12</f>
        <v>12564.114157608696</v>
      </c>
      <c r="D75" s="68">
        <f t="shared" ref="D75:F75" si="0">D74/12</f>
        <v>13734.793970882356</v>
      </c>
      <c r="E75" s="68">
        <f t="shared" si="0"/>
        <v>14237.286433231709</v>
      </c>
      <c r="F75" s="68">
        <f t="shared" si="0"/>
        <v>15361.282730592107</v>
      </c>
    </row>
    <row r="76" spans="1:6" ht="15.75" x14ac:dyDescent="0.25">
      <c r="A76" s="35" t="s">
        <v>106</v>
      </c>
      <c r="B76" s="68">
        <f>B75/4.5/7*3</f>
        <v>906.58706078431351</v>
      </c>
      <c r="C76" s="68">
        <f t="shared" ref="C76:F76" si="1">C75/4.5/7*3</f>
        <v>1196.5823007246377</v>
      </c>
      <c r="D76" s="68">
        <f t="shared" si="1"/>
        <v>1308.0756162745101</v>
      </c>
      <c r="E76" s="68">
        <f t="shared" si="1"/>
        <v>1355.9320412601628</v>
      </c>
      <c r="F76" s="68">
        <f t="shared" si="1"/>
        <v>1462.9793076754388</v>
      </c>
    </row>
    <row r="77" spans="1:6" ht="15.75" x14ac:dyDescent="0.25">
      <c r="A77" s="35" t="s">
        <v>107</v>
      </c>
      <c r="B77" s="68">
        <f>IFERROR((B76/$B9*1.3),0)</f>
        <v>98.213598251633968</v>
      </c>
      <c r="C77" s="68">
        <f t="shared" ref="C77:F77" si="2">IFERROR((C76/$B9*1.3),0)</f>
        <v>129.62974924516908</v>
      </c>
      <c r="D77" s="68">
        <f t="shared" si="2"/>
        <v>141.70819176307194</v>
      </c>
      <c r="E77" s="68">
        <f t="shared" si="2"/>
        <v>146.89263780318433</v>
      </c>
      <c r="F77" s="68">
        <f t="shared" si="2"/>
        <v>158.48942499817252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7" zoomScaleNormal="100" workbookViewId="0">
      <selection activeCell="M46" sqref="M46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Foamy's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5730 S Jones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Las Vegas, NV 89118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197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 t="str">
        <f>AddressLine1</f>
        <v>Foamy's Car Wash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5730 S Jones Blvd.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Las Vegas, NV 89118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2120.9619200905076</v>
      </c>
      <c r="J65" s="18">
        <f>'Input Form'!B75</f>
        <v>9519.1641382352936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8483.8476803620306</v>
      </c>
      <c r="J70" s="20">
        <f t="shared" ref="J70:J73" si="0">J$65*F70*G70</f>
        <v>38076.656552941182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10180.617216434437</v>
      </c>
      <c r="J71" s="20">
        <f t="shared" si="0"/>
        <v>45691.987863529408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13998.348672597351</v>
      </c>
      <c r="J73" s="20">
        <f t="shared" si="0"/>
        <v>62826.483312352932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32662.813569393817</v>
      </c>
      <c r="J74" s="20">
        <f>SUM(J69:J73)</f>
        <v>146595.12772882351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-734.91330531136089</v>
      </c>
      <c r="J75" s="20">
        <f>-(J74*$F75*$G75)</f>
        <v>-3298.3903738985291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31927.900264082455</v>
      </c>
      <c r="J76" s="20">
        <f>SUM(J74:J75)</f>
        <v>143296.73735492499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15.0535</v>
      </c>
      <c r="J77" s="22">
        <f>J76/(J65+0.000000001)</f>
        <v>15.053499999998417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957.83700792247362</v>
      </c>
      <c r="J80" s="20">
        <f>$G80*J76</f>
        <v>4298.9021206477491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8.4863636363636363E-2</v>
      </c>
      <c r="H81" s="131"/>
      <c r="I81" s="20">
        <f>G81*I76</f>
        <v>2709.5177178655426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12440.595612259705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319.27900264082456</v>
      </c>
      <c r="J82" s="20">
        <f>$G82*J76</f>
        <v>1432.9673735492499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3.0615856098111356E-2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0.63163572716013539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319.27900264082456</v>
      </c>
      <c r="J85" s="20">
        <f>$G85*J76</f>
        <v>1432.9673735492499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319.27900264082456</v>
      </c>
      <c r="J86" s="20">
        <f>$G86*J76</f>
        <v>1432.9673735492499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478.91850396123681</v>
      </c>
      <c r="J87" s="20">
        <f>$G87*J76</f>
        <v>2149.4510603238746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319.27900264082456</v>
      </c>
      <c r="J88" s="20">
        <f>$G88*J76</f>
        <v>1432.9673735492499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6.1231712196222712E-2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319.27900264082456</v>
      </c>
      <c r="J90" s="20">
        <f>$G90*J76</f>
        <v>1432.9673735492499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2554.2320211265965</v>
      </c>
      <c r="J91" s="20">
        <f>$G91*J76</f>
        <v>11463.738988394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31927.900264079981</v>
      </c>
      <c r="J92" s="20">
        <f>SUM(J80:J91)</f>
        <v>61148.52464937156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2.4738255888223648E-9</v>
      </c>
      <c r="J93" s="24">
        <f>J76-J92</f>
        <v>82148.212705553422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 t="str">
        <f>AddressLine1</f>
        <v>Foamy's Car Wash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5730 S Jones Blvd.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Las Vegas, NV 89118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31927.900264082455</v>
      </c>
      <c r="H138" s="167"/>
      <c r="I138" s="167">
        <f>J76</f>
        <v>143296.73735492499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31927.900264079981</v>
      </c>
      <c r="H139" s="167"/>
      <c r="I139" s="167">
        <f>J92</f>
        <v>61148.52464937156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2.4738255888223648E-9</v>
      </c>
      <c r="H140" s="167"/>
      <c r="I140" s="167">
        <f>J93</f>
        <v>82148.212705553422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2.4738255888223648E-9</v>
      </c>
      <c r="H143" s="167"/>
      <c r="I143" s="167">
        <f>I140-I141-I142</f>
        <v>82148.212705553422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 t="str">
        <f>AddressLine1</f>
        <v>Foamy's Car Wash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5730 S Jones Blvd.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Las Vegas, NV 89118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114229.96965882352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456919.8786352941</v>
      </c>
      <c r="J170" s="30">
        <f t="shared" ref="J170:J176" si="2">IFERROR((I170/I$174),0)</f>
        <v>0.25974025974025977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548303.85436235287</v>
      </c>
      <c r="J171" s="30">
        <f t="shared" si="2"/>
        <v>0.31168831168831168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753917.79974823515</v>
      </c>
      <c r="J173" s="30">
        <f t="shared" si="2"/>
        <v>0.42857142857142855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1759141.5327458822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-39580.684486782353</v>
      </c>
      <c r="J175" s="30">
        <f t="shared" si="2"/>
        <v>-2.2500000000000003E-2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1719560.8482590998</v>
      </c>
      <c r="J176" s="30">
        <f t="shared" si="2"/>
        <v>0.97749999999999992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51586.825447772993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145928.18653180634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17195.608482590997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6.9785259487321529E-3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0.14397396884829305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17195.608482590997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17195.608482590997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25793.412723886497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17195.608482590997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1.3957051897464306E-2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17195.608482590997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137564.86786072797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730423.3349771488</v>
      </c>
      <c r="J190" s="30">
        <f t="shared" si="3"/>
        <v>0.42477318305812589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989137.51328195096</v>
      </c>
      <c r="J191" s="30">
        <f t="shared" si="3"/>
        <v>0.57522681694187416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989137.51328195096</v>
      </c>
      <c r="J196" s="30">
        <f t="shared" si="3"/>
        <v>0.57522681694187416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 t="str">
        <f>AddressLine1</f>
        <v>Foamy's Car Wash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5730 S Jones Blvd.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Las Vegas, NV 89118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150769.36989130435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603077.47956521739</v>
      </c>
      <c r="J221" s="30">
        <f t="shared" ref="J221:J227" si="4">IFERROR((I221/I$225),0)</f>
        <v>0.25974025974025977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723692.97547826089</v>
      </c>
      <c r="J222" s="30">
        <f t="shared" si="4"/>
        <v>0.31168831168831174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995077.84128260869</v>
      </c>
      <c r="J224" s="30">
        <f t="shared" si="4"/>
        <v>0.4285714285714286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2321848.2963260869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-52241.58666733696</v>
      </c>
      <c r="J226" s="30">
        <f t="shared" si="4"/>
        <v>-2.2500000000000003E-2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2269606.7096587499</v>
      </c>
      <c r="J227" s="30">
        <f t="shared" si="4"/>
        <v>0.97750000000000004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68088.201289762495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192607.07849694937</v>
      </c>
      <c r="J230" s="30">
        <f t="shared" ref="J230:J247" si="5">IFERROR((I230/I$227),0)</f>
        <v>8.4863636363636363E-2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22696.0670965875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5.2872596599805952E-3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0.10908145404505967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22696.0670965875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22696.0670965875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34044.100644881248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22696.0670965875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1.057451931996119E-2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22696.0670965875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181568.5367727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873360.25268723059</v>
      </c>
      <c r="J241" s="30">
        <f t="shared" si="5"/>
        <v>0.38480686938863784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1396246.4569715192</v>
      </c>
      <c r="J242" s="30">
        <f t="shared" si="5"/>
        <v>0.61519313061136216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1396246.4569715192</v>
      </c>
      <c r="J247" s="30">
        <f t="shared" si="5"/>
        <v>0.61519313061136216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 t="str">
        <f>AddressLine1</f>
        <v>Foamy's Car Wash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5730 S Jones Blvd.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Las Vegas, NV 89118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164817.52765058828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659270.11060235323</v>
      </c>
      <c r="J272" s="30">
        <f t="shared" ref="J272:J278" si="7">IFERROR((I272/I$276),0)</f>
        <v>0.25974025974025977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791124.13272282376</v>
      </c>
      <c r="J273" s="30">
        <f t="shared" si="7"/>
        <v>0.31168831168831168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1087795.6824938825</v>
      </c>
      <c r="J275" s="30">
        <f t="shared" si="7"/>
        <v>0.42857142857142844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2538189.9258190598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-57109.273330928845</v>
      </c>
      <c r="J277" s="30">
        <f t="shared" si="7"/>
        <v>-2.2499999999999999E-2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2481080.6524881311</v>
      </c>
      <c r="J278" s="30">
        <f t="shared" si="7"/>
        <v>0.97750000000000004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74432.419574643936</v>
      </c>
      <c r="J280" s="30">
        <f>IFERROR((I280/I$278),0)</f>
        <v>3.0000000000000002E-2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210553.52628160641</v>
      </c>
      <c r="J281" s="30">
        <f t="shared" ref="J281:J298" si="8">IFERROR((I281/I$278),0)</f>
        <v>8.4863636363636363E-2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24810.806524881311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4.8366021426856478E-3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9.9783938805747596E-2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24810.806524881311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24810.806524881311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37216.209787321968</v>
      </c>
      <c r="J287" s="30">
        <f t="shared" si="8"/>
        <v>1.5000000000000001E-2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24810.806524881311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9.6732042853712955E-3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24810.806524881311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198486.45219905049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928314.6404670293</v>
      </c>
      <c r="J292" s="30">
        <f t="shared" si="8"/>
        <v>0.37415738159744089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1552766.0120211018</v>
      </c>
      <c r="J293" s="30">
        <f t="shared" si="8"/>
        <v>0.62584261840255906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1552766.0120211018</v>
      </c>
      <c r="J298" s="30">
        <f t="shared" si="8"/>
        <v>0.62584261840255906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 t="str">
        <f>AddressLine1</f>
        <v>Foamy's Car Wash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5730 S Jones Blvd.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Las Vegas, NV 89118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170847.43719878051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683389.74879512202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820067.69855414645</v>
      </c>
      <c r="J324" s="30">
        <f t="shared" si="9"/>
        <v>0.31168831168831168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1127593.0855119512</v>
      </c>
      <c r="J326" s="30">
        <f t="shared" si="9"/>
        <v>0.42857142857142855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2631050.5328612197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-59198.636989377446</v>
      </c>
      <c r="J328" s="30">
        <f t="shared" si="9"/>
        <v>-2.2500000000000003E-2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2571851.8958718423</v>
      </c>
      <c r="J329" s="30">
        <f t="shared" si="9"/>
        <v>0.97750000000000004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77155.556876155271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218256.70407239679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25718.518958718425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4.6658985376496851E-3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9.6262152730250655E-2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25718.518958718425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25718.518958718425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38577.778438077636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25718.518958718425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9.3317970752993702E-3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25718.518958718425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205748.1516697474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951902.78584996914</v>
      </c>
      <c r="J343" s="30">
        <f t="shared" si="10"/>
        <v>0.37012348470683604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1619949.1100218731</v>
      </c>
      <c r="J344" s="30">
        <f t="shared" si="10"/>
        <v>0.62987651529316391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1619949.1100218731</v>
      </c>
      <c r="J349" s="30">
        <f t="shared" si="11"/>
        <v>0.62987651529316391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 t="str">
        <f>AddressLine1</f>
        <v>Foamy's Car Wash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5730 S Jones Blvd.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Las Vegas, NV 89118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184335.39276710528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737341.57106842112</v>
      </c>
      <c r="J374" s="30">
        <f t="shared" ref="J374:J380" si="13">IFERROR((I374/I$378),0)</f>
        <v>0.25974025974025977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884809.8852821053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1216613.5922628948</v>
      </c>
      <c r="J377" s="30">
        <f t="shared" si="13"/>
        <v>0.4285714285714286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2838765.0486134212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-63872.213593801978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2774892.8350196192</v>
      </c>
      <c r="J380" s="30">
        <f t="shared" si="13"/>
        <v>0.97750000000000004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83246.785050588573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235487.49649916496</v>
      </c>
      <c r="J383" s="30">
        <f t="shared" ref="J383:J395" si="14">IFERROR((I383/I$380),0)</f>
        <v>8.4863636363636363E-2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27748.928350196191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4.3244913275777572E-3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8.9218580579256718E-2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27748.928350196191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27748.928350196191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41623.392525294286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27748.928350196191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8.6489826551555144E-3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27748.928350196191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221991.42680156953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1004665.7426275985</v>
      </c>
      <c r="J394" s="30">
        <f t="shared" si="14"/>
        <v>0.36205569092562639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1770227.0923920209</v>
      </c>
      <c r="J395" s="30">
        <f t="shared" si="14"/>
        <v>0.63794430907437361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1770227.0923920209</v>
      </c>
      <c r="J400" s="30">
        <f t="shared" si="15"/>
        <v>0.63794430907437361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 t="str">
        <f>AddressLine1</f>
        <v>Foamy's Car Wash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5730 S Jones Blvd.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Las Vegas, NV 89118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7QnLb+cgQ34HR39hNB95MplO3Wv6LLlvIlO43MZ5eoZiuO+M2iCyNScooVtkD/rmXtnTohapbXfvBeFod5zJaw==" saltValue="I1favSBKK+o0TPNV32ugo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2022-02-07T15:47:55Z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