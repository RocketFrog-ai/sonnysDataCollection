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South Carolina\Dillon Makar\509 S Pleasantburg Dr. Greenville, SC 29607\"/>
    </mc:Choice>
  </mc:AlternateContent>
  <xr:revisionPtr revIDLastSave="0" documentId="13_ncr:1_{502D46F7-9798-4912-B0A8-1E5F0FD832D4}" xr6:coauthVersionLast="45" xr6:coauthVersionMax="45" xr10:uidLastSave="{00000000-0000-0000-0000-000000000000}"/>
  <workbookProtection workbookPassword="FB8D" lockStructure="1"/>
  <bookViews>
    <workbookView xWindow="59535" yWindow="222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<sst xmlns="http://schemas.openxmlformats.org/spreadsheetml/2006/main" count="434" uniqueCount="202">
  <si>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</si>
  <si>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</si>
  <si>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</si>
  <si>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</si>
  <si>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</si>
  <si>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</si>
  <si>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</si>
  <si>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</si>
  <si>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</si>
  <si>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</si>
  <si>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</si>
  <si>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</si>
  <si>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</si>
  <si>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</si>
  <si>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</si>
  <si>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</si>
  <si>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</si>
  <si>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</si>
  <si>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</si>
  <si>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</si>
  <si>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</si>
  <si>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</si>
  <si>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</si>
  <si>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</si>
  <si>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</si>
  <si>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</si>
  <si>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</si>
  <si>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</si>
  <si>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</si>
  <si>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</si>
  <si>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</si>
  <si>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</si>
  <si>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</si>
  <si>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</si>
  <si>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</si>
  <si>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</si>
  <si>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</si>
  <si>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</si>
  <si>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</si>
  <si>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</si>
  <si>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</si>
  <si>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</si>
  <si>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</si>
  <si>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</si>
  <si>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</si>
  <si>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</si>
  <si>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</si>
  <si>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</si>
  <si>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</si>
  <si>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</si>
  <si>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</si>
  <si>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</si>
  <si>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</si>
  <si>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</si>
  <si>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</si>
  <si>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</si>
  <si>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</si>
  <si>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</si>
  <si>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</si>
  <si>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</si>
  <si>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</si>
  <si>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</si>
  <si>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</si>
  <si>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</si>
  <si>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</si>
  <si>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</si>
  <si>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</si>
  <si>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</si>
  <si>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</si>
  <si>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</si>
  <si>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</si>
  <si>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</si>
  <si>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</si>
  <si>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</si>
  <si>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</si>
  <si>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</si>
  <si>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</si>
  <si>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</si>
  <si>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</si>
  <si>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</si>
  <si>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</si>
  <si>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</si>
  <si>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</si>
  <si>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</si>
  <si>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</si>
  <si>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</si>
  <si>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</si>
  <si>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</si>
  <si>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</si>
  <si>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</si>
  <si>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</si>
  <si>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</si>
  <si>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</si>
  <si>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</si>
  <si>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</si>
  <si>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</si>
  <si>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</si>
  <si>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</si>
  <si>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</si>
  <si>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</si>
  <si>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</si>
  <si>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</si>
  <si>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</si>
  <si>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</si>
  <si>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</si>
  <si>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</si>
  <si>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</si>
  <si>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</si>
  <si>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</si>
  <si>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</si>
  <si>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</si>
  <si>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</si>
  <si>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</si>
  <si>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</si>
  <si>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</si>
  <si>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</si>
  <si>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</si>
  <si>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</si>
  <si>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</si>
  <si>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</si>
  <si>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</si>
  <si>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</si>
  <si>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</si>
  <si>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</si>
  <si>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</si>
  <si>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</si>
  <si>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</si>
  <si>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</si>
  <si>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</si>
  <si>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</si>
  <si>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</si>
  <si>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</si>
  <si>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</si>
  <si>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</si>
  <si>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</si>
  <si>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</si>
  <si>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</si>
  <si>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</si>
  <si>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</si>
  <si>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</si>
  <si>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</si>
  <si>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</si>
  <si>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</si>
  <si>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</si>
  <si>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</si>
  <si>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</si>
  <si>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</si>
  <si>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</si>
  <si>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</si>
  <si>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</si>
  <si>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</si>
  <si>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</si>
  <si>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</si>
  <si>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</si>
  <si>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</si>
  <si>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</si>
  <si>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</si>
  <si>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</si>
  <si>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</si>
  <si>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</si>
  <si>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</si>
  <si>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</si>
  <si>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</si>
  <si>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</si>
  <si>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</si>
  <si>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</si>
  <si>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</si>
  <si>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</si>
  <si>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</si>
  <si>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</si>
  <si>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</si>
  <si>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</si>
  <si>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</si>
  <si>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</si>
  <si>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</si>
  <si>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</si>
  <si>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</si>
  <si>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</si>
  <si>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</si>
  <si>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</si>
  <si>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</si>
  <si>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</si>
  <si>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</si>
  <si>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</si>
  <si>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</si>
  <si>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</si>
  <si>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</si>
  <si>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</si>
  <si>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</si>
  <si>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</si>
  <si>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</si>
  <si>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</si>
  <si>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</si>
  <si>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</si>
  <si>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</si>
  <si>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</si>
  <si>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</si>
  <si>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</si>
  <si>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Dillon Makar</t>
  </si>
  <si>
    <t>Happy Car Express Wash</t>
  </si>
  <si>
    <t>509 S Pleasantburg Dr.</t>
  </si>
  <si>
    <t>Greenville, SC 29607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</si>
</sst>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45</xdr:row>
      <xdr:rowOff>9526</xdr:rowOff>
    </xdr:from>
    <xdr:to>
      <xdr:col>7</xdr:col>
      <xdr:colOff>285750</xdr:colOff>
      <xdr:row>51</xdr:row>
      <xdr:rowOff>140380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5BA228-EDBC-43E4-B98E-2591C466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7858126"/>
          <a:ext cx="2447925" cy="1102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B35" sqref="B35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7</v>
      </c>
      <c r="C19" s="48">
        <v>0.309</v>
      </c>
      <c r="D19" s="45">
        <v>0.28999999999999998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0.18</v>
      </c>
      <c r="E20" s="34"/>
      <c r="F20" s="34"/>
    </row>
    <row r="21" spans="1:8" ht="15.75" x14ac:dyDescent="0.25">
      <c r="A21" s="43" t="s">
        <v>29</v>
      </c>
      <c r="B21" s="47">
        <v>12</v>
      </c>
      <c r="C21" s="48">
        <v>0.74399999999999999</v>
      </c>
      <c r="D21" s="45">
        <v>0.16</v>
      </c>
      <c r="E21" s="34"/>
      <c r="F21" s="34"/>
    </row>
    <row r="22" spans="1:8" ht="15.75" x14ac:dyDescent="0.25">
      <c r="A22" s="43" t="s">
        <v>30</v>
      </c>
      <c r="B22" s="47">
        <v>14</v>
      </c>
      <c r="C22" s="48">
        <v>1.357</v>
      </c>
      <c r="D22" s="45">
        <v>0.21</v>
      </c>
      <c r="E22" s="34"/>
      <c r="F22" s="34"/>
    </row>
    <row r="23" spans="1:8" ht="15.75" x14ac:dyDescent="0.25">
      <c r="A23" s="43" t="s">
        <v>31</v>
      </c>
      <c r="B23" s="47">
        <v>16</v>
      </c>
      <c r="C23" s="48">
        <v>1.7869999999999999</v>
      </c>
      <c r="D23" s="45">
        <v>0.16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12</v>
      </c>
      <c r="C29" s="47">
        <v>12</v>
      </c>
      <c r="D29" s="47">
        <v>12</v>
      </c>
      <c r="E29" s="47">
        <v>12</v>
      </c>
      <c r="F29" s="34"/>
    </row>
    <row r="30" spans="1:8" ht="15.75" x14ac:dyDescent="0.25">
      <c r="A30" s="43" t="s">
        <v>30</v>
      </c>
      <c r="B30" s="47">
        <v>14</v>
      </c>
      <c r="C30" s="47">
        <v>14</v>
      </c>
      <c r="D30" s="47">
        <v>14</v>
      </c>
      <c r="E30" s="47">
        <v>14</v>
      </c>
      <c r="F30" s="34"/>
    </row>
    <row r="31" spans="1:8" ht="15.75" x14ac:dyDescent="0.25">
      <c r="A31" s="43" t="s">
        <v>31</v>
      </c>
      <c r="B31" s="47">
        <v>16</v>
      </c>
      <c r="C31" s="47">
        <v>16</v>
      </c>
      <c r="D31" s="47">
        <v>16</v>
      </c>
      <c r="E31" s="47">
        <v>16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>
        <v>1</v>
      </c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2.1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0.52400000000000002</v>
      </c>
      <c r="F58" s="61">
        <f>-0.3*(0.55-E58)</f>
        <v>-7.8000000000000066E-3</v>
      </c>
    </row>
    <row r="59" spans="1:8" ht="15.75" x14ac:dyDescent="0.25">
      <c r="A59" s="83" t="s">
        <v>3</v>
      </c>
      <c r="B59" s="84"/>
      <c r="C59" s="84"/>
      <c r="D59" s="85"/>
      <c r="E59" s="45">
        <v>0.66700000000000004</v>
      </c>
      <c r="F59" s="61">
        <f>-0.75*(0.5-E59)</f>
        <v>0.12525000000000003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2.9362500000000007E-2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1.0172523529411764E-2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1.3426467391304346E-2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1.6253092105263156E-2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24297</v>
      </c>
      <c r="B70" s="66">
        <v>0.01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74148.541258235287</v>
      </c>
      <c r="C74" s="68">
        <f>F65*A70*300</f>
        <v>97866.863461956498</v>
      </c>
      <c r="D74" s="68">
        <f>($F$54*(1+$F$61))/85*($A$70*(1+B$70))*300</f>
        <v>106985.75238688235</v>
      </c>
      <c r="E74" s="68">
        <f>($F$54*(1+$F$61))/82*($A$70*(1+C$70))*300</f>
        <v>109801.84681097559</v>
      </c>
      <c r="F74" s="68">
        <f>F66*(A70*(1+D70)*300)</f>
        <v>118470.41366447367</v>
      </c>
    </row>
    <row r="75" spans="1:6" ht="15.75" x14ac:dyDescent="0.25">
      <c r="A75" s="35" t="s">
        <v>106</v>
      </c>
      <c r="B75" s="68">
        <f>B74/12</f>
        <v>6179.0451048529403</v>
      </c>
      <c r="C75" s="68">
        <f>C74/12</f>
        <v>8155.5719551630418</v>
      </c>
      <c r="D75" s="68">
        <f t="shared" ref="D75:F75" si="0">D74/12</f>
        <v>8915.4793655735284</v>
      </c>
      <c r="E75" s="68">
        <f t="shared" si="0"/>
        <v>9150.1539009146327</v>
      </c>
      <c r="F75" s="68">
        <f t="shared" si="0"/>
        <v>9872.5344720394733</v>
      </c>
    </row>
    <row r="76" spans="1:6" ht="15.75" x14ac:dyDescent="0.25">
      <c r="A76" s="35" t="s">
        <v>107</v>
      </c>
      <c r="B76" s="68">
        <f>B75/4.5/7*3</f>
        <v>588.48048617647055</v>
      </c>
      <c r="C76" s="68">
        <f t="shared" ref="C76:F76" si="1">C75/4.5/7*3</f>
        <v>776.72113858695639</v>
      </c>
      <c r="D76" s="68">
        <f t="shared" si="1"/>
        <v>849.09327291176464</v>
      </c>
      <c r="E76" s="68">
        <f t="shared" si="1"/>
        <v>871.44322865853644</v>
      </c>
      <c r="F76" s="68">
        <f t="shared" si="1"/>
        <v>940.24137828947357</v>
      </c>
    </row>
    <row r="77" spans="1:6" ht="15.75" x14ac:dyDescent="0.25">
      <c r="A77" s="35" t="s">
        <v>108</v>
      </c>
      <c r="B77" s="68">
        <f>IFERROR((B76/$B9*1.3),0)</f>
        <v>63.752052669117646</v>
      </c>
      <c r="C77" s="68">
        <f t="shared" ref="C77:F77" si="2">IFERROR((C76/$B9*1.3),0)</f>
        <v>84.144790013586942</v>
      </c>
      <c r="D77" s="68">
        <f t="shared" si="2"/>
        <v>91.985104565441162</v>
      </c>
      <c r="E77" s="68">
        <f t="shared" si="2"/>
        <v>94.406349771341453</v>
      </c>
      <c r="F77" s="68">
        <f t="shared" si="2"/>
        <v>101.8594826480263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A28" zoomScaleNormal="100" zoomScalePageLayoutView="130" workbookViewId="0">
      <selection activeCell="T30" sqref="T30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Dillon Makar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Happy Car Express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509 S Pleasantburg Dr.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Greenville, SC 29607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Dillon Makar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Happy Car Express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509 S Pleasantburg Dr.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Greenville, SC 29607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2049.5794498754481</v>
      </c>
      <c r="J65" s="18">
        <f>'Input Form'!B75</f>
        <v>6179.0451048529403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7</v>
      </c>
      <c r="G69" s="139">
        <f>'Input Form'!D19</f>
        <v>0.28999999999999998</v>
      </c>
      <c r="H69" s="140"/>
      <c r="I69" s="20">
        <f>IFERROR((I$65*G69*F69),0)</f>
        <v>4160.6462832471589</v>
      </c>
      <c r="J69" s="20">
        <f>J$65*F69*G69</f>
        <v>12543.461562851468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0.18</v>
      </c>
      <c r="H70" s="140"/>
      <c r="I70" s="20">
        <f>IFERROR((I$65*G70*F70),0)</f>
        <v>3689.2430097758061</v>
      </c>
      <c r="J70" s="20">
        <f t="shared" ref="J70:J73" si="0">J$65*F70*G70</f>
        <v>11122.281188735291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12</v>
      </c>
      <c r="G71" s="139">
        <f>'Input Form'!D21</f>
        <v>0.16</v>
      </c>
      <c r="H71" s="140"/>
      <c r="I71" s="20">
        <f>IFERROR((I$65*G71*F71),0)</f>
        <v>3935.1925437608606</v>
      </c>
      <c r="J71" s="20">
        <f t="shared" si="0"/>
        <v>11863.766601317646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14</v>
      </c>
      <c r="G72" s="139">
        <f>'Input Form'!D22</f>
        <v>0.21</v>
      </c>
      <c r="H72" s="140"/>
      <c r="I72" s="20">
        <f t="shared" ref="I72:I73" si="1">I$65*G72*F72</f>
        <v>6025.7635826338174</v>
      </c>
      <c r="J72" s="20">
        <f t="shared" si="0"/>
        <v>18166.392608267644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16</v>
      </c>
      <c r="G73" s="139">
        <f>'Input Form'!D23</f>
        <v>0.16</v>
      </c>
      <c r="H73" s="140"/>
      <c r="I73" s="20">
        <f t="shared" si="1"/>
        <v>5246.9233916811472</v>
      </c>
      <c r="J73" s="20">
        <f t="shared" si="0"/>
        <v>15818.355468423528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23057.768811098791</v>
      </c>
      <c r="J74" s="20">
        <f>SUM(J69:J73)</f>
        <v>69514.257429595586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-415.03983859977825</v>
      </c>
      <c r="J75" s="20">
        <f>-(J74*$F75*$G75)</f>
        <v>-1251.2566337327203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22642.728972499011</v>
      </c>
      <c r="J76" s="20">
        <f>SUM(J74:J75)</f>
        <v>68263.00079586287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11.047499999999999</v>
      </c>
      <c r="J77" s="22">
        <f>J76/(J65+0.000000001)</f>
        <v>11.047499999998212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679.28186917497032</v>
      </c>
      <c r="J80" s="20">
        <f>$G80*J76</f>
        <v>2047.8900238758861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7.8975644444444437E-2</v>
      </c>
      <c r="H81" s="131"/>
      <c r="I81" s="20">
        <f>G81*I76</f>
        <v>1788.2241125840026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5489.9332785793213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226.42728972499012</v>
      </c>
      <c r="J82" s="20">
        <f>$G82*J76</f>
        <v>682.63000795862877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4.336933066648898E-2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0.59266792515597189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226.42728972499012</v>
      </c>
      <c r="J85" s="20">
        <f>$G85*J76</f>
        <v>682.63000795862877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226.42728972499012</v>
      </c>
      <c r="J86" s="20">
        <f>$G86*J76</f>
        <v>682.63000795862877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339.64093458748516</v>
      </c>
      <c r="J87" s="20">
        <f>$G87*J76</f>
        <v>1023.945011937943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226.42728972499012</v>
      </c>
      <c r="J88" s="20">
        <f>$G88*J76</f>
        <v>682.63000795862877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8.6738661332977959E-2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226.42728972499012</v>
      </c>
      <c r="J90" s="20">
        <f>$G90*J76</f>
        <v>682.63000795862877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2037.845607524911</v>
      </c>
      <c r="J91" s="20">
        <f>$G91*J76</f>
        <v>6143.6700716276582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22642.728972496323</v>
      </c>
      <c r="J92" s="20">
        <f>SUM(J80:J91)</f>
        <v>34784.188425813954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2.6884663384407759E-9</v>
      </c>
      <c r="J93" s="24">
        <f>J76-J92</f>
        <v>33478.812370048916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Dillon Makar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Happy Car Express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509 S Pleasantburg Dr.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Greenville, SC 29607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22642.728972499011</v>
      </c>
      <c r="H138" s="169"/>
      <c r="I138" s="169">
        <f>J76</f>
        <v>68263.00079586287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22642.728972496323</v>
      </c>
      <c r="H139" s="169"/>
      <c r="I139" s="169">
        <f>J92</f>
        <v>34784.188425813954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2.6884663384407759E-9</v>
      </c>
      <c r="H140" s="169"/>
      <c r="I140" s="169">
        <f>J93</f>
        <v>33478.812370048916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2.6884663384407759E-9</v>
      </c>
      <c r="H143" s="169"/>
      <c r="I143" s="169">
        <f>I140-I141-I142</f>
        <v>33478.812370048916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Dillon Makar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Happy Car Express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509 S Pleasantburg Dr.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Greenville, SC 29607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74148.541258235287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7</v>
      </c>
      <c r="G169" s="139">
        <f>'Input Form'!$D$19</f>
        <v>0.28999999999999998</v>
      </c>
      <c r="H169" s="140"/>
      <c r="I169" s="20">
        <f>I$166*F169*G169</f>
        <v>150521.53875421762</v>
      </c>
      <c r="J169" s="30">
        <f>IFERROR((I169/I$174),0)</f>
        <v>0.18044444444444446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0.18</v>
      </c>
      <c r="H170" s="140"/>
      <c r="I170" s="20">
        <f>I$166*F170*G170</f>
        <v>133467.37426482351</v>
      </c>
      <c r="J170" s="30">
        <f t="shared" ref="J170:J176" si="2">IFERROR((I170/I$174),0)</f>
        <v>0.16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12</v>
      </c>
      <c r="G171" s="139">
        <f>'Input Form'!$D$21</f>
        <v>0.16</v>
      </c>
      <c r="H171" s="140"/>
      <c r="I171" s="20">
        <f>I$166*F171*G171</f>
        <v>142365.19921581176</v>
      </c>
      <c r="J171" s="30">
        <f t="shared" si="2"/>
        <v>0.17066666666666672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14</v>
      </c>
      <c r="G172" s="139">
        <f>'Input Form'!$D$22</f>
        <v>0.21</v>
      </c>
      <c r="H172" s="140"/>
      <c r="I172" s="20">
        <f>I$166*F172*G172</f>
        <v>217996.71129921175</v>
      </c>
      <c r="J172" s="30">
        <f t="shared" si="2"/>
        <v>0.26133333333333336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16</v>
      </c>
      <c r="G173" s="139">
        <f>'Input Form'!$D$23</f>
        <v>0.16</v>
      </c>
      <c r="H173" s="140"/>
      <c r="I173" s="20">
        <f>I$166*F173*G173</f>
        <v>189820.26562108233</v>
      </c>
      <c r="J173" s="30">
        <f t="shared" si="2"/>
        <v>0.22755555555555559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834171.08915514685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-15015.079604792641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819156.00955035421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24574.680286510626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64693.373754778702</v>
      </c>
      <c r="J179" s="30">
        <f t="shared" ref="J179:J196" si="3">IFERROR((I179/I$176),0)</f>
        <v>7.8975644444444437E-2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8191.5600955035425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1.4649224152780081E-2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0.20019043758223148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8191.5600955035425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8191.5600955035425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12287.340143255313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8191.5600955035425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2.9298448305560162E-2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8191.5600955035425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73724.040859531873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416224.43552159413</v>
      </c>
      <c r="J190" s="30">
        <f t="shared" si="3"/>
        <v>0.50811375448501606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402931.57402876008</v>
      </c>
      <c r="J191" s="30">
        <f t="shared" si="3"/>
        <v>0.49188624551498394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402931.57402876008</v>
      </c>
      <c r="J196" s="30">
        <f t="shared" si="3"/>
        <v>0.49188624551498394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Dillon Makar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Happy Car Express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509 S Pleasantburg Dr.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Greenville, SC 29607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97866.863461956498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7</v>
      </c>
      <c r="G220" s="139">
        <f>'Input Form'!$D$19</f>
        <v>0.28999999999999998</v>
      </c>
      <c r="H220" s="140"/>
      <c r="I220" s="20">
        <f>I$217*F220*G220</f>
        <v>198669.73282777169</v>
      </c>
      <c r="J220" s="30">
        <f>IFERROR((I220/I$225),0)</f>
        <v>0.18044444444444444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0.18</v>
      </c>
      <c r="H221" s="140"/>
      <c r="I221" s="20">
        <f>I$217*F221*G221</f>
        <v>176160.35423152169</v>
      </c>
      <c r="J221" s="30">
        <f t="shared" ref="J221:J227" si="4">IFERROR((I221/I$225),0)</f>
        <v>0.15999999999999998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12</v>
      </c>
      <c r="G222" s="139">
        <f>'Input Form'!$D$21</f>
        <v>0.16</v>
      </c>
      <c r="H222" s="140"/>
      <c r="I222" s="20">
        <f>I$217*F222*G222</f>
        <v>187904.37784695649</v>
      </c>
      <c r="J222" s="30">
        <f t="shared" si="4"/>
        <v>0.17066666666666666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14</v>
      </c>
      <c r="G223" s="139">
        <f>'Input Form'!$D$22</f>
        <v>0.21</v>
      </c>
      <c r="H223" s="140"/>
      <c r="I223" s="20">
        <f>I$217*F223*G223</f>
        <v>287728.57857815211</v>
      </c>
      <c r="J223" s="30">
        <f t="shared" si="4"/>
        <v>0.26133333333333331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16</v>
      </c>
      <c r="G224" s="139">
        <f>'Input Form'!$D$23</f>
        <v>0.16</v>
      </c>
      <c r="H224" s="140"/>
      <c r="I224" s="20">
        <f>I$217*F224*G224</f>
        <v>250539.17046260863</v>
      </c>
      <c r="J224" s="30">
        <f t="shared" si="4"/>
        <v>0.22755555555555554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1101002.2139470107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-19818.039851046193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1081184.1740959645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32435.525222878936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85387.216912363205</v>
      </c>
      <c r="J230" s="30">
        <f t="shared" ref="J230:J247" si="5">IFERROR((I230/I$227),0)</f>
        <v>7.8975644444444437E-2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10811.841740959646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1.1098941593400437E-2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0.15167369623877303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10811.841740959646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10811.841740959646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16217.762611439468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10811.841740959646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2.2197883186800875E-2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10811.841740959646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97306.575668636797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485393.48912011669</v>
      </c>
      <c r="J241" s="30">
        <f t="shared" si="5"/>
        <v>0.44894616546341881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595790.68497584783</v>
      </c>
      <c r="J242" s="30">
        <f t="shared" si="5"/>
        <v>0.55105383453658119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595790.68497584783</v>
      </c>
      <c r="J247" s="30">
        <f t="shared" si="5"/>
        <v>0.55105383453658119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Dillon Makar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Happy Car Express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509 S Pleasantburg Dr.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Greenville, SC 29607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106985.75238688235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7</v>
      </c>
      <c r="G271" s="139">
        <f>'Input Form'!$D$19</f>
        <v>0.28999999999999998</v>
      </c>
      <c r="H271" s="140"/>
      <c r="I271" s="20">
        <f>I$268*F271*G271</f>
        <v>217181.07734537116</v>
      </c>
      <c r="J271" s="30">
        <f>IFERROR((I271/I$276),0)</f>
        <v>0.18044444444444444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0.18</v>
      </c>
      <c r="H272" s="140"/>
      <c r="I272" s="20">
        <f t="shared" ref="I272:I275" si="6">I$268*F272*G272</f>
        <v>192574.35429638822</v>
      </c>
      <c r="J272" s="30">
        <f t="shared" ref="J272:J278" si="7">IFERROR((I272/I$276),0)</f>
        <v>0.16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12</v>
      </c>
      <c r="G273" s="139">
        <f>'Input Form'!$D$21</f>
        <v>0.16</v>
      </c>
      <c r="H273" s="140"/>
      <c r="I273" s="20">
        <f t="shared" si="6"/>
        <v>205412.64458281413</v>
      </c>
      <c r="J273" s="30">
        <f t="shared" si="7"/>
        <v>0.17066666666666669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14</v>
      </c>
      <c r="G274" s="139">
        <f>'Input Form'!$D$22</f>
        <v>0.21</v>
      </c>
      <c r="H274" s="140"/>
      <c r="I274" s="20">
        <f t="shared" si="6"/>
        <v>314538.11201743409</v>
      </c>
      <c r="J274" s="30">
        <f t="shared" si="7"/>
        <v>0.26133333333333336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16</v>
      </c>
      <c r="G275" s="139">
        <f>'Input Form'!$D$23</f>
        <v>0.16</v>
      </c>
      <c r="H275" s="140"/>
      <c r="I275" s="20">
        <f t="shared" si="6"/>
        <v>273883.52611041884</v>
      </c>
      <c r="J275" s="30">
        <f t="shared" si="7"/>
        <v>0.22755555555555559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1203589.7143524264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-21664.614858343673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1181925.0994940826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35457.75298482248</v>
      </c>
      <c r="J280" s="30">
        <f>IFERROR((I280/I$278),0)</f>
        <v>3.0000000000000002E-2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93343.296417609279</v>
      </c>
      <c r="J281" s="30">
        <f t="shared" ref="J281:J298" si="8">IFERROR((I281/I$278),0)</f>
        <v>7.8975644444444437E-2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11819.250994940827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1.0152927630639659E-2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0.13874584782926935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11819.250994940827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11819.250994940827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17728.87649241124</v>
      </c>
      <c r="J287" s="30">
        <f t="shared" si="8"/>
        <v>1.5000000000000001E-2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11819.250994940827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2.0305855261279319E-2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11819.250994940827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106373.25895446743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511986.63982401451</v>
      </c>
      <c r="J292" s="30">
        <f t="shared" si="8"/>
        <v>0.43318027516563268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669938.45967006811</v>
      </c>
      <c r="J293" s="30">
        <f t="shared" si="8"/>
        <v>0.56681972483436727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669938.45967006811</v>
      </c>
      <c r="J298" s="30">
        <f t="shared" si="8"/>
        <v>0.56681972483436727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Dillon Makar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Happy Car Express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509 S Pleasantburg Dr.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Greenville, SC 29607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109801.84681097559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7</v>
      </c>
      <c r="G322" s="139">
        <f>'Input Form'!$D$19</f>
        <v>0.28999999999999998</v>
      </c>
      <c r="H322" s="140"/>
      <c r="I322" s="20">
        <f>I$319*F322*G322</f>
        <v>222897.74902628045</v>
      </c>
      <c r="J322" s="30">
        <f>IFERROR((I322/I$327),0)</f>
        <v>0.18044444444444441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0.18</v>
      </c>
      <c r="H323" s="140"/>
      <c r="I323" s="20">
        <f>I$319*F323*G323</f>
        <v>197643.32425975607</v>
      </c>
      <c r="J323" s="30">
        <f t="shared" ref="J323:J329" si="9">IFERROR((I323/I$327),0)</f>
        <v>0.15999999999999998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12</v>
      </c>
      <c r="G324" s="139">
        <f>'Input Form'!$D$21</f>
        <v>0.16</v>
      </c>
      <c r="H324" s="140"/>
      <c r="I324" s="20">
        <f>I$319*F324*G324</f>
        <v>210819.54587707316</v>
      </c>
      <c r="J324" s="30">
        <f t="shared" si="9"/>
        <v>0.17066666666666666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14</v>
      </c>
      <c r="G325" s="139">
        <f>'Input Form'!$D$22</f>
        <v>0.21</v>
      </c>
      <c r="H325" s="140"/>
      <c r="I325" s="20">
        <f>I$319*F325*G325</f>
        <v>322817.42962426826</v>
      </c>
      <c r="J325" s="30">
        <f t="shared" si="9"/>
        <v>0.26133333333333331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16</v>
      </c>
      <c r="G326" s="139">
        <f>'Input Form'!$D$23</f>
        <v>0.16</v>
      </c>
      <c r="H326" s="140"/>
      <c r="I326" s="20">
        <f>I$319*F326*G326</f>
        <v>281092.72783609753</v>
      </c>
      <c r="J326" s="30">
        <f t="shared" si="9"/>
        <v>0.22755555555555554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1235270.7766234756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-22234.873979222561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1213035.9026442531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36391.077079327595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95800.292145578249</v>
      </c>
      <c r="J332" s="30">
        <f t="shared" ref="J332:J344" si="10">IFERROR((I332/I$329),0)</f>
        <v>7.8975644444444437E-2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12130.359026442531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9.8925348984656054E-3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0.13518742490847158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12130.359026442531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12130.359026442531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18195.538539663798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12130.359026442531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1.9785069796931211E-2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12130.359026442531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109173.23123798278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520199.13413476502</v>
      </c>
      <c r="J343" s="30">
        <f t="shared" si="10"/>
        <v>0.42884067404831278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692836.76850948809</v>
      </c>
      <c r="J344" s="30">
        <f t="shared" si="10"/>
        <v>0.57115932595168717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692836.76850948809</v>
      </c>
      <c r="J349" s="30">
        <f t="shared" si="11"/>
        <v>0.57115932595168717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Dillon Makar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Happy Car Express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509 S Pleasantburg Dr.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Greenville, SC 29607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118470.41366447367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7</v>
      </c>
      <c r="G373" s="139">
        <f>'Input Form'!$D$19</f>
        <v>0.28999999999999998</v>
      </c>
      <c r="H373" s="140"/>
      <c r="I373" s="20">
        <f>I$370*F373*G373</f>
        <v>240494.93973888154</v>
      </c>
      <c r="J373" s="30">
        <f>IFERROR((I373/I$378),0)</f>
        <v>0.18044444444444446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0.18</v>
      </c>
      <c r="H374" s="140"/>
      <c r="I374" s="20">
        <f t="shared" ref="I374:I377" si="12">I$370*F374*G374</f>
        <v>213246.74459605259</v>
      </c>
      <c r="J374" s="30">
        <f t="shared" ref="J374:J380" si="13">IFERROR((I374/I$378),0)</f>
        <v>0.16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12</v>
      </c>
      <c r="G375" s="139">
        <f>'Input Form'!$D$21</f>
        <v>0.16</v>
      </c>
      <c r="H375" s="140"/>
      <c r="I375" s="20">
        <f t="shared" si="12"/>
        <v>227463.19423578944</v>
      </c>
      <c r="J375" s="30">
        <f t="shared" si="13"/>
        <v>0.17066666666666669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14</v>
      </c>
      <c r="G376" s="139">
        <f>'Input Form'!$D$22</f>
        <v>0.21</v>
      </c>
      <c r="H376" s="140"/>
      <c r="I376" s="20">
        <f t="shared" si="12"/>
        <v>348303.01617355255</v>
      </c>
      <c r="J376" s="30">
        <f t="shared" si="13"/>
        <v>0.26133333333333331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16</v>
      </c>
      <c r="G377" s="139">
        <f>'Input Form'!$D$23</f>
        <v>0.16</v>
      </c>
      <c r="H377" s="140"/>
      <c r="I377" s="20">
        <f t="shared" si="12"/>
        <v>303284.25898105261</v>
      </c>
      <c r="J377" s="30">
        <f t="shared" si="13"/>
        <v>0.22755555555555559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1332792.1537253286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-23990.258767055911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1308801.8949582728</v>
      </c>
      <c r="J380" s="30">
        <f t="shared" si="13"/>
        <v>0.9820000000000001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39264.05684874818</v>
      </c>
      <c r="J382" s="30">
        <f>IFERROR((I382/I$380),0)</f>
        <v>2.9999999999999995E-2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103363.47310443968</v>
      </c>
      <c r="J383" s="30">
        <f t="shared" ref="J383:J395" si="14">IFERROR((I383/I$380),0)</f>
        <v>7.8975644444444437E-2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13088.018949582729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9.1686908815047097E-3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0.12529566211029075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13088.018949582729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13088.018949582729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19632.02842437409</v>
      </c>
      <c r="J389" s="30">
        <f t="shared" si="14"/>
        <v>1.4999999999999998E-2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13088.018949582729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1.8337381763009419E-2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13088.018949582729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117792.17054624455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545479.02367172006</v>
      </c>
      <c r="J394" s="30">
        <f t="shared" si="14"/>
        <v>0.41677737919924923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763322.87128655275</v>
      </c>
      <c r="J395" s="30">
        <f t="shared" si="14"/>
        <v>0.58322262080075071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763322.87128655275</v>
      </c>
      <c r="J400" s="30">
        <f t="shared" si="15"/>
        <v>0.58322262080075071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Dillon Makar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Happy Car Express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509 S Pleasantburg Dr.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Greenville, SC 29607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/oxJdqViYuheTh2UQeoyax99jam+sjwydACTkx5L/NeUZXmUpl7VKK/3+JIJlKZHtUzCvv6uxzBnhd/qQiq+Ow==" saltValue="5P1E7QUi1wwQUsxrucKfn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2020-07-02T20:03:54Z</cp:lastPrinted>
  <dcterms:created xsi:type="dcterms:W3CDTF">2003-04-06T16:14:55Z</dcterms:created>
  <dcterms:modified xsi:type="dcterms:W3CDTF">2020-11-02T13:53:32Z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