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Massachusetts\Rob Cherrier\301 Main St, Whitinsville\2019\"/>
    </mc:Choice>
  </mc:AlternateContent>
  <xr:revisionPtr revIDLastSave="0" documentId="8_{356D37E0-7DA4-4CAD-BEED-0842A3323B52}" xr6:coauthVersionLast="43" xr6:coauthVersionMax="43" xr10:uidLastSave="{00000000-0000-0000-0000-000000000000}"/>
  <workbookProtection workbookPassword="FB8D" lockStructure="1"/>
  <bookViews>
    <workbookView xWindow="57480" yWindow="-120" windowWidth="29040" windowHeight="1584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<sst xmlns="http://schemas.openxmlformats.org/spreadsheetml/2006/main" count="434" uniqueCount="200">
  <si>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</si>
  <si>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</si>
  <si>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</si>
  <si>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</si>
  <si>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</si>
  <si>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</si>
  <si>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</si>
  <si>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</si>
  <si>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</si>
  <si>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</si>
  <si>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</si>
  <si>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</si>
  <si>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</si>
  <si>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</si>
  <si>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</si>
  <si>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</si>
  <si>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</si>
  <si>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</si>
  <si>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</si>
  <si>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</si>
  <si>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</si>
  <si>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</si>
  <si>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</si>
  <si>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</si>
  <si>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</si>
  <si>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</si>
  <si>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</si>
  <si>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</si>
  <si>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</si>
  <si>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</si>
  <si>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</si>
  <si>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</si>
  <si>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</si>
  <si>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</si>
  <si>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</si>
  <si>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</si>
  <si>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</si>
  <si>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</si>
  <si>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</si>
  <si>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</si>
  <si>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</si>
  <si>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</si>
  <si>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</si>
  <si>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</si>
  <si>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</si>
  <si>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</si>
  <si>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</si>
  <si>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</si>
  <si>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</si>
  <si>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</si>
  <si>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</si>
  <si>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</si>
  <si>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</si>
  <si>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</si>
  <si>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</si>
  <si>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</si>
  <si>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</si>
  <si>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</si>
  <si>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</si>
  <si>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</si>
  <si>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</si>
  <si>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</si>
  <si>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</si>
  <si>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</si>
  <si>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</si>
  <si>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</si>
  <si>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</si>
  <si>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</si>
  <si>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</si>
  <si>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</si>
  <si>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</si>
  <si>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</si>
  <si>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</si>
  <si>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</si>
  <si>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</si>
  <si>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</si>
  <si>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</si>
  <si>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</si>
  <si>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</si>
  <si>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</si>
  <si>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</si>
  <si>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</si>
  <si>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</si>
  <si>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</si>
  <si>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</si>
  <si>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</si>
  <si>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</si>
  <si>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</si>
  <si>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</si>
  <si>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</si>
  <si>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</si>
  <si>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</si>
  <si>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</si>
  <si>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</si>
  <si>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</si>
  <si>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</si>
  <si>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</si>
  <si>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</si>
  <si>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</si>
  <si>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</si>
  <si>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</si>
  <si>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</si>
  <si>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</si>
  <si>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</si>
  <si>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</si>
  <si>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</si>
  <si>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</si>
  <si>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</si>
  <si>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</si>
  <si>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</si>
  <si>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</si>
  <si>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</si>
  <si>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</si>
  <si>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</si>
  <si>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</si>
  <si>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</si>
  <si>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</si>
  <si>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</si>
  <si>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</si>
  <si>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</si>
  <si>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</si>
  <si>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</si>
  <si>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</si>
  <si>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</si>
  <si>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</si>
  <si>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</si>
  <si>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</si>
  <si>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</si>
  <si>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</si>
  <si>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</si>
  <si>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</si>
  <si>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</si>
  <si>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</si>
  <si>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</si>
  <si>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</si>
  <si>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</si>
  <si>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</si>
  <si>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</si>
  <si>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</si>
  <si>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</si>
  <si>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</si>
  <si>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</si>
  <si>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</si>
  <si>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</si>
  <si>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</si>
  <si>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</si>
  <si>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</si>
  <si>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</si>
  <si>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</si>
  <si>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</si>
  <si>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</si>
  <si>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</si>
  <si>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</si>
  <si>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</si>
  <si>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</si>
  <si>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</si>
  <si>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</si>
  <si>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</si>
  <si>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</si>
  <si>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</si>
  <si>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</si>
  <si>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</si>
  <si>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</si>
  <si>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</si>
  <si>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</si>
  <si>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</si>
  <si>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</si>
  <si>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</si>
  <si>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</si>
  <si>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</si>
  <si>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</si>
  <si>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</si>
  <si>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</si>
  <si>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</si>
  <si>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</si>
  <si>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</si>
  <si>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</si>
  <si>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</si>
  <si>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</si>
  <si>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</si>
  <si>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</si>
  <si>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</si>
  <si>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</si>
  <si>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</si>
  <si>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</si>
  <si>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</si>
  <si>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</si>
  <si>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</si>
  <si>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</si>
  <si>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</si>
  <si>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</si>
  <si>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</si>
  <si>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</si>
  <si>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</si>
  <si>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</si>
  <si>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</si>
  <si>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Rob Cherrier</t>
  </si>
  <si>
    <t>Cherrier Car Wash</t>
  </si>
  <si>
    <t>355 Main St.</t>
  </si>
  <si>
    <t>Whitinsville, MA 01588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</si>
</sst>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73" zoomScaleNormal="100" workbookViewId="0">
      <selection activeCell="H52" sqref="H52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41</v>
      </c>
      <c r="B1" s="98"/>
      <c r="C1" s="98"/>
      <c r="D1" s="98"/>
      <c r="E1" s="34"/>
      <c r="F1" s="34"/>
    </row>
    <row r="2" spans="1:9" ht="15.75" x14ac:dyDescent="0.25">
      <c r="A2" s="35" t="s">
        <v>12</v>
      </c>
      <c r="B2" s="99" t="s">
        <v>196</v>
      </c>
      <c r="C2" s="100"/>
      <c r="D2" s="101"/>
      <c r="E2" s="34"/>
      <c r="F2" s="34"/>
    </row>
    <row r="3" spans="1:9" ht="15.75" x14ac:dyDescent="0.25">
      <c r="A3" s="35" t="s">
        <v>15</v>
      </c>
      <c r="B3" s="99" t="s">
        <v>197</v>
      </c>
      <c r="C3" s="100"/>
      <c r="D3" s="101"/>
      <c r="E3" s="34"/>
      <c r="F3" s="34"/>
    </row>
    <row r="4" spans="1:9" ht="15.75" x14ac:dyDescent="0.25">
      <c r="A4" s="35" t="s">
        <v>13</v>
      </c>
      <c r="B4" s="99" t="s">
        <v>198</v>
      </c>
      <c r="C4" s="100"/>
      <c r="D4" s="101"/>
      <c r="E4" s="34"/>
      <c r="F4" s="34"/>
    </row>
    <row r="5" spans="1:9" ht="15.75" x14ac:dyDescent="0.25">
      <c r="A5" s="35" t="s">
        <v>14</v>
      </c>
      <c r="B5" s="99" t="s">
        <v>199</v>
      </c>
      <c r="C5" s="100"/>
      <c r="D5" s="101"/>
      <c r="E5" s="34"/>
      <c r="F5" s="34"/>
    </row>
    <row r="6" spans="1:9" ht="15.75" x14ac:dyDescent="0.25">
      <c r="A6" s="35" t="s">
        <v>16</v>
      </c>
      <c r="B6" s="99"/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40</v>
      </c>
      <c r="B11" s="87"/>
      <c r="C11" s="87"/>
      <c r="D11" s="87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39</v>
      </c>
      <c r="B17" s="92"/>
      <c r="C17" s="92"/>
      <c r="D17" s="93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6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14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44</v>
      </c>
      <c r="B25" s="92"/>
      <c r="C25" s="92"/>
      <c r="D25" s="92"/>
      <c r="E25" s="93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6</v>
      </c>
      <c r="C27" s="47">
        <v>6</v>
      </c>
      <c r="D27" s="47">
        <v>6</v>
      </c>
      <c r="E27" s="47">
        <v>6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14</v>
      </c>
      <c r="C29" s="47">
        <v>14</v>
      </c>
      <c r="D29" s="47">
        <v>14</v>
      </c>
      <c r="E29" s="47">
        <v>14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59</v>
      </c>
      <c r="B33" s="92"/>
      <c r="C33" s="92"/>
      <c r="D33" s="92"/>
      <c r="E33" s="92"/>
      <c r="F33" s="93"/>
    </row>
    <row r="34" spans="1:6" ht="15.75" x14ac:dyDescent="0.2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2"/>
      <c r="B35" s="50"/>
      <c r="C35" s="50"/>
      <c r="D35" s="50"/>
      <c r="E35" s="50">
        <v>1</v>
      </c>
      <c r="F35" s="51">
        <f>IF(B35=1,0.15,IF(C35=1,0.1,IF(D35=1,0.05,IF(E35=1,-0.25,0))))</f>
        <v>-0.25</v>
      </c>
    </row>
    <row r="36" spans="1:6" ht="15.75" x14ac:dyDescent="0.2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2"/>
      <c r="B37" s="50">
        <v>1</v>
      </c>
      <c r="C37" s="50"/>
      <c r="D37" s="50"/>
      <c r="E37" s="50"/>
      <c r="F37" s="51">
        <f>IF(B37=1,0.15,IF(C37=1,0.125,IF(D37=1,0.075,IF(E37=1,-0.025,0))))</f>
        <v>0.15</v>
      </c>
    </row>
    <row r="38" spans="1:6" ht="30" x14ac:dyDescent="0.2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2"/>
      <c r="B41" s="50"/>
      <c r="C41" s="50"/>
      <c r="D41" s="50"/>
      <c r="E41" s="50">
        <v>1</v>
      </c>
      <c r="F41" s="51">
        <f>IF(B41=1,0.15,IF(C41=1,0.125,IF(D41=1,0.075,IF(E41=1,0.05,0))))</f>
        <v>0.05</v>
      </c>
    </row>
    <row r="42" spans="1:6" ht="47.25" x14ac:dyDescent="0.2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5" x14ac:dyDescent="0.2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0.67500000000000004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93</v>
      </c>
      <c r="B57" s="96"/>
      <c r="C57" s="96"/>
      <c r="D57" s="97"/>
      <c r="E57" s="59">
        <v>2.6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94</v>
      </c>
      <c r="B58" s="96"/>
      <c r="C58" s="96"/>
      <c r="D58" s="97"/>
      <c r="E58" s="45">
        <v>0.52200000000000002</v>
      </c>
      <c r="F58" s="61">
        <f>-0.3*(0.55-E58)</f>
        <v>-8.4000000000000064E-3</v>
      </c>
    </row>
    <row r="59" spans="1:8" ht="15.75" x14ac:dyDescent="0.25">
      <c r="A59" s="95" t="s">
        <v>3</v>
      </c>
      <c r="B59" s="96"/>
      <c r="C59" s="96"/>
      <c r="D59" s="97"/>
      <c r="E59" s="45">
        <v>0.753</v>
      </c>
      <c r="F59" s="61">
        <f>-0.75*(0.5-E59)</f>
        <v>0.18975</v>
      </c>
    </row>
    <row r="60" spans="1:8" ht="15.75" x14ac:dyDescent="0.25">
      <c r="A60" s="95" t="s">
        <v>4</v>
      </c>
      <c r="B60" s="96"/>
      <c r="C60" s="96"/>
      <c r="D60" s="97"/>
      <c r="E60" s="47">
        <v>6</v>
      </c>
      <c r="F60" s="62">
        <f>IF(E60&lt;5.01,0.5*(5-E60),-0.075*(E60-5))</f>
        <v>-7.4999999999999997E-2</v>
      </c>
    </row>
    <row r="61" spans="1:8" ht="15.75" x14ac:dyDescent="0.25">
      <c r="A61" s="95" t="s">
        <v>95</v>
      </c>
      <c r="B61" s="96"/>
      <c r="C61" s="96"/>
      <c r="D61" s="96"/>
      <c r="E61" s="97"/>
      <c r="F61" s="61">
        <f>SUM(F57:F60)/4</f>
        <v>2.6587499999999997E-2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98</v>
      </c>
      <c r="B63" s="94"/>
      <c r="C63" s="94"/>
      <c r="D63" s="94"/>
      <c r="E63" s="94"/>
      <c r="F63" s="94"/>
    </row>
    <row r="64" spans="1:8" ht="15.75" x14ac:dyDescent="0.25">
      <c r="A64" s="95" t="s">
        <v>96</v>
      </c>
      <c r="B64" s="96"/>
      <c r="C64" s="96"/>
      <c r="D64" s="96"/>
      <c r="E64" s="97"/>
      <c r="F64" s="64">
        <f>(F54*0.7)*(1+F61)/85</f>
        <v>5.7066187499999997E-3</v>
      </c>
    </row>
    <row r="65" spans="1:6" ht="15.75" x14ac:dyDescent="0.25">
      <c r="A65" s="95" t="s">
        <v>97</v>
      </c>
      <c r="B65" s="96"/>
      <c r="C65" s="96"/>
      <c r="D65" s="96"/>
      <c r="E65" s="97"/>
      <c r="F65" s="64">
        <f>$F$54*(1+$F$61)/92</f>
        <v>7.5320278532608701E-3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9.1177179276315801E-3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103</v>
      </c>
      <c r="B68" s="92"/>
      <c r="C68" s="92"/>
      <c r="D68" s="93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9815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104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15682.92964875</v>
      </c>
      <c r="C74" s="68">
        <f>F65*A70*280</f>
        <v>20699.518946331526</v>
      </c>
      <c r="D74" s="68">
        <f>($F$54*(1+$F$61))/85*($A$70*(1+B$70))*280</f>
        <v>22404.185212500004</v>
      </c>
      <c r="E74" s="68">
        <f>($F$54*(1+$F$61))/82*($A$70*(1+C$70))*280</f>
        <v>23223.850525152444</v>
      </c>
      <c r="F74" s="68">
        <f>F66*(A70*(1+D70)*280)</f>
        <v>25057.312408717109</v>
      </c>
    </row>
    <row r="75" spans="1:6" ht="15.75" x14ac:dyDescent="0.25">
      <c r="A75" s="35" t="s">
        <v>106</v>
      </c>
      <c r="B75" s="68">
        <f>B74/12</f>
        <v>1306.9108040624999</v>
      </c>
      <c r="C75" s="68">
        <f>C74/12</f>
        <v>1724.9599121942938</v>
      </c>
      <c r="D75" s="68">
        <f t="shared" ref="D75:F75" si="0">D74/12</f>
        <v>1867.0154343750003</v>
      </c>
      <c r="E75" s="68">
        <f t="shared" si="0"/>
        <v>1935.3208770960371</v>
      </c>
      <c r="F75" s="68">
        <f t="shared" si="0"/>
        <v>2088.1093673930923</v>
      </c>
    </row>
    <row r="76" spans="1:6" ht="15.75" x14ac:dyDescent="0.25">
      <c r="A76" s="35" t="s">
        <v>107</v>
      </c>
      <c r="B76" s="68">
        <f>B75/4.5/7*3</f>
        <v>124.46769562499998</v>
      </c>
      <c r="C76" s="68">
        <f t="shared" ref="C76:F76" si="1">C75/4.5/7*3</f>
        <v>164.28189639945657</v>
      </c>
      <c r="D76" s="68">
        <f t="shared" si="1"/>
        <v>177.81099375000002</v>
      </c>
      <c r="E76" s="68">
        <f t="shared" si="1"/>
        <v>184.31627400914638</v>
      </c>
      <c r="F76" s="68">
        <f t="shared" si="1"/>
        <v>198.86755879934213</v>
      </c>
    </row>
    <row r="77" spans="1:6" ht="15.75" x14ac:dyDescent="0.25">
      <c r="A77" s="35" t="s">
        <v>108</v>
      </c>
      <c r="B77" s="68">
        <f>IFERROR((B76/$B9*1.3),0)</f>
        <v>13.484000359374999</v>
      </c>
      <c r="C77" s="68">
        <f t="shared" ref="C77:F77" si="2">IFERROR((C76/$B9*1.3),0)</f>
        <v>17.797205443274464</v>
      </c>
      <c r="D77" s="68">
        <f t="shared" si="2"/>
        <v>19.262857656250002</v>
      </c>
      <c r="E77" s="68">
        <f t="shared" si="2"/>
        <v>19.96759635099086</v>
      </c>
      <c r="F77" s="68">
        <f t="shared" si="2"/>
        <v>21.543985536595397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1" t="s">
        <v>121</v>
      </c>
      <c r="B87" s="92"/>
      <c r="C87" s="92"/>
      <c r="D87" s="92"/>
      <c r="E87" s="92"/>
      <c r="F87" s="93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1" t="s">
        <v>123</v>
      </c>
      <c r="B95" s="92"/>
      <c r="C95" s="92"/>
      <c r="D95" s="92"/>
      <c r="E95" s="92"/>
      <c r="F95" s="93"/>
    </row>
    <row r="96" spans="1:6" ht="15.75" x14ac:dyDescent="0.25">
      <c r="A96" s="88" t="s">
        <v>124</v>
      </c>
      <c r="B96" s="89"/>
      <c r="C96" s="89"/>
      <c r="D96" s="90"/>
      <c r="E96" s="81" t="s">
        <v>126</v>
      </c>
      <c r="F96" s="82"/>
    </row>
    <row r="97" spans="1:8" ht="15.75" x14ac:dyDescent="0.25">
      <c r="A97" s="78" t="s">
        <v>117</v>
      </c>
      <c r="B97" s="79"/>
      <c r="C97" s="79"/>
      <c r="D97" s="80"/>
      <c r="E97" s="83">
        <v>0</v>
      </c>
      <c r="F97" s="84"/>
    </row>
    <row r="98" spans="1:8" ht="15.75" x14ac:dyDescent="0.25">
      <c r="A98" s="78" t="s">
        <v>118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125</v>
      </c>
      <c r="B100" s="79"/>
      <c r="C100" s="79"/>
      <c r="D100" s="80"/>
      <c r="E100" s="85">
        <f>SUM(E97:F99)</f>
        <v>0</v>
      </c>
      <c r="F100" s="86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zoomScale="130" zoomScaleNormal="100" zoomScalePageLayoutView="130" workbookViewId="0">
      <selection activeCell="F376" sqref="F37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Rob Cherrier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 t="str">
        <f>'Input Form'!B3</f>
        <v>Cherrier Car Wash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 t="str">
        <f>'Input Form'!B4</f>
        <v>355 Main St.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Whitinsville, MA 01588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5" t="s">
        <v>187</v>
      </c>
      <c r="D56" s="115"/>
      <c r="E56" s="116" t="str">
        <f>CustomerName</f>
        <v>Rob Cherrier</v>
      </c>
      <c r="F56" s="117"/>
      <c r="G56" s="117"/>
      <c r="H56" s="117"/>
      <c r="I56" s="118"/>
      <c r="J56" s="10"/>
      <c r="K56" s="10"/>
    </row>
    <row r="57" spans="1:11" x14ac:dyDescent="0.2">
      <c r="A57" s="10"/>
      <c r="B57" s="10"/>
      <c r="C57" s="134" t="s">
        <v>188</v>
      </c>
      <c r="D57" s="135"/>
      <c r="E57" s="116" t="str">
        <f>CompanyName</f>
        <v>Cherrier Car Wash</v>
      </c>
      <c r="F57" s="117"/>
      <c r="G57" s="117"/>
      <c r="H57" s="117"/>
      <c r="I57" s="118"/>
      <c r="J57" s="10"/>
      <c r="K57" s="10"/>
    </row>
    <row r="58" spans="1:11" x14ac:dyDescent="0.2">
      <c r="A58" s="10"/>
      <c r="B58" s="10"/>
      <c r="C58" s="119" t="s">
        <v>129</v>
      </c>
      <c r="D58" s="120"/>
      <c r="E58" s="125" t="str">
        <f>AddressLine1</f>
        <v>355 Main St.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1"/>
      <c r="D59" s="122"/>
      <c r="E59" s="128" t="str">
        <f>AddressLine2</f>
        <v>Whitinsville, MA 01588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2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2179.4901357372828</v>
      </c>
      <c r="J65" s="18">
        <f>'Input Form'!B75</f>
        <v>1306.9108040624999</v>
      </c>
      <c r="K65" s="10"/>
    </row>
    <row r="66" spans="1:15" ht="18.75" x14ac:dyDescent="0.3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2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6</v>
      </c>
      <c r="G69" s="140">
        <f>'Input Form'!D19</f>
        <v>0.5</v>
      </c>
      <c r="H69" s="141"/>
      <c r="I69" s="20">
        <f>IFERROR((I$65*G69*F69),0)</f>
        <v>6538.4704072118484</v>
      </c>
      <c r="J69" s="20">
        <f>J$65*F69*G69</f>
        <v>3920.7324121874999</v>
      </c>
      <c r="K69" s="10"/>
    </row>
    <row r="70" spans="1:15" x14ac:dyDescent="0.2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3269.2352036059242</v>
      </c>
      <c r="J70" s="20">
        <f t="shared" ref="J70:J73" si="0">J$65*F70*G70</f>
        <v>1960.3662060937497</v>
      </c>
      <c r="K70" s="10"/>
    </row>
    <row r="71" spans="1:15" x14ac:dyDescent="0.2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14</v>
      </c>
      <c r="G71" s="140">
        <f>'Input Form'!D21</f>
        <v>0.15</v>
      </c>
      <c r="H71" s="141"/>
      <c r="I71" s="20">
        <f>IFERROR((I$65*G71*F71),0)</f>
        <v>4576.9292850482943</v>
      </c>
      <c r="J71" s="20">
        <f t="shared" si="0"/>
        <v>2744.5126885312498</v>
      </c>
      <c r="K71" s="10"/>
    </row>
    <row r="72" spans="1:15" x14ac:dyDescent="0.2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18</v>
      </c>
      <c r="G72" s="140">
        <f>'Input Form'!D22</f>
        <v>0.2</v>
      </c>
      <c r="H72" s="141"/>
      <c r="I72" s="20">
        <f t="shared" ref="I72:I73" si="1">I$65*G72*F72</f>
        <v>7846.1644886542181</v>
      </c>
      <c r="J72" s="20">
        <f t="shared" si="0"/>
        <v>4704.8788946249997</v>
      </c>
      <c r="K72" s="10"/>
    </row>
    <row r="73" spans="1:15" x14ac:dyDescent="0.2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22230.799384520287</v>
      </c>
      <c r="J74" s="20">
        <f>SUM(J69:J73)</f>
        <v>13330.4902014375</v>
      </c>
      <c r="K74" s="10"/>
      <c r="O74" s="5"/>
    </row>
    <row r="75" spans="1:15" x14ac:dyDescent="0.2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-400.15438892136518</v>
      </c>
      <c r="J75" s="20">
        <f>-(J74*$F75*$G75)</f>
        <v>-239.94882362587498</v>
      </c>
      <c r="K75" s="10"/>
      <c r="L75" s="7"/>
    </row>
    <row r="76" spans="1:15" x14ac:dyDescent="0.2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21830.644995598923</v>
      </c>
      <c r="J76" s="20">
        <f>SUM(J74:J75)</f>
        <v>13090.541377811625</v>
      </c>
      <c r="K76" s="10"/>
      <c r="L76" s="5"/>
      <c r="N76" s="8"/>
    </row>
    <row r="77" spans="1:15" x14ac:dyDescent="0.2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10.016400000000001</v>
      </c>
      <c r="J77" s="22">
        <f>J76/(J65+0.000000001)</f>
        <v>10.016399999992338</v>
      </c>
      <c r="K77" s="10"/>
      <c r="M77" s="5"/>
      <c r="N77" s="7"/>
    </row>
    <row r="78" spans="1:15" ht="18.75" x14ac:dyDescent="0.3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654.91934986796764</v>
      </c>
      <c r="J80" s="20">
        <f>$G80*J76</f>
        <v>392.71624133434875</v>
      </c>
      <c r="K80" s="10"/>
    </row>
    <row r="81" spans="1:12" x14ac:dyDescent="0.2">
      <c r="A81" s="10"/>
      <c r="B81" s="137" t="s">
        <v>142</v>
      </c>
      <c r="C81" s="138"/>
      <c r="D81" s="138"/>
      <c r="E81" s="138"/>
      <c r="F81" s="139"/>
      <c r="G81" s="162">
        <f>IFERROR((J81/J74),0)</f>
        <v>6.159607843137254E-2</v>
      </c>
      <c r="H81" s="163"/>
      <c r="I81" s="20">
        <f>G81*I76</f>
        <v>1344.6821213563617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821.10591997638744</v>
      </c>
      <c r="K81" s="10"/>
    </row>
    <row r="82" spans="1:12" x14ac:dyDescent="0.2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218.30644995598922</v>
      </c>
      <c r="J82" s="20">
        <f>$G82*J76</f>
        <v>130.90541377811627</v>
      </c>
      <c r="K82" s="10"/>
    </row>
    <row r="83" spans="1:12" x14ac:dyDescent="0.2">
      <c r="A83" s="10"/>
      <c r="B83" s="137" t="s">
        <v>151</v>
      </c>
      <c r="C83" s="138"/>
      <c r="D83" s="138"/>
      <c r="E83" s="138"/>
      <c r="F83" s="139"/>
      <c r="G83" s="162">
        <f>IFERROR((I83/I74),0)</f>
        <v>4.4982637947617768E-2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24</v>
      </c>
      <c r="C84" s="138"/>
      <c r="D84" s="138"/>
      <c r="E84" s="138"/>
      <c r="F84" s="139"/>
      <c r="G84" s="162">
        <f>IFERROR((I84/I74),0)</f>
        <v>0.61471473713696534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218.30644995598922</v>
      </c>
      <c r="J85" s="20">
        <f>$G85*J76</f>
        <v>130.90541377811627</v>
      </c>
      <c r="K85" s="10"/>
    </row>
    <row r="86" spans="1:12" x14ac:dyDescent="0.2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218.30644995598922</v>
      </c>
      <c r="J86" s="20">
        <f>$G86*J76</f>
        <v>130.90541377811627</v>
      </c>
      <c r="K86" s="10"/>
    </row>
    <row r="87" spans="1:12" x14ac:dyDescent="0.2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327.45967493398382</v>
      </c>
      <c r="J87" s="20">
        <f>$G87*J76</f>
        <v>196.35812066717438</v>
      </c>
      <c r="K87" s="10"/>
    </row>
    <row r="88" spans="1:12" x14ac:dyDescent="0.2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218.30644995598922</v>
      </c>
      <c r="J88" s="20">
        <f>$G88*J76</f>
        <v>130.90541377811627</v>
      </c>
      <c r="K88" s="10"/>
    </row>
    <row r="89" spans="1:12" x14ac:dyDescent="0.2">
      <c r="A89" s="10"/>
      <c r="B89" s="137" t="s">
        <v>150</v>
      </c>
      <c r="C89" s="138"/>
      <c r="D89" s="138"/>
      <c r="E89" s="138"/>
      <c r="F89" s="139"/>
      <c r="G89" s="162">
        <f>IFERROR((I89/I74),0)</f>
        <v>8.9965275895235536E-2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218.30644995598922</v>
      </c>
      <c r="J90" s="20">
        <f>$G90*J76</f>
        <v>130.90541377811627</v>
      </c>
      <c r="K90" s="10"/>
      <c r="L90" s="5"/>
    </row>
    <row r="91" spans="1:12" x14ac:dyDescent="0.2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1746.4515996479138</v>
      </c>
      <c r="J91" s="20">
        <f>$G91*J76</f>
        <v>1047.2433102249302</v>
      </c>
      <c r="K91" s="10"/>
      <c r="L91" s="5"/>
    </row>
    <row r="92" spans="1:12" x14ac:dyDescent="0.2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21830.644995586168</v>
      </c>
      <c r="J92" s="20">
        <f>SUM(J80:J91)</f>
        <v>19777.550661093424</v>
      </c>
      <c r="K92" s="10"/>
    </row>
    <row r="93" spans="1:12" x14ac:dyDescent="0.2">
      <c r="A93" s="10"/>
      <c r="B93" s="115" t="s">
        <v>158</v>
      </c>
      <c r="C93" s="115"/>
      <c r="D93" s="115"/>
      <c r="E93" s="115"/>
      <c r="F93" s="115"/>
      <c r="G93" s="115"/>
      <c r="H93" s="115"/>
      <c r="I93" s="24">
        <f>I76-I92</f>
        <v>1.2754753697663546E-8</v>
      </c>
      <c r="J93" s="24">
        <f>J76-J92</f>
        <v>-6687.0092832817991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5" t="s">
        <v>187</v>
      </c>
      <c r="D108" s="115"/>
      <c r="E108" s="116" t="str">
        <f>CustomerName</f>
        <v>Rob Cherrier</v>
      </c>
      <c r="F108" s="117"/>
      <c r="G108" s="117"/>
      <c r="H108" s="117"/>
      <c r="I108" s="118"/>
      <c r="J108" s="10"/>
      <c r="K108" s="10"/>
    </row>
    <row r="109" spans="1:11" x14ac:dyDescent="0.2">
      <c r="A109" s="10"/>
      <c r="B109" s="10"/>
      <c r="C109" s="134" t="s">
        <v>188</v>
      </c>
      <c r="D109" s="135"/>
      <c r="E109" s="116" t="str">
        <f>CompanyName</f>
        <v>Cherrier Car Wash</v>
      </c>
      <c r="F109" s="117"/>
      <c r="G109" s="117"/>
      <c r="H109" s="117"/>
      <c r="I109" s="118"/>
      <c r="J109" s="10"/>
      <c r="K109" s="10"/>
    </row>
    <row r="110" spans="1:11" x14ac:dyDescent="0.2">
      <c r="A110" s="10"/>
      <c r="B110" s="10"/>
      <c r="C110" s="119" t="s">
        <v>129</v>
      </c>
      <c r="D110" s="120"/>
      <c r="E110" s="125" t="str">
        <f>AddressLine1</f>
        <v>355 Main St.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1"/>
      <c r="D111" s="122"/>
      <c r="E111" s="128" t="str">
        <f>AddressLine2</f>
        <v>Whitinsville, MA 01588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10"/>
    </row>
    <row r="119" spans="1:11" x14ac:dyDescent="0.2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160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10"/>
    </row>
    <row r="123" spans="1:11" ht="18.75" x14ac:dyDescent="0.3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2">
      <c r="A125" s="10"/>
      <c r="B125" s="27" t="s">
        <v>118</v>
      </c>
      <c r="C125" s="151">
        <f>'Input Form'!B89</f>
        <v>0</v>
      </c>
      <c r="D125" s="141"/>
      <c r="E125" s="152">
        <f>'Input Form'!C89</f>
        <v>7.4999999999999997E-2</v>
      </c>
      <c r="F125" s="153"/>
      <c r="G125" s="141">
        <f>'Input Form'!D89</f>
        <v>300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120</v>
      </c>
      <c r="C126" s="151">
        <f>'Input Form'!B90</f>
        <v>0</v>
      </c>
      <c r="D126" s="141"/>
      <c r="E126" s="152">
        <f>'Input Form'!C90</f>
        <v>7.4999999999999997E-2</v>
      </c>
      <c r="F126" s="153"/>
      <c r="G126" s="141">
        <f>'Input Form'!D90</f>
        <v>300</v>
      </c>
      <c r="H126" s="141"/>
      <c r="I126" s="146">
        <f>'Input Form'!F90</f>
        <v>0</v>
      </c>
      <c r="J126" s="146"/>
      <c r="K126" s="10"/>
    </row>
    <row r="127" spans="1:11" x14ac:dyDescent="0.2">
      <c r="A127" s="10"/>
      <c r="B127" s="27" t="s">
        <v>117</v>
      </c>
      <c r="C127" s="151">
        <f>'Input Form'!B91</f>
        <v>0</v>
      </c>
      <c r="D127" s="141"/>
      <c r="E127" s="152">
        <f>'Input Form'!C91</f>
        <v>7.4999999999999997E-2</v>
      </c>
      <c r="F127" s="153"/>
      <c r="G127" s="141">
        <f>'Input Form'!D91</f>
        <v>300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119</v>
      </c>
      <c r="C128" s="151">
        <f>'Input Form'!B92</f>
        <v>0</v>
      </c>
      <c r="D128" s="141"/>
      <c r="E128" s="152">
        <f>'Input Form'!C92</f>
        <v>7.4999999999999997E-2</v>
      </c>
      <c r="F128" s="153"/>
      <c r="G128" s="141">
        <f>'Input Form'!D92</f>
        <v>300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159</v>
      </c>
      <c r="C129" s="151">
        <f>'Input Form'!B93</f>
        <v>0</v>
      </c>
      <c r="D129" s="141"/>
      <c r="E129" s="152">
        <f>'Input Form'!C93</f>
        <v>7.4999999999999997E-2</v>
      </c>
      <c r="F129" s="153"/>
      <c r="G129" s="141">
        <f>'Input Form'!D93</f>
        <v>300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122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.75" x14ac:dyDescent="0.3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2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2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2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2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.75" x14ac:dyDescent="0.3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2">
      <c r="A138" s="10"/>
      <c r="B138" s="103" t="s">
        <v>139</v>
      </c>
      <c r="C138" s="103"/>
      <c r="D138" s="103"/>
      <c r="E138" s="103"/>
      <c r="F138" s="103"/>
      <c r="G138" s="146">
        <f>I76</f>
        <v>21830.644995598923</v>
      </c>
      <c r="H138" s="146"/>
      <c r="I138" s="146">
        <f>J76</f>
        <v>13090.541377811625</v>
      </c>
      <c r="J138" s="146"/>
      <c r="K138" s="10"/>
    </row>
    <row r="139" spans="1:11" x14ac:dyDescent="0.2">
      <c r="A139" s="10"/>
      <c r="B139" s="103" t="s">
        <v>163</v>
      </c>
      <c r="C139" s="103"/>
      <c r="D139" s="103"/>
      <c r="E139" s="103"/>
      <c r="F139" s="103"/>
      <c r="G139" s="146">
        <f>I92</f>
        <v>21830.644995586168</v>
      </c>
      <c r="H139" s="146"/>
      <c r="I139" s="146">
        <f>J92</f>
        <v>19777.550661093424</v>
      </c>
      <c r="J139" s="146"/>
      <c r="K139" s="10"/>
    </row>
    <row r="140" spans="1:11" x14ac:dyDescent="0.2">
      <c r="A140" s="10"/>
      <c r="B140" s="103" t="s">
        <v>158</v>
      </c>
      <c r="C140" s="103"/>
      <c r="D140" s="103"/>
      <c r="E140" s="103"/>
      <c r="F140" s="103"/>
      <c r="G140" s="146">
        <f>G138-G139</f>
        <v>1.2754753697663546E-8</v>
      </c>
      <c r="H140" s="146"/>
      <c r="I140" s="146">
        <f>J93</f>
        <v>-6687.0092832817991</v>
      </c>
      <c r="J140" s="146"/>
      <c r="K140" s="10"/>
    </row>
    <row r="141" spans="1:11" x14ac:dyDescent="0.2">
      <c r="A141" s="10"/>
      <c r="B141" s="103" t="s">
        <v>164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2">
      <c r="A142" s="10"/>
      <c r="B142" s="103" t="s">
        <v>165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2">
      <c r="A143" s="10"/>
      <c r="B143" s="103" t="s">
        <v>166</v>
      </c>
      <c r="C143" s="103"/>
      <c r="D143" s="103"/>
      <c r="E143" s="103"/>
      <c r="F143" s="103"/>
      <c r="G143" s="146">
        <f>G140-G141-G142</f>
        <v>1.2754753697663546E-8</v>
      </c>
      <c r="H143" s="146"/>
      <c r="I143" s="146">
        <f>I140-I141-I142</f>
        <v>-6687.0092832817991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5" t="s">
        <v>187</v>
      </c>
      <c r="D157" s="115"/>
      <c r="E157" s="116" t="str">
        <f>CustomerName</f>
        <v>Rob Cherrier</v>
      </c>
      <c r="F157" s="117"/>
      <c r="G157" s="117"/>
      <c r="H157" s="117"/>
      <c r="I157" s="118"/>
      <c r="J157" s="10"/>
      <c r="K157" s="10"/>
    </row>
    <row r="158" spans="1:11" x14ac:dyDescent="0.2">
      <c r="A158" s="10"/>
      <c r="B158" s="10"/>
      <c r="C158" s="134" t="s">
        <v>188</v>
      </c>
      <c r="D158" s="135"/>
      <c r="E158" s="116" t="str">
        <f>CompanyName</f>
        <v>Cherrier Car Wash</v>
      </c>
      <c r="F158" s="117"/>
      <c r="G158" s="117"/>
      <c r="H158" s="117"/>
      <c r="I158" s="118"/>
      <c r="J158" s="10"/>
      <c r="K158" s="10"/>
    </row>
    <row r="159" spans="1:11" x14ac:dyDescent="0.2">
      <c r="A159" s="10"/>
      <c r="B159" s="10"/>
      <c r="C159" s="119" t="s">
        <v>129</v>
      </c>
      <c r="D159" s="120"/>
      <c r="E159" s="125" t="str">
        <f>AddressLine1</f>
        <v>355 Main St.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1"/>
      <c r="D160" s="122"/>
      <c r="E160" s="128" t="str">
        <f>AddressLine2</f>
        <v>Whitinsville, MA 01588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2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15682.92964875</v>
      </c>
      <c r="J166" s="143"/>
      <c r="K166" s="10"/>
    </row>
    <row r="167" spans="1:11" ht="18.75" x14ac:dyDescent="0.3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2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6</v>
      </c>
      <c r="G169" s="140">
        <f>'Input Form'!$D$19</f>
        <v>0.5</v>
      </c>
      <c r="H169" s="141"/>
      <c r="I169" s="20">
        <f>I$166*F169*G169</f>
        <v>47048.788946250002</v>
      </c>
      <c r="J169" s="30">
        <f>IFERROR((I169/I$174),0)</f>
        <v>0.29411764705882354</v>
      </c>
      <c r="K169" s="10"/>
    </row>
    <row r="170" spans="1:11" x14ac:dyDescent="0.2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23524.394473124998</v>
      </c>
      <c r="J170" s="30">
        <f t="shared" ref="J170:J176" si="2">IFERROR((I170/I$174),0)</f>
        <v>0.14705882352941174</v>
      </c>
      <c r="K170" s="10"/>
    </row>
    <row r="171" spans="1:11" x14ac:dyDescent="0.2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14</v>
      </c>
      <c r="G171" s="140">
        <f>'Input Form'!$D$21</f>
        <v>0.15</v>
      </c>
      <c r="H171" s="141"/>
      <c r="I171" s="20">
        <f>I$166*F171*G171</f>
        <v>32934.152262374999</v>
      </c>
      <c r="J171" s="30">
        <f t="shared" si="2"/>
        <v>0.20588235294117643</v>
      </c>
      <c r="K171" s="10"/>
    </row>
    <row r="172" spans="1:11" x14ac:dyDescent="0.2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18</v>
      </c>
      <c r="G172" s="140">
        <f>'Input Form'!$D$22</f>
        <v>0.2</v>
      </c>
      <c r="H172" s="141"/>
      <c r="I172" s="20">
        <f>I$166*F172*G172</f>
        <v>56458.5467355</v>
      </c>
      <c r="J172" s="30">
        <f t="shared" si="2"/>
        <v>0.3529411764705882</v>
      </c>
      <c r="K172" s="10"/>
    </row>
    <row r="173" spans="1:11" x14ac:dyDescent="0.2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159965.88241725002</v>
      </c>
      <c r="J174" s="30">
        <f t="shared" si="2"/>
        <v>1</v>
      </c>
      <c r="K174" s="10"/>
    </row>
    <row r="175" spans="1:11" x14ac:dyDescent="0.2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-2879.3858835104998</v>
      </c>
      <c r="J175" s="30">
        <f t="shared" si="2"/>
        <v>-1.7999999999999995E-2</v>
      </c>
      <c r="K175" s="10"/>
    </row>
    <row r="176" spans="1:11" x14ac:dyDescent="0.2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157086.49653373953</v>
      </c>
      <c r="J176" s="30">
        <f t="shared" si="2"/>
        <v>0.9820000000000001</v>
      </c>
      <c r="K176" s="10"/>
    </row>
    <row r="177" spans="1:11" ht="18.75" x14ac:dyDescent="0.3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4712.5948960121859</v>
      </c>
      <c r="J178" s="30">
        <f>IFERROR((I178/I$176),0)</f>
        <v>3.0000000000000002E-2</v>
      </c>
      <c r="K178" s="10"/>
    </row>
    <row r="179" spans="1:11" x14ac:dyDescent="0.2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9675.9121610017501</v>
      </c>
      <c r="J179" s="30">
        <f t="shared" ref="J179:J196" si="3">IFERROR((I179/I$176),0)</f>
        <v>6.159607843137254E-2</v>
      </c>
      <c r="K179" s="10"/>
    </row>
    <row r="180" spans="1:11" x14ac:dyDescent="0.2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1570.8649653373952</v>
      </c>
      <c r="J180" s="30">
        <f t="shared" si="3"/>
        <v>0.01</v>
      </c>
      <c r="K180" s="10"/>
    </row>
    <row r="181" spans="1:11" x14ac:dyDescent="0.2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7.639103465155328E-2</v>
      </c>
      <c r="K181" s="10"/>
    </row>
    <row r="182" spans="1:11" x14ac:dyDescent="0.2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1.0439293231342666</v>
      </c>
      <c r="K182" s="10"/>
    </row>
    <row r="183" spans="1:11" x14ac:dyDescent="0.2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1570.8649653373952</v>
      </c>
      <c r="J183" s="30">
        <f t="shared" si="3"/>
        <v>0.01</v>
      </c>
      <c r="K183" s="10"/>
    </row>
    <row r="184" spans="1:11" x14ac:dyDescent="0.2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1570.8649653373952</v>
      </c>
      <c r="J184" s="30">
        <f t="shared" si="3"/>
        <v>0.01</v>
      </c>
      <c r="K184" s="10"/>
    </row>
    <row r="185" spans="1:11" x14ac:dyDescent="0.2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2356.297448006093</v>
      </c>
      <c r="J185" s="30">
        <f t="shared" si="3"/>
        <v>1.5000000000000001E-2</v>
      </c>
      <c r="K185" s="10"/>
    </row>
    <row r="186" spans="1:11" x14ac:dyDescent="0.2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1570.8649653373952</v>
      </c>
      <c r="J186" s="30">
        <f t="shared" si="3"/>
        <v>0.01</v>
      </c>
      <c r="K186" s="10"/>
    </row>
    <row r="187" spans="1:11" x14ac:dyDescent="0.2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0.15278206930310656</v>
      </c>
      <c r="K187" s="10"/>
    </row>
    <row r="188" spans="1:11" x14ac:dyDescent="0.2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1570.8649653373952</v>
      </c>
      <c r="J188" s="30">
        <f t="shared" si="3"/>
        <v>0.01</v>
      </c>
      <c r="K188" s="10"/>
    </row>
    <row r="189" spans="1:11" x14ac:dyDescent="0.2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12566.919722699162</v>
      </c>
      <c r="J189" s="30">
        <f t="shared" si="3"/>
        <v>0.08</v>
      </c>
      <c r="K189" s="10"/>
    </row>
    <row r="190" spans="1:11" x14ac:dyDescent="0.2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237153.24905440613</v>
      </c>
      <c r="J190" s="30">
        <f t="shared" si="3"/>
        <v>1.5096985055202985</v>
      </c>
      <c r="K190" s="10"/>
    </row>
    <row r="191" spans="1:11" x14ac:dyDescent="0.2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-80066.752520666603</v>
      </c>
      <c r="J191" s="30">
        <f t="shared" si="3"/>
        <v>-0.50969850552029861</v>
      </c>
      <c r="K191" s="10"/>
    </row>
    <row r="192" spans="1:11" ht="18.75" x14ac:dyDescent="0.3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-80066.752520666603</v>
      </c>
      <c r="J196" s="30">
        <f t="shared" si="3"/>
        <v>-0.50969850552029861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5" t="s">
        <v>187</v>
      </c>
      <c r="D208" s="115"/>
      <c r="E208" s="116" t="str">
        <f>CustomerName</f>
        <v>Rob Cherrier</v>
      </c>
      <c r="F208" s="117"/>
      <c r="G208" s="117"/>
      <c r="H208" s="117"/>
      <c r="I208" s="118"/>
      <c r="J208" s="10"/>
      <c r="K208" s="10"/>
    </row>
    <row r="209" spans="1:11" x14ac:dyDescent="0.2">
      <c r="A209" s="10"/>
      <c r="B209" s="10"/>
      <c r="C209" s="134" t="s">
        <v>188</v>
      </c>
      <c r="D209" s="135"/>
      <c r="E209" s="116" t="str">
        <f>CompanyName</f>
        <v>Cherrier Car Wash</v>
      </c>
      <c r="F209" s="117"/>
      <c r="G209" s="117"/>
      <c r="H209" s="117"/>
      <c r="I209" s="118"/>
      <c r="J209" s="10"/>
      <c r="K209" s="10"/>
    </row>
    <row r="210" spans="1:11" x14ac:dyDescent="0.2">
      <c r="A210" s="10"/>
      <c r="B210" s="10"/>
      <c r="C210" s="119" t="s">
        <v>129</v>
      </c>
      <c r="D210" s="120"/>
      <c r="E210" s="125" t="str">
        <f>AddressLine1</f>
        <v>355 Main St.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1"/>
      <c r="D211" s="122"/>
      <c r="E211" s="128" t="str">
        <f>AddressLine2</f>
        <v>Whitinsville, MA 01588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2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20699.518946331526</v>
      </c>
      <c r="J217" s="143"/>
      <c r="K217" s="10"/>
    </row>
    <row r="218" spans="1:11" ht="18.75" x14ac:dyDescent="0.3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2">
      <c r="A220" s="10"/>
      <c r="B220" s="103" t="str">
        <f>BasicPackage</f>
        <v>Basic Package</v>
      </c>
      <c r="C220" s="103"/>
      <c r="D220" s="103"/>
      <c r="E220" s="103"/>
      <c r="F220" s="19">
        <f>'Input Form'!B27</f>
        <v>6</v>
      </c>
      <c r="G220" s="140">
        <f>'Input Form'!$D$19</f>
        <v>0.5</v>
      </c>
      <c r="H220" s="141"/>
      <c r="I220" s="20">
        <f>I$217*F220*G220</f>
        <v>62098.556838994577</v>
      </c>
      <c r="J220" s="30">
        <f>IFERROR((I220/I$225),0)</f>
        <v>0.29411764705882348</v>
      </c>
      <c r="K220" s="10"/>
    </row>
    <row r="221" spans="1:11" x14ac:dyDescent="0.2">
      <c r="A221" s="10"/>
      <c r="B221" s="103" t="str">
        <f>MenuPackage1</f>
        <v>Menu Package #1</v>
      </c>
      <c r="C221" s="103"/>
      <c r="D221" s="103"/>
      <c r="E221" s="103"/>
      <c r="F221" s="19">
        <f>'Input Form'!B28</f>
        <v>10</v>
      </c>
      <c r="G221" s="140">
        <f>'Input Form'!$D$20</f>
        <v>0.15</v>
      </c>
      <c r="H221" s="141"/>
      <c r="I221" s="20">
        <f>I$217*F221*G221</f>
        <v>31049.278419497285</v>
      </c>
      <c r="J221" s="30">
        <f t="shared" ref="J221:J227" si="4">IFERROR((I221/I$225),0)</f>
        <v>0.14705882352941174</v>
      </c>
      <c r="K221" s="10"/>
    </row>
    <row r="222" spans="1:11" x14ac:dyDescent="0.2">
      <c r="A222" s="10"/>
      <c r="B222" s="103" t="str">
        <f>MenuPackage2</f>
        <v>Menu Package #2</v>
      </c>
      <c r="C222" s="103"/>
      <c r="D222" s="103"/>
      <c r="E222" s="103"/>
      <c r="F222" s="19">
        <f>'Input Form'!B29</f>
        <v>14</v>
      </c>
      <c r="G222" s="140">
        <f>'Input Form'!$D$21</f>
        <v>0.15</v>
      </c>
      <c r="H222" s="141"/>
      <c r="I222" s="20">
        <f>I$217*F222*G222</f>
        <v>43468.989787296203</v>
      </c>
      <c r="J222" s="30">
        <f t="shared" si="4"/>
        <v>0.20588235294117646</v>
      </c>
      <c r="K222" s="10"/>
    </row>
    <row r="223" spans="1:11" x14ac:dyDescent="0.2">
      <c r="A223" s="10"/>
      <c r="B223" s="103" t="str">
        <f>MenuPackage3</f>
        <v>Menu Package #3</v>
      </c>
      <c r="C223" s="103"/>
      <c r="D223" s="103"/>
      <c r="E223" s="103"/>
      <c r="F223" s="19">
        <f>'Input Form'!B30</f>
        <v>18</v>
      </c>
      <c r="G223" s="140">
        <f>'Input Form'!$D$22</f>
        <v>0.2</v>
      </c>
      <c r="H223" s="141"/>
      <c r="I223" s="20">
        <f>I$217*F223*G223</f>
        <v>74518.268206793495</v>
      </c>
      <c r="J223" s="30">
        <f t="shared" si="4"/>
        <v>0.3529411764705882</v>
      </c>
      <c r="K223" s="10"/>
    </row>
    <row r="224" spans="1:11" x14ac:dyDescent="0.2">
      <c r="A224" s="10"/>
      <c r="B224" s="103" t="str">
        <f>MenuPackage4</f>
        <v>Menu Package #4</v>
      </c>
      <c r="C224" s="103"/>
      <c r="D224" s="103"/>
      <c r="E224" s="103"/>
      <c r="F224" s="19">
        <f>'Input Form'!B31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211135.09325258157</v>
      </c>
      <c r="J225" s="30">
        <f t="shared" si="4"/>
        <v>1</v>
      </c>
      <c r="K225" s="10"/>
    </row>
    <row r="226" spans="1:11" x14ac:dyDescent="0.2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-3800.431678546468</v>
      </c>
      <c r="J226" s="30">
        <f t="shared" si="4"/>
        <v>-1.7999999999999999E-2</v>
      </c>
      <c r="K226" s="10"/>
    </row>
    <row r="227" spans="1:11" x14ac:dyDescent="0.2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207334.6615740351</v>
      </c>
      <c r="J227" s="30">
        <f t="shared" si="4"/>
        <v>0.98199999999999998</v>
      </c>
      <c r="K227" s="10"/>
    </row>
    <row r="228" spans="1:11" ht="18.75" x14ac:dyDescent="0.3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6220.0398472210527</v>
      </c>
      <c r="J229" s="30">
        <f>IFERROR((I229/I$227),0)</f>
        <v>0.03</v>
      </c>
      <c r="K229" s="10"/>
    </row>
    <row r="230" spans="1:11" x14ac:dyDescent="0.2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12771.002075856348</v>
      </c>
      <c r="J230" s="30">
        <f t="shared" ref="J230:J247" si="5">IFERROR((I230/I$227),0)</f>
        <v>6.159607843137254E-2</v>
      </c>
      <c r="K230" s="10"/>
    </row>
    <row r="231" spans="1:11" x14ac:dyDescent="0.2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2073.3466157403509</v>
      </c>
      <c r="J231" s="30">
        <f t="shared" si="5"/>
        <v>0.01</v>
      </c>
      <c r="K231" s="10"/>
    </row>
    <row r="232" spans="1:11" x14ac:dyDescent="0.2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5.7877442724235659E-2</v>
      </c>
      <c r="K232" s="10"/>
    </row>
    <row r="233" spans="1:11" x14ac:dyDescent="0.2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0.79092998129231484</v>
      </c>
      <c r="K233" s="10"/>
    </row>
    <row r="234" spans="1:11" x14ac:dyDescent="0.2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2073.3466157403509</v>
      </c>
      <c r="J234" s="30">
        <f t="shared" si="5"/>
        <v>0.01</v>
      </c>
      <c r="K234" s="10"/>
    </row>
    <row r="235" spans="1:11" x14ac:dyDescent="0.2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2073.3466157403509</v>
      </c>
      <c r="J235" s="30">
        <f t="shared" si="5"/>
        <v>0.01</v>
      </c>
      <c r="K235" s="10"/>
    </row>
    <row r="236" spans="1:11" x14ac:dyDescent="0.2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3110.0199236105263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2073.3466157403509</v>
      </c>
      <c r="J237" s="30">
        <f t="shared" si="5"/>
        <v>0.01</v>
      </c>
      <c r="K237" s="10"/>
    </row>
    <row r="238" spans="1:11" x14ac:dyDescent="0.2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0.11575488544847132</v>
      </c>
      <c r="K238" s="10"/>
    </row>
    <row r="239" spans="1:11" x14ac:dyDescent="0.2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2073.3466157403509</v>
      </c>
      <c r="J239" s="30">
        <f t="shared" si="5"/>
        <v>0.01</v>
      </c>
      <c r="K239" s="10"/>
    </row>
    <row r="240" spans="1:11" x14ac:dyDescent="0.2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16586.772925922807</v>
      </c>
      <c r="J240" s="30">
        <f t="shared" si="5"/>
        <v>0.08</v>
      </c>
      <c r="K240" s="10"/>
    </row>
    <row r="241" spans="1:11" x14ac:dyDescent="0.2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249041.76785131253</v>
      </c>
      <c r="J241" s="30">
        <f t="shared" si="5"/>
        <v>1.2011583878963945</v>
      </c>
      <c r="K241" s="10"/>
    </row>
    <row r="242" spans="1:11" x14ac:dyDescent="0.2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-41707.106277277431</v>
      </c>
      <c r="J242" s="30">
        <f t="shared" si="5"/>
        <v>-0.20115838789639451</v>
      </c>
      <c r="K242" s="10"/>
    </row>
    <row r="243" spans="1:11" ht="18.75" x14ac:dyDescent="0.3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-41707.106277277431</v>
      </c>
      <c r="J247" s="30">
        <f t="shared" si="5"/>
        <v>-0.20115838789639451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5" t="s">
        <v>187</v>
      </c>
      <c r="D259" s="115"/>
      <c r="E259" s="116" t="str">
        <f>CustomerName</f>
        <v>Rob Cherrier</v>
      </c>
      <c r="F259" s="117"/>
      <c r="G259" s="117"/>
      <c r="H259" s="117"/>
      <c r="I259" s="118"/>
      <c r="J259" s="10"/>
      <c r="K259" s="10"/>
    </row>
    <row r="260" spans="1:11" x14ac:dyDescent="0.2">
      <c r="A260" s="10"/>
      <c r="B260" s="10"/>
      <c r="C260" s="134" t="s">
        <v>188</v>
      </c>
      <c r="D260" s="135"/>
      <c r="E260" s="116" t="str">
        <f>CompanyName</f>
        <v>Cherrier Car Wash</v>
      </c>
      <c r="F260" s="117"/>
      <c r="G260" s="117"/>
      <c r="H260" s="117"/>
      <c r="I260" s="118"/>
      <c r="J260" s="10"/>
      <c r="K260" s="10"/>
    </row>
    <row r="261" spans="1:11" x14ac:dyDescent="0.2">
      <c r="A261" s="10"/>
      <c r="B261" s="10"/>
      <c r="C261" s="119" t="s">
        <v>129</v>
      </c>
      <c r="D261" s="120"/>
      <c r="E261" s="125" t="str">
        <f>AddressLine1</f>
        <v>355 Main St.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1"/>
      <c r="D262" s="122"/>
      <c r="E262" s="128" t="str">
        <f>AddressLine2</f>
        <v>Whitinsville, MA 01588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2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22404.185212500004</v>
      </c>
      <c r="J268" s="143"/>
      <c r="K268" s="10"/>
    </row>
    <row r="269" spans="1:11" ht="18.75" x14ac:dyDescent="0.3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2">
      <c r="A271" s="10"/>
      <c r="B271" s="103" t="str">
        <f>BasicPackage</f>
        <v>Basic Package</v>
      </c>
      <c r="C271" s="103"/>
      <c r="D271" s="103"/>
      <c r="E271" s="103"/>
      <c r="F271" s="19">
        <f>'Input Form'!C27</f>
        <v>6</v>
      </c>
      <c r="G271" s="140">
        <f>'Input Form'!$D$19</f>
        <v>0.5</v>
      </c>
      <c r="H271" s="141"/>
      <c r="I271" s="20">
        <f>I$268*F271*G271</f>
        <v>67212.555637500016</v>
      </c>
      <c r="J271" s="30">
        <f>IFERROR((I271/I$276),0)</f>
        <v>0.29411764705882354</v>
      </c>
      <c r="K271" s="10"/>
    </row>
    <row r="272" spans="1:11" x14ac:dyDescent="0.2">
      <c r="A272" s="10"/>
      <c r="B272" s="103" t="str">
        <f>MenuPackage1</f>
        <v>Menu Package #1</v>
      </c>
      <c r="C272" s="103"/>
      <c r="D272" s="103"/>
      <c r="E272" s="103"/>
      <c r="F272" s="19">
        <f>'Input Form'!C28</f>
        <v>10</v>
      </c>
      <c r="G272" s="140">
        <f>'Input Form'!$D$20</f>
        <v>0.15</v>
      </c>
      <c r="H272" s="141"/>
      <c r="I272" s="20">
        <f t="shared" ref="I272:I275" si="6">I$268*F272*G272</f>
        <v>33606.277818750001</v>
      </c>
      <c r="J272" s="30">
        <f t="shared" ref="J272:J278" si="7">IFERROR((I272/I$276),0)</f>
        <v>0.14705882352941174</v>
      </c>
      <c r="K272" s="10"/>
    </row>
    <row r="273" spans="1:11" x14ac:dyDescent="0.2">
      <c r="A273" s="10"/>
      <c r="B273" s="103" t="str">
        <f>MenuPackage2</f>
        <v>Menu Package #2</v>
      </c>
      <c r="C273" s="103"/>
      <c r="D273" s="103"/>
      <c r="E273" s="103"/>
      <c r="F273" s="19">
        <f>'Input Form'!C29</f>
        <v>14</v>
      </c>
      <c r="G273" s="140">
        <f>'Input Form'!$D$21</f>
        <v>0.15</v>
      </c>
      <c r="H273" s="141"/>
      <c r="I273" s="20">
        <f t="shared" si="6"/>
        <v>47048.788946250002</v>
      </c>
      <c r="J273" s="30">
        <f t="shared" si="7"/>
        <v>0.20588235294117646</v>
      </c>
      <c r="K273" s="10"/>
    </row>
    <row r="274" spans="1:11" x14ac:dyDescent="0.2">
      <c r="A274" s="10"/>
      <c r="B274" s="103" t="str">
        <f>MenuPackage3</f>
        <v>Menu Package #3</v>
      </c>
      <c r="C274" s="103"/>
      <c r="D274" s="103"/>
      <c r="E274" s="103"/>
      <c r="F274" s="19">
        <f>'Input Form'!C30</f>
        <v>18</v>
      </c>
      <c r="G274" s="140">
        <f>'Input Form'!$D$22</f>
        <v>0.2</v>
      </c>
      <c r="H274" s="141"/>
      <c r="I274" s="20">
        <f t="shared" si="6"/>
        <v>80655.066765000025</v>
      </c>
      <c r="J274" s="30">
        <f t="shared" si="7"/>
        <v>0.35294117647058831</v>
      </c>
      <c r="K274" s="10"/>
    </row>
    <row r="275" spans="1:11" x14ac:dyDescent="0.2">
      <c r="A275" s="10"/>
      <c r="B275" s="103" t="str">
        <f>MenuPackage4</f>
        <v>Menu Package #4</v>
      </c>
      <c r="C275" s="103"/>
      <c r="D275" s="103"/>
      <c r="E275" s="103"/>
      <c r="F275" s="19">
        <f>'Input Form'!C31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228522.68916750004</v>
      </c>
      <c r="J276" s="30">
        <f t="shared" si="7"/>
        <v>1</v>
      </c>
      <c r="K276" s="10"/>
    </row>
    <row r="277" spans="1:11" x14ac:dyDescent="0.2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-4113.4084050150004</v>
      </c>
      <c r="J277" s="30">
        <f t="shared" si="7"/>
        <v>-1.7999999999999999E-2</v>
      </c>
      <c r="K277" s="10"/>
    </row>
    <row r="278" spans="1:11" x14ac:dyDescent="0.2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224409.28076248502</v>
      </c>
      <c r="J278" s="30">
        <f t="shared" si="7"/>
        <v>0.98199999999999998</v>
      </c>
      <c r="K278" s="10"/>
    </row>
    <row r="279" spans="1:11" ht="18.75" x14ac:dyDescent="0.3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6732.2784228745504</v>
      </c>
      <c r="J280" s="30">
        <f>IFERROR((I280/I$278),0)</f>
        <v>0.03</v>
      </c>
      <c r="K280" s="10"/>
    </row>
    <row r="281" spans="1:11" x14ac:dyDescent="0.2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13822.731658573928</v>
      </c>
      <c r="J281" s="30">
        <f t="shared" ref="J281:J298" si="8">IFERROR((I281/I$278),0)</f>
        <v>6.159607843137254E-2</v>
      </c>
      <c r="K281" s="10"/>
    </row>
    <row r="282" spans="1:11" x14ac:dyDescent="0.2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2244.0928076248501</v>
      </c>
      <c r="J282" s="30">
        <f t="shared" si="8"/>
        <v>0.01</v>
      </c>
      <c r="K282" s="10"/>
    </row>
    <row r="283" spans="1:11" x14ac:dyDescent="0.2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5.3473724256087297E-2</v>
      </c>
      <c r="K283" s="10"/>
    </row>
    <row r="284" spans="1:11" x14ac:dyDescent="0.2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0.73075052619398662</v>
      </c>
      <c r="K284" s="10"/>
    </row>
    <row r="285" spans="1:11" x14ac:dyDescent="0.2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2244.0928076248501</v>
      </c>
      <c r="J285" s="30">
        <f t="shared" si="8"/>
        <v>0.01</v>
      </c>
      <c r="K285" s="10"/>
    </row>
    <row r="286" spans="1:11" x14ac:dyDescent="0.2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2244.0928076248501</v>
      </c>
      <c r="J286" s="30">
        <f t="shared" si="8"/>
        <v>0.01</v>
      </c>
      <c r="K286" s="10"/>
    </row>
    <row r="287" spans="1:11" x14ac:dyDescent="0.2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3366.1392114372752</v>
      </c>
      <c r="J287" s="30">
        <f t="shared" si="8"/>
        <v>1.4999999999999999E-2</v>
      </c>
      <c r="K287" s="10"/>
    </row>
    <row r="288" spans="1:11" x14ac:dyDescent="0.2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2244.0928076248501</v>
      </c>
      <c r="J288" s="30">
        <f t="shared" si="8"/>
        <v>0.01</v>
      </c>
      <c r="K288" s="10"/>
    </row>
    <row r="289" spans="1:11" x14ac:dyDescent="0.2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0.10694744851217459</v>
      </c>
      <c r="K289" s="10"/>
    </row>
    <row r="290" spans="1:11" x14ac:dyDescent="0.2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2244.0928076248501</v>
      </c>
      <c r="J290" s="30">
        <f t="shared" si="8"/>
        <v>0.01</v>
      </c>
      <c r="K290" s="10"/>
    </row>
    <row r="291" spans="1:11" x14ac:dyDescent="0.2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17952.742460998801</v>
      </c>
      <c r="J291" s="30">
        <f t="shared" si="8"/>
        <v>0.08</v>
      </c>
      <c r="K291" s="10"/>
    </row>
    <row r="292" spans="1:11" x14ac:dyDescent="0.2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253081.55579200876</v>
      </c>
      <c r="J292" s="30">
        <f t="shared" si="8"/>
        <v>1.1277677773936208</v>
      </c>
      <c r="K292" s="10"/>
    </row>
    <row r="293" spans="1:11" x14ac:dyDescent="0.2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-28672.275029523735</v>
      </c>
      <c r="J293" s="30">
        <f t="shared" si="8"/>
        <v>-0.1277677773936208</v>
      </c>
      <c r="K293" s="10"/>
    </row>
    <row r="294" spans="1:11" ht="18.75" x14ac:dyDescent="0.3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-28672.275029523735</v>
      </c>
      <c r="J298" s="30">
        <f t="shared" si="8"/>
        <v>-0.1277677773936208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5" t="s">
        <v>187</v>
      </c>
      <c r="D310" s="115"/>
      <c r="E310" s="116" t="str">
        <f>CustomerName</f>
        <v>Rob Cherrier</v>
      </c>
      <c r="F310" s="117"/>
      <c r="G310" s="117"/>
      <c r="H310" s="117"/>
      <c r="I310" s="118"/>
      <c r="J310" s="10"/>
      <c r="K310" s="10"/>
    </row>
    <row r="311" spans="1:11" x14ac:dyDescent="0.2">
      <c r="A311" s="10"/>
      <c r="B311" s="10"/>
      <c r="C311" s="134" t="s">
        <v>188</v>
      </c>
      <c r="D311" s="135"/>
      <c r="E311" s="116" t="str">
        <f>CompanyName</f>
        <v>Cherrier Car Wash</v>
      </c>
      <c r="F311" s="117"/>
      <c r="G311" s="117"/>
      <c r="H311" s="117"/>
      <c r="I311" s="118"/>
      <c r="J311" s="10"/>
      <c r="K311" s="10"/>
    </row>
    <row r="312" spans="1:11" x14ac:dyDescent="0.2">
      <c r="A312" s="10"/>
      <c r="B312" s="10"/>
      <c r="C312" s="119" t="s">
        <v>129</v>
      </c>
      <c r="D312" s="120"/>
      <c r="E312" s="125" t="str">
        <f>AddressLine1</f>
        <v>355 Main St.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1"/>
      <c r="D313" s="122"/>
      <c r="E313" s="128" t="str">
        <f>AddressLine2</f>
        <v>Whitinsville, MA 01588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2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23223.850525152444</v>
      </c>
      <c r="J319" s="143"/>
      <c r="K319" s="10"/>
    </row>
    <row r="320" spans="1:11" ht="18.75" x14ac:dyDescent="0.3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2">
      <c r="A322" s="10"/>
      <c r="B322" s="103" t="str">
        <f>BasicPackage</f>
        <v>Basic Package</v>
      </c>
      <c r="C322" s="103"/>
      <c r="D322" s="103"/>
      <c r="E322" s="103"/>
      <c r="F322" s="19">
        <f>'Input Form'!D27</f>
        <v>6</v>
      </c>
      <c r="G322" s="140">
        <f>'Input Form'!$D$19</f>
        <v>0.5</v>
      </c>
      <c r="H322" s="141"/>
      <c r="I322" s="20">
        <f>I$319*F322*G322</f>
        <v>69671.551575457328</v>
      </c>
      <c r="J322" s="30">
        <f>IFERROR((I322/I$327),0)</f>
        <v>0.29411764705882354</v>
      </c>
      <c r="K322" s="10"/>
    </row>
    <row r="323" spans="1:11" x14ac:dyDescent="0.2">
      <c r="A323" s="10"/>
      <c r="B323" s="103" t="str">
        <f>MenuPackage1</f>
        <v>Menu Package #1</v>
      </c>
      <c r="C323" s="103"/>
      <c r="D323" s="103"/>
      <c r="E323" s="103"/>
      <c r="F323" s="19">
        <f>'Input Form'!D28</f>
        <v>10</v>
      </c>
      <c r="G323" s="140">
        <f>'Input Form'!$D$20</f>
        <v>0.15</v>
      </c>
      <c r="H323" s="141"/>
      <c r="I323" s="20">
        <f>I$319*F323*G323</f>
        <v>34835.775787728664</v>
      </c>
      <c r="J323" s="30">
        <f t="shared" ref="J323:J329" si="9">IFERROR((I323/I$327),0)</f>
        <v>0.14705882352941177</v>
      </c>
      <c r="K323" s="10"/>
    </row>
    <row r="324" spans="1:11" x14ac:dyDescent="0.2">
      <c r="A324" s="10"/>
      <c r="B324" s="103" t="str">
        <f>MenuPackage2</f>
        <v>Menu Package #2</v>
      </c>
      <c r="C324" s="103"/>
      <c r="D324" s="103"/>
      <c r="E324" s="103"/>
      <c r="F324" s="19">
        <f>'Input Form'!D29</f>
        <v>14</v>
      </c>
      <c r="G324" s="140">
        <f>'Input Form'!$D$21</f>
        <v>0.15</v>
      </c>
      <c r="H324" s="141"/>
      <c r="I324" s="20">
        <f>I$319*F324*G324</f>
        <v>48770.086102820133</v>
      </c>
      <c r="J324" s="30">
        <f t="shared" si="9"/>
        <v>0.20588235294117652</v>
      </c>
      <c r="K324" s="10"/>
    </row>
    <row r="325" spans="1:11" x14ac:dyDescent="0.2">
      <c r="A325" s="10"/>
      <c r="B325" s="103" t="str">
        <f>MenuPackage3</f>
        <v>Menu Package #3</v>
      </c>
      <c r="C325" s="103"/>
      <c r="D325" s="103"/>
      <c r="E325" s="103"/>
      <c r="F325" s="19">
        <f>'Input Form'!D30</f>
        <v>18</v>
      </c>
      <c r="G325" s="140">
        <f>'Input Form'!$D$22</f>
        <v>0.2</v>
      </c>
      <c r="H325" s="141"/>
      <c r="I325" s="20">
        <f>I$319*F325*G325</f>
        <v>83605.861890548797</v>
      </c>
      <c r="J325" s="30">
        <f t="shared" si="9"/>
        <v>0.35294117647058826</v>
      </c>
      <c r="K325" s="10"/>
    </row>
    <row r="326" spans="1:11" x14ac:dyDescent="0.2">
      <c r="A326" s="10"/>
      <c r="B326" s="103" t="str">
        <f>MenuPackage4</f>
        <v>Menu Package #4</v>
      </c>
      <c r="C326" s="103"/>
      <c r="D326" s="103"/>
      <c r="E326" s="103"/>
      <c r="F326" s="19">
        <f>'Input Form'!D31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236883.27535655489</v>
      </c>
      <c r="J327" s="30">
        <f t="shared" si="9"/>
        <v>1</v>
      </c>
      <c r="K327" s="10"/>
    </row>
    <row r="328" spans="1:11" x14ac:dyDescent="0.2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-4263.8989564179883</v>
      </c>
      <c r="J328" s="30">
        <f t="shared" si="9"/>
        <v>-1.8000000000000002E-2</v>
      </c>
      <c r="K328" s="10"/>
    </row>
    <row r="329" spans="1:11" x14ac:dyDescent="0.2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232619.37640013691</v>
      </c>
      <c r="J329" s="30">
        <f t="shared" si="9"/>
        <v>0.98199999999999998</v>
      </c>
      <c r="K329" s="10"/>
    </row>
    <row r="330" spans="1:11" ht="18.75" x14ac:dyDescent="0.3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6978.5812920041071</v>
      </c>
      <c r="J331" s="30">
        <f>IFERROR((I331/I$329),0)</f>
        <v>0.03</v>
      </c>
      <c r="K331" s="10"/>
    </row>
    <row r="332" spans="1:11" x14ac:dyDescent="0.2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14328.441353399803</v>
      </c>
      <c r="J332" s="30">
        <f t="shared" ref="J332:J344" si="10">IFERROR((I332/I$329),0)</f>
        <v>6.159607843137254E-2</v>
      </c>
      <c r="K332" s="10"/>
    </row>
    <row r="333" spans="1:11" x14ac:dyDescent="0.2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2326.1937640013693</v>
      </c>
      <c r="J333" s="30">
        <f t="shared" si="10"/>
        <v>0.01</v>
      </c>
      <c r="K333" s="10"/>
    </row>
    <row r="334" spans="1:11" x14ac:dyDescent="0.2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5.158641634116657E-2</v>
      </c>
      <c r="K334" s="10"/>
    </row>
    <row r="335" spans="1:11" x14ac:dyDescent="0.2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0.70495933115184595</v>
      </c>
      <c r="K335" s="10"/>
    </row>
    <row r="336" spans="1:11" x14ac:dyDescent="0.2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2326.1937640013693</v>
      </c>
      <c r="J336" s="30">
        <f t="shared" si="10"/>
        <v>0.01</v>
      </c>
      <c r="K336" s="10"/>
    </row>
    <row r="337" spans="1:11" x14ac:dyDescent="0.2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2326.1937640013693</v>
      </c>
      <c r="J337" s="30">
        <f t="shared" si="10"/>
        <v>0.01</v>
      </c>
      <c r="K337" s="10"/>
    </row>
    <row r="338" spans="1:11" x14ac:dyDescent="0.2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3489.2906460020536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2326.1937640013693</v>
      </c>
      <c r="J339" s="30">
        <f t="shared" si="10"/>
        <v>0.01</v>
      </c>
      <c r="K339" s="10"/>
    </row>
    <row r="340" spans="1:11" x14ac:dyDescent="0.2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0.10317283268233314</v>
      </c>
      <c r="K340" s="10"/>
    </row>
    <row r="341" spans="1:11" x14ac:dyDescent="0.2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2326.1937640013693</v>
      </c>
      <c r="J341" s="30">
        <f t="shared" si="10"/>
        <v>0.01</v>
      </c>
      <c r="K341" s="10"/>
    </row>
    <row r="342" spans="1:11" x14ac:dyDescent="0.2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18609.550112010955</v>
      </c>
      <c r="J342" s="30">
        <f t="shared" si="10"/>
        <v>0.08</v>
      </c>
      <c r="K342" s="10"/>
    </row>
    <row r="343" spans="1:11" x14ac:dyDescent="0.2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255024.03222342377</v>
      </c>
      <c r="J343" s="30">
        <f t="shared" si="10"/>
        <v>1.0963146586067181</v>
      </c>
      <c r="K343" s="10"/>
    </row>
    <row r="344" spans="1:11" x14ac:dyDescent="0.2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-22404.655823286856</v>
      </c>
      <c r="J344" s="30">
        <f t="shared" si="10"/>
        <v>-9.6314658606718145E-2</v>
      </c>
      <c r="K344" s="10"/>
    </row>
    <row r="345" spans="1:11" ht="18.75" x14ac:dyDescent="0.3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-22404.655823286856</v>
      </c>
      <c r="J349" s="30">
        <f t="shared" si="11"/>
        <v>-9.6314658606718145E-2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5" t="s">
        <v>187</v>
      </c>
      <c r="D361" s="115"/>
      <c r="E361" s="116" t="str">
        <f>CustomerName</f>
        <v>Rob Cherrier</v>
      </c>
      <c r="F361" s="117"/>
      <c r="G361" s="117"/>
      <c r="H361" s="117"/>
      <c r="I361" s="118"/>
      <c r="J361" s="10"/>
      <c r="K361" s="10"/>
    </row>
    <row r="362" spans="1:11" x14ac:dyDescent="0.2">
      <c r="A362" s="10"/>
      <c r="B362" s="10"/>
      <c r="C362" s="134" t="s">
        <v>188</v>
      </c>
      <c r="D362" s="135"/>
      <c r="E362" s="116" t="str">
        <f>CompanyName</f>
        <v>Cherrier Car Wash</v>
      </c>
      <c r="F362" s="117"/>
      <c r="G362" s="117"/>
      <c r="H362" s="117"/>
      <c r="I362" s="118"/>
      <c r="J362" s="10"/>
      <c r="K362" s="10"/>
    </row>
    <row r="363" spans="1:11" x14ac:dyDescent="0.2">
      <c r="A363" s="10"/>
      <c r="B363" s="10"/>
      <c r="C363" s="119" t="s">
        <v>129</v>
      </c>
      <c r="D363" s="120"/>
      <c r="E363" s="125" t="str">
        <f>AddressLine1</f>
        <v>355 Main St.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1"/>
      <c r="D364" s="122"/>
      <c r="E364" s="128" t="str">
        <f>AddressLine2</f>
        <v>Whitinsville, MA 01588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2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25057.312408717109</v>
      </c>
      <c r="J370" s="143"/>
      <c r="K370" s="10"/>
    </row>
    <row r="371" spans="1:11" ht="18.75" x14ac:dyDescent="0.3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2">
      <c r="A373" s="10"/>
      <c r="B373" s="103" t="str">
        <f>BasicPackage</f>
        <v>Basic Package</v>
      </c>
      <c r="C373" s="103"/>
      <c r="D373" s="103"/>
      <c r="E373" s="103"/>
      <c r="F373" s="19">
        <f>'Input Form'!E27</f>
        <v>6</v>
      </c>
      <c r="G373" s="140">
        <f>'Input Form'!$D$19</f>
        <v>0.5</v>
      </c>
      <c r="H373" s="141"/>
      <c r="I373" s="20">
        <f>I$370*F373*G373</f>
        <v>75171.93722615132</v>
      </c>
      <c r="J373" s="30">
        <f>IFERROR((I373/I$378),0)</f>
        <v>0.29411764705882348</v>
      </c>
      <c r="K373" s="10"/>
    </row>
    <row r="374" spans="1:11" x14ac:dyDescent="0.2">
      <c r="A374" s="10"/>
      <c r="B374" s="103" t="str">
        <f>MenuPackage1</f>
        <v>Menu Package #1</v>
      </c>
      <c r="C374" s="103"/>
      <c r="D374" s="103"/>
      <c r="E374" s="103"/>
      <c r="F374" s="19">
        <f>'Input Form'!E28</f>
        <v>10</v>
      </c>
      <c r="G374" s="140">
        <f>'Input Form'!$D$20</f>
        <v>0.15</v>
      </c>
      <c r="H374" s="141"/>
      <c r="I374" s="20">
        <f t="shared" ref="I374:I377" si="12">I$370*F374*G374</f>
        <v>37585.968613075667</v>
      </c>
      <c r="J374" s="30">
        <f t="shared" ref="J374:J380" si="13">IFERROR((I374/I$378),0)</f>
        <v>0.14705882352941177</v>
      </c>
      <c r="K374" s="10"/>
    </row>
    <row r="375" spans="1:11" x14ac:dyDescent="0.2">
      <c r="A375" s="10"/>
      <c r="B375" s="103" t="str">
        <f>MenuPackage2</f>
        <v>Menu Package #2</v>
      </c>
      <c r="C375" s="103"/>
      <c r="D375" s="103"/>
      <c r="E375" s="103"/>
      <c r="F375" s="19">
        <f>'Input Form'!E29</f>
        <v>14</v>
      </c>
      <c r="G375" s="140">
        <f>'Input Form'!$D$21</f>
        <v>0.15</v>
      </c>
      <c r="H375" s="141"/>
      <c r="I375" s="20">
        <f t="shared" si="12"/>
        <v>52620.356058305922</v>
      </c>
      <c r="J375" s="30">
        <f t="shared" si="13"/>
        <v>0.20588235294117643</v>
      </c>
      <c r="K375" s="10"/>
    </row>
    <row r="376" spans="1:11" x14ac:dyDescent="0.2">
      <c r="A376" s="10"/>
      <c r="B376" s="103" t="str">
        <f>MenuPackage3</f>
        <v>Menu Package #3</v>
      </c>
      <c r="C376" s="103"/>
      <c r="D376" s="103"/>
      <c r="E376" s="103"/>
      <c r="F376" s="19">
        <f>'Input Form'!E30</f>
        <v>18</v>
      </c>
      <c r="G376" s="140">
        <f>'Input Form'!$D$22</f>
        <v>0.2</v>
      </c>
      <c r="H376" s="141"/>
      <c r="I376" s="20">
        <f t="shared" si="12"/>
        <v>90206.324671381604</v>
      </c>
      <c r="J376" s="30">
        <f t="shared" si="13"/>
        <v>0.35294117647058826</v>
      </c>
      <c r="K376" s="10"/>
    </row>
    <row r="377" spans="1:11" x14ac:dyDescent="0.2">
      <c r="A377" s="10"/>
      <c r="B377" s="103" t="str">
        <f>MenuPackage4</f>
        <v>Menu Package #4</v>
      </c>
      <c r="C377" s="103"/>
      <c r="D377" s="103"/>
      <c r="E377" s="103"/>
      <c r="F377" s="19">
        <f>'Input Form'!E31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255584.58656891453</v>
      </c>
      <c r="J378" s="30">
        <f t="shared" si="13"/>
        <v>1</v>
      </c>
      <c r="K378" s="10"/>
    </row>
    <row r="379" spans="1:11" x14ac:dyDescent="0.2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-4600.522558240461</v>
      </c>
      <c r="J379" s="30">
        <f t="shared" si="13"/>
        <v>-1.7999999999999999E-2</v>
      </c>
      <c r="K379" s="10"/>
    </row>
    <row r="380" spans="1:11" x14ac:dyDescent="0.2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250984.06401067408</v>
      </c>
      <c r="J380" s="30">
        <f t="shared" si="13"/>
        <v>0.98199999999999998</v>
      </c>
      <c r="K380" s="10"/>
    </row>
    <row r="381" spans="1:11" ht="18.75" x14ac:dyDescent="0.3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7529.5219203202223</v>
      </c>
      <c r="J382" s="30">
        <f>IFERROR((I382/I$380),0)</f>
        <v>0.03</v>
      </c>
      <c r="K382" s="10"/>
    </row>
    <row r="383" spans="1:11" x14ac:dyDescent="0.2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15459.634091826107</v>
      </c>
      <c r="J383" s="30">
        <f t="shared" ref="J383:J395" si="14">IFERROR((I383/I$380),0)</f>
        <v>6.159607843137254E-2</v>
      </c>
      <c r="K383" s="10"/>
    </row>
    <row r="384" spans="1:11" x14ac:dyDescent="0.2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2509.8406401067409</v>
      </c>
      <c r="J384" s="30">
        <f t="shared" si="14"/>
        <v>0.01</v>
      </c>
      <c r="K384" s="10"/>
    </row>
    <row r="385" spans="1:11" x14ac:dyDescent="0.2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4.7811800511325109E-2</v>
      </c>
      <c r="K385" s="10"/>
    </row>
    <row r="386" spans="1:11" x14ac:dyDescent="0.2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0.65337694106756439</v>
      </c>
      <c r="K386" s="10"/>
    </row>
    <row r="387" spans="1:11" x14ac:dyDescent="0.2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2509.8406401067409</v>
      </c>
      <c r="J387" s="30">
        <f t="shared" si="14"/>
        <v>0.01</v>
      </c>
      <c r="K387" s="10"/>
    </row>
    <row r="388" spans="1:11" x14ac:dyDescent="0.2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2509.8406401067409</v>
      </c>
      <c r="J388" s="30">
        <f t="shared" si="14"/>
        <v>0.01</v>
      </c>
      <c r="K388" s="10"/>
    </row>
    <row r="389" spans="1:11" x14ac:dyDescent="0.2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3764.7609601601112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2509.8406401067409</v>
      </c>
      <c r="J390" s="30">
        <f t="shared" si="14"/>
        <v>0.01</v>
      </c>
      <c r="K390" s="10"/>
    </row>
    <row r="391" spans="1:11" x14ac:dyDescent="0.2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9.5623601022650218E-2</v>
      </c>
      <c r="K391" s="10"/>
    </row>
    <row r="392" spans="1:11" x14ac:dyDescent="0.2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2509.8406401067409</v>
      </c>
      <c r="J392" s="30">
        <f t="shared" si="14"/>
        <v>0.01</v>
      </c>
      <c r="K392" s="10"/>
    </row>
    <row r="393" spans="1:11" x14ac:dyDescent="0.2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20078.725120853927</v>
      </c>
      <c r="J393" s="30">
        <f t="shared" si="14"/>
        <v>0.08</v>
      </c>
      <c r="K393" s="10"/>
    </row>
    <row r="394" spans="1:11" x14ac:dyDescent="0.2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259369.04529369407</v>
      </c>
      <c r="J394" s="30">
        <f t="shared" si="14"/>
        <v>1.0334084210329122</v>
      </c>
      <c r="K394" s="10"/>
    </row>
    <row r="395" spans="1:11" x14ac:dyDescent="0.2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-8384.9812830199953</v>
      </c>
      <c r="J395" s="30">
        <f t="shared" si="14"/>
        <v>-3.3408421032912236E-2</v>
      </c>
      <c r="K395" s="10"/>
    </row>
    <row r="396" spans="1:11" ht="18.75" x14ac:dyDescent="0.3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-8384.9812830199953</v>
      </c>
      <c r="J400" s="30">
        <f t="shared" si="15"/>
        <v>-3.3408421032912236E-2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5" t="s">
        <v>187</v>
      </c>
      <c r="D412" s="115"/>
      <c r="E412" s="116" t="str">
        <f>CustomerName</f>
        <v>Rob Cherrier</v>
      </c>
      <c r="F412" s="117"/>
      <c r="G412" s="117"/>
      <c r="H412" s="117"/>
      <c r="I412" s="118"/>
      <c r="J412" s="10"/>
      <c r="K412" s="10"/>
    </row>
    <row r="413" spans="1:11" x14ac:dyDescent="0.2">
      <c r="A413" s="10"/>
      <c r="B413" s="10"/>
      <c r="C413" s="134" t="s">
        <v>188</v>
      </c>
      <c r="D413" s="135"/>
      <c r="E413" s="116" t="str">
        <f>CompanyName</f>
        <v>Cherrier Car Wash</v>
      </c>
      <c r="F413" s="117"/>
      <c r="G413" s="117"/>
      <c r="H413" s="117"/>
      <c r="I413" s="118"/>
      <c r="J413" s="10"/>
      <c r="K413" s="10"/>
    </row>
    <row r="414" spans="1:11" x14ac:dyDescent="0.2">
      <c r="A414" s="10"/>
      <c r="B414" s="10"/>
      <c r="C414" s="119" t="s">
        <v>129</v>
      </c>
      <c r="D414" s="120"/>
      <c r="E414" s="125" t="str">
        <f>AddressLine1</f>
        <v>355 Main St.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1"/>
      <c r="D415" s="122"/>
      <c r="E415" s="128" t="str">
        <f>AddressLine2</f>
        <v>Whitinsville, MA 01588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2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2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2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2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2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2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2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2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2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algorithmName="SHA-512" hashValue="kUypVzD0QRJ3JGjn1HcvK0orwrGEPM+MfW4dSQbwUGVbKXhpgcvp7pErd5h2q0V7W+JFUtqs35VIZpwqX64avQ==" saltValue="yshQYsC4NwOc9ARMSndwt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2019-05-23T11:30:18Z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