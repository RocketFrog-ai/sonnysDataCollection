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Jon Porter\1004 Lakeville St, Petaluma\"/>
    </mc:Choice>
  </mc:AlternateContent>
  <xr:revisionPtr revIDLastSave="0" documentId="8_{9C4DB64A-E798-4A5B-9E80-068FE758B535}" xr6:coauthVersionLast="45" xr6:coauthVersionMax="45" xr10:uidLastSave="{00000000-0000-0000-0000-000000000000}"/>
  <workbookProtection workbookPassword="FB8D" lockStructure="1"/>
  <bookViews>
    <workbookView xWindow="63795" yWindow="2550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<sst xmlns="http://schemas.openxmlformats.org/spreadsheetml/2006/main" count="435" uniqueCount="203">
  <si>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</si>
  <si>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</si>
  <si>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</si>
  <si>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</si>
  <si>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</si>
  <si>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</si>
  <si>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</si>
  <si>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</si>
  <si>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</si>
  <si>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</si>
  <si>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</si>
  <si>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</si>
  <si>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</si>
  <si>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</si>
  <si>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</si>
  <si>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</si>
  <si>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</si>
  <si>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</si>
  <si>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</si>
  <si>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</si>
  <si>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</si>
  <si>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</si>
  <si>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</si>
  <si>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</si>
  <si>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</si>
  <si>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</si>
  <si>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</si>
  <si>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</si>
  <si>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</si>
  <si>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</si>
  <si>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</si>
  <si>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</si>
  <si>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</si>
  <si>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</si>
  <si>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</si>
  <si>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</si>
  <si>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</si>
  <si>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</si>
  <si>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</si>
  <si>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</si>
  <si>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</si>
  <si>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</si>
  <si>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</si>
  <si>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</si>
  <si>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</si>
  <si>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</si>
  <si>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</si>
  <si>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</si>
  <si>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</si>
  <si>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</si>
  <si>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</si>
  <si>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</si>
  <si>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</si>
  <si>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</si>
  <si>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</si>
  <si>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</si>
  <si>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</si>
  <si>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</si>
  <si>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</si>
  <si>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</si>
  <si>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</si>
  <si>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</si>
  <si>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</si>
  <si>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</si>
  <si>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</si>
  <si>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</si>
  <si>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</si>
  <si>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</si>
  <si>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</si>
  <si>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</si>
  <si>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</si>
  <si>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</si>
  <si>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</si>
  <si>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</si>
  <si>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</si>
  <si>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</si>
  <si>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</si>
  <si>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</si>
  <si>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</si>
  <si>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</si>
  <si>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</si>
  <si>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</si>
  <si>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</si>
  <si>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</si>
  <si>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</si>
  <si>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</si>
  <si>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</si>
  <si>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</si>
  <si>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</si>
  <si>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</si>
  <si>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</si>
  <si>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</si>
  <si>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</si>
  <si>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</si>
  <si>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</si>
  <si>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</si>
  <si>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</si>
  <si>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</si>
  <si>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</si>
  <si>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</si>
  <si>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</si>
  <si>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</si>
  <si>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</si>
  <si>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</si>
  <si>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</si>
  <si>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</si>
  <si>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</si>
  <si>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</si>
  <si>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</si>
  <si>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</si>
  <si>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</si>
  <si>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</si>
  <si>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</si>
  <si>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</si>
  <si>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</si>
  <si>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</si>
  <si>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</si>
  <si>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</si>
  <si>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</si>
  <si>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</si>
  <si>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</si>
  <si>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</si>
  <si>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</si>
  <si>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</si>
  <si>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</si>
  <si>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</si>
  <si>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</si>
  <si>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</si>
  <si>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</si>
  <si>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</si>
  <si>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</si>
  <si>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</si>
  <si>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</si>
  <si>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</si>
  <si>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</si>
  <si>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</si>
  <si>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</si>
  <si>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</si>
  <si>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</si>
  <si>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</si>
  <si>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</si>
  <si>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</si>
  <si>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</si>
  <si>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</si>
  <si>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</si>
  <si>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</si>
  <si>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</si>
  <si>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</si>
  <si>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</si>
  <si>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</si>
  <si>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</si>
  <si>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</si>
  <si>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</si>
  <si>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</si>
  <si>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</si>
  <si>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</si>
  <si>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</si>
  <si>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</si>
  <si>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</si>
  <si>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</si>
  <si>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</si>
  <si>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</si>
  <si>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</si>
  <si>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</si>
  <si>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</si>
  <si>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</si>
  <si>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</si>
  <si>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</si>
  <si>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</si>
  <si>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</si>
  <si>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</si>
  <si>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</si>
  <si>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</si>
  <si>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</si>
  <si>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</si>
  <si>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</si>
  <si>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</si>
  <si>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</si>
  <si>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</si>
  <si>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</si>
  <si>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</si>
  <si>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</si>
  <si>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</si>
  <si>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</si>
  <si>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</si>
  <si>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</si>
  <si>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</si>
  <si>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</si>
  <si>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</si>
  <si>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</si>
  <si>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</si>
  <si>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</si>
  <si>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</si>
  <si>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</si>
  <si>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</si>
  <si>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</si>
  <si>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</si>
  <si>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</si>
  <si>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Jon Porter</t>
  </si>
  <si>
    <t>Wash 2 Go Express</t>
  </si>
  <si>
    <t>Oilstop</t>
  </si>
  <si>
    <t>1004 Lakeville St.</t>
  </si>
  <si>
    <t>Petaluma, CA 94952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</si>
</sst>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3</xdr:col>
      <xdr:colOff>102578</xdr:colOff>
      <xdr:row>32</xdr:row>
      <xdr:rowOff>175846</xdr:rowOff>
    </xdr:from>
    <xdr:to>
      <xdr:col>8</xdr:col>
      <xdr:colOff>190501</xdr:colOff>
      <xdr:row>38</xdr:row>
      <xdr:rowOff>136599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6833BC-D2FF-47F1-9AE3-52E59C9B3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232" y="5854211"/>
          <a:ext cx="3443654" cy="9645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E20" sqref="E20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 t="s">
        <v>200</v>
      </c>
      <c r="C4" s="87"/>
      <c r="D4" s="88"/>
      <c r="E4" s="34"/>
      <c r="F4" s="34"/>
    </row>
    <row r="5" spans="1:9" ht="15.75" x14ac:dyDescent="0.25">
      <c r="A5" s="35" t="s">
        <v>14</v>
      </c>
      <c r="B5" s="86" t="s">
        <v>201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202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8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11</v>
      </c>
      <c r="C21" s="48">
        <v>0.74399999999999999</v>
      </c>
      <c r="D21" s="45">
        <v>0.2</v>
      </c>
      <c r="E21" s="34"/>
      <c r="F21" s="34"/>
    </row>
    <row r="22" spans="1:8" ht="15.75" x14ac:dyDescent="0.25">
      <c r="A22" s="43" t="s">
        <v>30</v>
      </c>
      <c r="B22" s="47">
        <v>14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8</v>
      </c>
      <c r="C28" s="47">
        <v>8</v>
      </c>
      <c r="D28" s="47">
        <v>8</v>
      </c>
      <c r="E28" s="47">
        <v>8</v>
      </c>
      <c r="F28" s="34"/>
    </row>
    <row r="29" spans="1:8" ht="15.75" x14ac:dyDescent="0.25">
      <c r="A29" s="43" t="s">
        <v>29</v>
      </c>
      <c r="B29" s="47">
        <v>11</v>
      </c>
      <c r="C29" s="47">
        <v>11</v>
      </c>
      <c r="D29" s="47">
        <v>11</v>
      </c>
      <c r="E29" s="47">
        <v>11</v>
      </c>
      <c r="F29" s="34"/>
    </row>
    <row r="30" spans="1:8" ht="15.75" x14ac:dyDescent="0.25">
      <c r="A30" s="43" t="s">
        <v>30</v>
      </c>
      <c r="B30" s="47">
        <v>14</v>
      </c>
      <c r="C30" s="47">
        <v>14</v>
      </c>
      <c r="D30" s="47">
        <v>14</v>
      </c>
      <c r="E30" s="47">
        <v>14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/>
      <c r="D45" s="50"/>
      <c r="E45" s="50">
        <v>1</v>
      </c>
      <c r="F45" s="51">
        <f>IF(B45=1,0.15,IF(C45=1,0.125,IF(D45=1,0.075,IF(E45=1,0.05,0))))</f>
        <v>0.05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1.0249999999999999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0.51600000000000001</v>
      </c>
      <c r="F58" s="61">
        <f>-0.3*(0.55-E58)</f>
        <v>-1.0200000000000009E-2</v>
      </c>
    </row>
    <row r="59" spans="1:8" ht="15.75" x14ac:dyDescent="0.25">
      <c r="A59" s="83" t="s">
        <v>3</v>
      </c>
      <c r="B59" s="84"/>
      <c r="C59" s="84"/>
      <c r="D59" s="85"/>
      <c r="E59" s="45">
        <v>0.81599999999999995</v>
      </c>
      <c r="F59" s="61">
        <f>-0.75*(0.5-E59)</f>
        <v>0.23699999999999996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5.6699999999999987E-2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8.919791176470588E-3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1.1773016304347825E-2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1.4251546052631578E-2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20078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53727.470172352943</v>
      </c>
      <c r="C74" s="68">
        <f>F65*A70*300</f>
        <v>70913.586407608702</v>
      </c>
      <c r="D74" s="68">
        <f>($F$54*(1+$F$61))/85*($A$70*(1+B$70))*300</f>
        <v>78288.59939399999</v>
      </c>
      <c r="E74" s="68">
        <f>($F$54*(1+$F$61))/82*($A$70*(1+C$70))*300</f>
        <v>81152.816445000004</v>
      </c>
      <c r="F74" s="68">
        <f>F66*(A70*(1+D70)*300)</f>
        <v>87559.617743289476</v>
      </c>
    </row>
    <row r="75" spans="1:6" ht="15.75" x14ac:dyDescent="0.25">
      <c r="A75" s="35" t="s">
        <v>106</v>
      </c>
      <c r="B75" s="68">
        <f>B74/12</f>
        <v>4477.2891810294122</v>
      </c>
      <c r="C75" s="68">
        <f>C74/12</f>
        <v>5909.4655339673918</v>
      </c>
      <c r="D75" s="68">
        <f t="shared" ref="D75:F75" si="0">D74/12</f>
        <v>6524.0499494999995</v>
      </c>
      <c r="E75" s="68">
        <f t="shared" si="0"/>
        <v>6762.7347037500003</v>
      </c>
      <c r="F75" s="68">
        <f t="shared" si="0"/>
        <v>7296.6348119407894</v>
      </c>
    </row>
    <row r="76" spans="1:6" ht="15.75" x14ac:dyDescent="0.25">
      <c r="A76" s="35" t="s">
        <v>107</v>
      </c>
      <c r="B76" s="68">
        <f>B75/4.5/7*3</f>
        <v>426.40849343137256</v>
      </c>
      <c r="C76" s="68">
        <f t="shared" ref="C76:F76" si="1">C75/4.5/7*3</f>
        <v>562.80624133022775</v>
      </c>
      <c r="D76" s="68">
        <f t="shared" si="1"/>
        <v>621.33809042857138</v>
      </c>
      <c r="E76" s="68">
        <f t="shared" si="1"/>
        <v>644.06997178571442</v>
      </c>
      <c r="F76" s="68">
        <f t="shared" si="1"/>
        <v>694.91760113721807</v>
      </c>
    </row>
    <row r="77" spans="1:6" ht="15.75" x14ac:dyDescent="0.25">
      <c r="A77" s="35" t="s">
        <v>108</v>
      </c>
      <c r="B77" s="68">
        <f>IFERROR((B76/$B9*1.3),0)</f>
        <v>46.194253455065365</v>
      </c>
      <c r="C77" s="68">
        <f t="shared" ref="C77:F77" si="2">IFERROR((C76/$B9*1.3),0)</f>
        <v>60.970676144108005</v>
      </c>
      <c r="D77" s="68">
        <f t="shared" si="2"/>
        <v>67.311626463095237</v>
      </c>
      <c r="E77" s="68">
        <f t="shared" si="2"/>
        <v>69.774246943452397</v>
      </c>
      <c r="F77" s="68">
        <f t="shared" si="2"/>
        <v>75.282740123198622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360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360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360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360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360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25" zoomScale="130" zoomScaleNormal="100" zoomScalePageLayoutView="130" workbookViewId="0">
      <selection activeCell="O28" sqref="O2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Jon Porter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Wash 2 Go Express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Oilstop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1004 Lakeville St.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Petaluma, CA 94952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Jon Porter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Wash 2 Go Express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 t="str">
        <f>AddressLine1</f>
        <v>Oilstop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1004 Lakeville St.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Petaluma, CA 94952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2721.1546180907631</v>
      </c>
      <c r="J65" s="18">
        <f>'Input Form'!B75</f>
        <v>4477.2891810294122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0.45</v>
      </c>
      <c r="H69" s="140"/>
      <c r="I69" s="20">
        <f>IFERROR((I$65*G69*F69),0)</f>
        <v>6122.5978907042172</v>
      </c>
      <c r="J69" s="20">
        <f>J$65*F69*G69</f>
        <v>10073.900657316179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8</v>
      </c>
      <c r="G70" s="139">
        <f>'Input Form'!D20</f>
        <v>0.15</v>
      </c>
      <c r="H70" s="140"/>
      <c r="I70" s="20">
        <f>IFERROR((I$65*G70*F70),0)</f>
        <v>3265.3855417089158</v>
      </c>
      <c r="J70" s="20">
        <f t="shared" ref="J70:J73" si="0">J$65*F70*G70</f>
        <v>5372.7470172352942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11</v>
      </c>
      <c r="G71" s="139">
        <f>'Input Form'!D21</f>
        <v>0.2</v>
      </c>
      <c r="H71" s="140"/>
      <c r="I71" s="20">
        <f>IFERROR((I$65*G71*F71),0)</f>
        <v>5986.5401597996788</v>
      </c>
      <c r="J71" s="20">
        <f t="shared" si="0"/>
        <v>9850.0361982647082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14</v>
      </c>
      <c r="G72" s="139">
        <f>'Input Form'!D22</f>
        <v>0.2</v>
      </c>
      <c r="H72" s="140"/>
      <c r="I72" s="20">
        <f t="shared" ref="I72:I73" si="1">I$65*G72*F72</f>
        <v>7619.232930654136</v>
      </c>
      <c r="J72" s="20">
        <f t="shared" si="0"/>
        <v>12536.409706882354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0</v>
      </c>
      <c r="G73" s="139">
        <f>'Input Form'!D23</f>
        <v>0</v>
      </c>
      <c r="H73" s="140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22993.756522866948</v>
      </c>
      <c r="J74" s="20">
        <f>SUM(J69:J73)</f>
        <v>37833.093579698536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-413.88761741160505</v>
      </c>
      <c r="J75" s="20">
        <f>-(J74*$F75*$G75)</f>
        <v>-680.99568443457349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22579.868905455343</v>
      </c>
      <c r="J76" s="20">
        <f>SUM(J74:J75)</f>
        <v>37152.097895263963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8.2979000000000003</v>
      </c>
      <c r="J77" s="22">
        <f>J76/(J65+0.000000001)</f>
        <v>8.2978999999981458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677.39606716366029</v>
      </c>
      <c r="J80" s="20">
        <f>$G80*J76</f>
        <v>1114.5629368579189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7.6926627218934909E-2</v>
      </c>
      <c r="H81" s="131"/>
      <c r="I81" s="20">
        <f>G81*I76</f>
        <v>1736.993157942383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2910.3722863445491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225.79868905455345</v>
      </c>
      <c r="J82" s="20">
        <f>$G82*J76</f>
        <v>371.52097895263967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4.349006648850591E-2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0.59431785260532632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225.79868905455345</v>
      </c>
      <c r="J85" s="20">
        <f>$G85*J76</f>
        <v>371.52097895263967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225.79868905455345</v>
      </c>
      <c r="J86" s="20">
        <f>$G86*J76</f>
        <v>371.52097895263967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338.69803358183015</v>
      </c>
      <c r="J87" s="20">
        <f>$G87*J76</f>
        <v>557.28146842895944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225.79868905455345</v>
      </c>
      <c r="J88" s="20">
        <f>$G88*J76</f>
        <v>371.52097895263967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8.698013297701182E-2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225.79868905455345</v>
      </c>
      <c r="J90" s="20">
        <f>$G90*J76</f>
        <v>371.52097895263967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2032.1882014909809</v>
      </c>
      <c r="J91" s="20">
        <f>$G91*J76</f>
        <v>3343.6888105737567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22579.868905451625</v>
      </c>
      <c r="J92" s="20">
        <f>SUM(J80:J91)</f>
        <v>26449.110396968375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3.7180143408477306E-9</v>
      </c>
      <c r="J93" s="24">
        <f>J76-J92</f>
        <v>10702.987498295588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Jon Porter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Wash 2 Go Express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 t="str">
        <f>AddressLine1</f>
        <v>Oilstop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1004 Lakeville St.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Petaluma, CA 94952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360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360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360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360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360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22579.868905455343</v>
      </c>
      <c r="H138" s="169"/>
      <c r="I138" s="169">
        <f>J76</f>
        <v>37152.097895263963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22579.868905451625</v>
      </c>
      <c r="H139" s="169"/>
      <c r="I139" s="169">
        <f>J92</f>
        <v>26449.110396968375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3.7180143408477306E-9</v>
      </c>
      <c r="H140" s="169"/>
      <c r="I140" s="169">
        <f>J93</f>
        <v>10702.987498295588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3.7180143408477306E-9</v>
      </c>
      <c r="H143" s="169"/>
      <c r="I143" s="169">
        <f>I140-I141-I142</f>
        <v>10702.987498295588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Jon Porter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Wash 2 Go Express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 t="str">
        <f>AddressLine1</f>
        <v>Oilstop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1004 Lakeville St.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Petaluma, CA 94952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53727.470172352943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0.45</v>
      </c>
      <c r="H169" s="140"/>
      <c r="I169" s="20">
        <f>I$166*F169*G169</f>
        <v>120886.80788779414</v>
      </c>
      <c r="J169" s="30">
        <f>IFERROR((I169/I$174),0)</f>
        <v>0.26627218934911251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8</v>
      </c>
      <c r="G170" s="139">
        <f>'Input Form'!$D$20</f>
        <v>0.15</v>
      </c>
      <c r="H170" s="140"/>
      <c r="I170" s="20">
        <f>I$166*F170*G170</f>
        <v>64472.964206823526</v>
      </c>
      <c r="J170" s="30">
        <f t="shared" ref="J170:J176" si="2">IFERROR((I170/I$174),0)</f>
        <v>0.14201183431952663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11</v>
      </c>
      <c r="G171" s="139">
        <f>'Input Form'!$D$21</f>
        <v>0.2</v>
      </c>
      <c r="H171" s="140"/>
      <c r="I171" s="20">
        <f>I$166*F171*G171</f>
        <v>118200.43437917647</v>
      </c>
      <c r="J171" s="30">
        <f t="shared" si="2"/>
        <v>0.26035502958579881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14</v>
      </c>
      <c r="G172" s="139">
        <f>'Input Form'!$D$22</f>
        <v>0.2</v>
      </c>
      <c r="H172" s="140"/>
      <c r="I172" s="20">
        <f>I$166*F172*G172</f>
        <v>150436.91648258825</v>
      </c>
      <c r="J172" s="30">
        <f t="shared" si="2"/>
        <v>0.33136094674556216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0</v>
      </c>
      <c r="G173" s="139">
        <f>'Input Form'!$D$23</f>
        <v>0</v>
      </c>
      <c r="H173" s="140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453997.12295638234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-8171.9482132148814</v>
      </c>
      <c r="J175" s="30">
        <f t="shared" si="2"/>
        <v>-1.7999999999999999E-2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445825.17474316747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13374.755242295023</v>
      </c>
      <c r="J178" s="30">
        <f>IFERROR((I178/I$176),0)</f>
        <v>0.03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34295.82702228416</v>
      </c>
      <c r="J179" s="30">
        <f t="shared" ref="J179:J196" si="3">IFERROR((I179/I$176),0)</f>
        <v>7.6926627218934909E-2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4458.2517474316746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2.6916380410579106E-2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0.36782848813880986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4458.2517474316746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4458.2517474316746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6687.3776211475115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4458.2517474316746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5.3832760821158211E-2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4458.2517474316746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40124.265726885074</v>
      </c>
      <c r="J189" s="30">
        <f t="shared" si="3"/>
        <v>9.0000000000000011E-2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316760.68434977019</v>
      </c>
      <c r="J190" s="30">
        <f t="shared" si="3"/>
        <v>0.71050425658948213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129064.49039339728</v>
      </c>
      <c r="J191" s="30">
        <f t="shared" si="3"/>
        <v>0.28949574341051781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129064.49039339728</v>
      </c>
      <c r="J196" s="30">
        <f t="shared" si="3"/>
        <v>0.28949574341051781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Jon Porter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Wash 2 Go Express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 t="str">
        <f>AddressLine1</f>
        <v>Oilstop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1004 Lakeville St.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Petaluma, CA 94952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70913.586407608702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0.45</v>
      </c>
      <c r="H220" s="140"/>
      <c r="I220" s="20">
        <f>I$217*F220*G220</f>
        <v>159555.56941711958</v>
      </c>
      <c r="J220" s="30">
        <f>IFERROR((I220/I$225),0)</f>
        <v>0.26627218934911245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8</v>
      </c>
      <c r="G221" s="139">
        <f>'Input Form'!$D$20</f>
        <v>0.15</v>
      </c>
      <c r="H221" s="140"/>
      <c r="I221" s="20">
        <f>I$217*F221*G221</f>
        <v>85096.303689130436</v>
      </c>
      <c r="J221" s="30">
        <f t="shared" ref="J221:J227" si="4">IFERROR((I221/I$225),0)</f>
        <v>0.14201183431952663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11</v>
      </c>
      <c r="G222" s="139">
        <f>'Input Form'!$D$21</f>
        <v>0.2</v>
      </c>
      <c r="H222" s="140"/>
      <c r="I222" s="20">
        <f>I$217*F222*G222</f>
        <v>156009.89009673914</v>
      </c>
      <c r="J222" s="30">
        <f t="shared" si="4"/>
        <v>0.26035502958579881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14</v>
      </c>
      <c r="G223" s="139">
        <f>'Input Form'!$D$22</f>
        <v>0.2</v>
      </c>
      <c r="H223" s="140"/>
      <c r="I223" s="20">
        <f>I$217*F223*G223</f>
        <v>198558.04194130437</v>
      </c>
      <c r="J223" s="30">
        <f t="shared" si="4"/>
        <v>0.33136094674556216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0</v>
      </c>
      <c r="G224" s="139">
        <f>'Input Form'!$D$23</f>
        <v>0</v>
      </c>
      <c r="H224" s="140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599219.80514429347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-10785.956492597281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588433.84865169623</v>
      </c>
      <c r="J227" s="30">
        <f t="shared" si="4"/>
        <v>0.9820000000000001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17653.015459550887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45266.231318232203</v>
      </c>
      <c r="J230" s="30">
        <f t="shared" ref="J230:J247" si="5">IFERROR((I230/I$227),0)</f>
        <v>7.6926627218934909E-2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5884.3384865169628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2.0393116452250521E-2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0.27868417218987473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5884.3384865169628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5884.3384865169628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8826.5077297754433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5884.3384865169628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4.0786232904501042E-2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5884.3384865169628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52959.04637865266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354113.69331879605</v>
      </c>
      <c r="J241" s="30">
        <f t="shared" si="5"/>
        <v>0.60179014876556125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234320.15533290018</v>
      </c>
      <c r="J242" s="30">
        <f t="shared" si="5"/>
        <v>0.39820985123443869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234320.15533290018</v>
      </c>
      <c r="J247" s="30">
        <f t="shared" si="5"/>
        <v>0.39820985123443869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Jon Porter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Wash 2 Go Express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 t="str">
        <f>AddressLine1</f>
        <v>Oilstop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1004 Lakeville St.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Petaluma, CA 94952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78288.59939399999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0.45</v>
      </c>
      <c r="H271" s="140"/>
      <c r="I271" s="20">
        <f>I$268*F271*G271</f>
        <v>176149.34863649998</v>
      </c>
      <c r="J271" s="30">
        <f>IFERROR((I271/I$276),0)</f>
        <v>0.26627218934911245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8</v>
      </c>
      <c r="G272" s="139">
        <f>'Input Form'!$D$20</f>
        <v>0.15</v>
      </c>
      <c r="H272" s="140"/>
      <c r="I272" s="20">
        <f t="shared" ref="I272:I275" si="6">I$268*F272*G272</f>
        <v>93946.319272799985</v>
      </c>
      <c r="J272" s="30">
        <f t="shared" ref="J272:J278" si="7">IFERROR((I272/I$276),0)</f>
        <v>0.14201183431952663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11</v>
      </c>
      <c r="G273" s="139">
        <f>'Input Form'!$D$21</f>
        <v>0.2</v>
      </c>
      <c r="H273" s="140"/>
      <c r="I273" s="20">
        <f t="shared" si="6"/>
        <v>172234.91866679999</v>
      </c>
      <c r="J273" s="30">
        <f t="shared" si="7"/>
        <v>0.26035502958579881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14</v>
      </c>
      <c r="G274" s="139">
        <f>'Input Form'!$D$22</f>
        <v>0.2</v>
      </c>
      <c r="H274" s="140"/>
      <c r="I274" s="20">
        <f t="shared" si="6"/>
        <v>219208.07830319996</v>
      </c>
      <c r="J274" s="30">
        <f t="shared" si="7"/>
        <v>0.3313609467455621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0</v>
      </c>
      <c r="G275" s="139">
        <f>'Input Form'!$D$23</f>
        <v>0</v>
      </c>
      <c r="H275" s="140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661538.66487929993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-11907.695967827398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649630.96891147259</v>
      </c>
      <c r="J278" s="30">
        <f t="shared" si="7"/>
        <v>0.9820000000000001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19488.929067344176</v>
      </c>
      <c r="J280" s="30">
        <f>IFERROR((I280/I$278),0)</f>
        <v>2.9999999999999995E-2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49973.919375328347</v>
      </c>
      <c r="J281" s="30">
        <f t="shared" ref="J281:J298" si="8">IFERROR((I281/I$278),0)</f>
        <v>7.6926627218934909E-2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6496.3096891147261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1.8472025771966053E-2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0.2524313153893793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6496.3096891147261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6496.3096891147261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9744.4645336720878</v>
      </c>
      <c r="J287" s="30">
        <f t="shared" si="8"/>
        <v>1.4999999999999998E-2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6496.3096891147261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3.6944051543932106E-2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6496.3096891147261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58466.78720203253</v>
      </c>
      <c r="J291" s="30">
        <f t="shared" si="8"/>
        <v>0.09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370142.84862395079</v>
      </c>
      <c r="J292" s="30">
        <f t="shared" si="8"/>
        <v>0.56977401992421239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279488.1202875218</v>
      </c>
      <c r="J293" s="30">
        <f t="shared" si="8"/>
        <v>0.43022598007578761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279488.1202875218</v>
      </c>
      <c r="J298" s="30">
        <f t="shared" si="8"/>
        <v>0.43022598007578761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Jon Porter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Wash 2 Go Express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 t="str">
        <f>AddressLine1</f>
        <v>Oilstop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1004 Lakeville St.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Petaluma, CA 94952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81152.816445000004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0.45</v>
      </c>
      <c r="H322" s="140"/>
      <c r="I322" s="20">
        <f>I$319*F322*G322</f>
        <v>182593.83700125001</v>
      </c>
      <c r="J322" s="30">
        <f>IFERROR((I322/I$327),0)</f>
        <v>0.2662721893491124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8</v>
      </c>
      <c r="G323" s="139">
        <f>'Input Form'!$D$20</f>
        <v>0.15</v>
      </c>
      <c r="H323" s="140"/>
      <c r="I323" s="20">
        <f>I$319*F323*G323</f>
        <v>97383.379734000002</v>
      </c>
      <c r="J323" s="30">
        <f t="shared" ref="J323:J329" si="9">IFERROR((I323/I$327),0)</f>
        <v>0.1420118343195266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11</v>
      </c>
      <c r="G324" s="139">
        <f>'Input Form'!$D$21</f>
        <v>0.2</v>
      </c>
      <c r="H324" s="140"/>
      <c r="I324" s="20">
        <f>I$319*F324*G324</f>
        <v>178536.19617900002</v>
      </c>
      <c r="J324" s="30">
        <f t="shared" si="9"/>
        <v>0.26035502958579881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14</v>
      </c>
      <c r="G325" s="139">
        <f>'Input Form'!$D$22</f>
        <v>0.2</v>
      </c>
      <c r="H325" s="140"/>
      <c r="I325" s="20">
        <f>I$319*F325*G325</f>
        <v>227227.88604600003</v>
      </c>
      <c r="J325" s="30">
        <f t="shared" si="9"/>
        <v>0.3313609467455621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0</v>
      </c>
      <c r="G326" s="139">
        <f>'Input Form'!$D$23</f>
        <v>0</v>
      </c>
      <c r="H326" s="140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685741.2989602501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-12343.343381284501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673397.9555789656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20201.938667368966</v>
      </c>
      <c r="J331" s="30">
        <f>IFERROR((I331/I$329),0)</f>
        <v>2.9999999999999995E-2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51802.233498815978</v>
      </c>
      <c r="J332" s="30">
        <f t="shared" ref="J332:J344" si="10">IFERROR((I332/I$329),0)</f>
        <v>7.6926627218934909E-2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6733.9795557896559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1.782007192119078E-2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0.24352197484622473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6733.9795557896559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6733.9795557896559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10100.969333684483</v>
      </c>
      <c r="J338" s="30">
        <f t="shared" si="10"/>
        <v>1.4999999999999998E-2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6733.9795557896559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3.5640143842381559E-2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6733.9795557896559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60605.816002106905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376368.05528092466</v>
      </c>
      <c r="J343" s="30">
        <f t="shared" si="10"/>
        <v>0.55890881782873203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297029.90029804094</v>
      </c>
      <c r="J344" s="30">
        <f t="shared" si="10"/>
        <v>0.44109118217126797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297029.90029804094</v>
      </c>
      <c r="J349" s="30">
        <f t="shared" si="11"/>
        <v>0.44109118217126797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Jon Porter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Wash 2 Go Express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 t="str">
        <f>AddressLine1</f>
        <v>Oilstop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1004 Lakeville St.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Petaluma, CA 94952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87559.617743289476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0.45</v>
      </c>
      <c r="H373" s="140"/>
      <c r="I373" s="20">
        <f>I$370*F373*G373</f>
        <v>197009.13992240131</v>
      </c>
      <c r="J373" s="30">
        <f>IFERROR((I373/I$378),0)</f>
        <v>0.2662721893491124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8</v>
      </c>
      <c r="G374" s="139">
        <f>'Input Form'!$D$20</f>
        <v>0.15</v>
      </c>
      <c r="H374" s="140"/>
      <c r="I374" s="20">
        <f t="shared" ref="I374:I377" si="12">I$370*F374*G374</f>
        <v>105071.54129194737</v>
      </c>
      <c r="J374" s="30">
        <f t="shared" ref="J374:J380" si="13">IFERROR((I374/I$378),0)</f>
        <v>0.14201183431952663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11</v>
      </c>
      <c r="G375" s="139">
        <f>'Input Form'!$D$21</f>
        <v>0.2</v>
      </c>
      <c r="H375" s="140"/>
      <c r="I375" s="20">
        <f t="shared" si="12"/>
        <v>192631.15903523687</v>
      </c>
      <c r="J375" s="30">
        <f t="shared" si="13"/>
        <v>0.26035502958579881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14</v>
      </c>
      <c r="G376" s="139">
        <f>'Input Form'!$D$22</f>
        <v>0.2</v>
      </c>
      <c r="H376" s="140"/>
      <c r="I376" s="20">
        <f t="shared" si="12"/>
        <v>245166.92968121055</v>
      </c>
      <c r="J376" s="30">
        <f t="shared" si="13"/>
        <v>0.3313609467455621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0</v>
      </c>
      <c r="G377" s="139">
        <f>'Input Form'!$D$23</f>
        <v>0</v>
      </c>
      <c r="H377" s="140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739878.76993079612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-13317.81785875433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726560.95207204181</v>
      </c>
      <c r="J380" s="30">
        <f t="shared" si="13"/>
        <v>0.98199999999999998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21796.828562161252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55891.883511880391</v>
      </c>
      <c r="J383" s="30">
        <f t="shared" ref="J383:J395" si="14">IFERROR((I383/I$380),0)</f>
        <v>7.6926627218934909E-2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7265.609520720418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1.6516164219640233E-2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0.2257032937599156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7265.609520720418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7265.609520720418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10898.414281080626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7265.609520720418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3.3032328439280466E-2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7265.609520720418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65390.485686483764</v>
      </c>
      <c r="J393" s="30">
        <f t="shared" si="14"/>
        <v>0.09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390292.85964520823</v>
      </c>
      <c r="J394" s="30">
        <f t="shared" si="14"/>
        <v>0.5371784136377713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336268.09242683358</v>
      </c>
      <c r="J395" s="30">
        <f t="shared" si="14"/>
        <v>0.46282158636222864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336268.09242683358</v>
      </c>
      <c r="J400" s="30">
        <f t="shared" si="15"/>
        <v>0.46282158636222864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Jon Porter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Wash 2 Go Express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 t="str">
        <f>AddressLine1</f>
        <v>Oilstop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1004 Lakeville St.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Petaluma, CA 94952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r7C59NQMQUnleMEy3JT+KB3EVuBoj3Uqujs7PU2tE5y543IgcBL1liWj6rL2Wvck2si4+/SvwkHTyKbgnxFjCQ==" saltValue="33NNt6De2FGtRfud9N4xDg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2020-03-02T16:33:58Z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