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44" windowWidth="9420" windowHeight="4500"/>
  </bookViews>
  <sheets>
    <sheet name="Sheet1" sheetId="1" r:id="rId1"/>
  </sheets>
  <definedNames>
    <definedName name="ADDRESS">Sheet1!$C$6</definedName>
    <definedName name="CUSTOMER">Sheet1!$C$5</definedName>
    <definedName name="CUSTOMERNAME">Sheet1!$C$5</definedName>
    <definedName name="_xlnm.Print_Area" localSheetId="0">Sheet1!$A$1:$G$568</definedName>
  </definedNames>
  <calcPr calcId="145621"/>
</workbook>
</file>

<file path=xl/calcChain.xml><?xml version="1.0" encoding="utf-8"?>
<calcChain xmlns="http://schemas.openxmlformats.org/spreadsheetml/2006/main">
  <c r="J557" i="1" l="1"/>
  <c r="A83" i="1" l="1"/>
  <c r="G84" i="1" s="1"/>
  <c r="D164" i="1"/>
  <c r="E563" i="1" s="1"/>
  <c r="A107" i="1"/>
  <c r="E525" i="1"/>
  <c r="E478" i="1"/>
  <c r="E431" i="1"/>
  <c r="E384" i="1"/>
  <c r="E526" i="1"/>
  <c r="D526" i="1"/>
  <c r="E479" i="1"/>
  <c r="D479" i="1"/>
  <c r="E432" i="1"/>
  <c r="D432" i="1"/>
  <c r="E385" i="1"/>
  <c r="D385" i="1"/>
  <c r="E338" i="1"/>
  <c r="D338" i="1"/>
  <c r="E337" i="1"/>
  <c r="D337" i="1"/>
  <c r="C418" i="1"/>
  <c r="E248" i="1"/>
  <c r="E247" i="1"/>
  <c r="D248" i="1"/>
  <c r="D247" i="1"/>
  <c r="U56" i="1"/>
  <c r="M56" i="1"/>
  <c r="U66" i="1"/>
  <c r="U65" i="1"/>
  <c r="U63" i="1"/>
  <c r="U62" i="1"/>
  <c r="U61" i="1"/>
  <c r="U60" i="1"/>
  <c r="U59" i="1"/>
  <c r="U58" i="1"/>
  <c r="U57" i="1"/>
  <c r="U55" i="1"/>
  <c r="U54" i="1"/>
  <c r="U53" i="1"/>
  <c r="U52" i="1"/>
  <c r="U51" i="1"/>
  <c r="U67" i="1"/>
  <c r="C64" i="1"/>
  <c r="D64" i="1"/>
  <c r="E64" i="1"/>
  <c r="F64" i="1"/>
  <c r="G64" i="1"/>
  <c r="U50" i="1"/>
  <c r="G267" i="1"/>
  <c r="G268" i="1"/>
  <c r="G25" i="1"/>
  <c r="G32" i="1"/>
  <c r="F256" i="1" s="1"/>
  <c r="G18" i="1"/>
  <c r="G30" i="1"/>
  <c r="F263" i="1"/>
  <c r="F350" i="1"/>
  <c r="G22" i="1"/>
  <c r="G31" i="1"/>
  <c r="D295" i="1"/>
  <c r="G295" i="1" s="1"/>
  <c r="E295" i="1"/>
  <c r="D285" i="1"/>
  <c r="E285" i="1"/>
  <c r="C285" i="1"/>
  <c r="D296" i="1"/>
  <c r="E296" i="1"/>
  <c r="D286" i="1"/>
  <c r="E286" i="1"/>
  <c r="C286" i="1"/>
  <c r="F286" i="1"/>
  <c r="D297" i="1"/>
  <c r="E297" i="1"/>
  <c r="D287" i="1"/>
  <c r="E287" i="1"/>
  <c r="C287" i="1"/>
  <c r="F287" i="1"/>
  <c r="D298" i="1"/>
  <c r="E298" i="1"/>
  <c r="D288" i="1"/>
  <c r="E288" i="1"/>
  <c r="C288" i="1"/>
  <c r="F288" i="1"/>
  <c r="D299" i="1"/>
  <c r="G299" i="1" s="1"/>
  <c r="E299" i="1"/>
  <c r="D289" i="1"/>
  <c r="E289" i="1"/>
  <c r="G289" i="1"/>
  <c r="C299" i="1"/>
  <c r="C289" i="1"/>
  <c r="C290" i="1"/>
  <c r="G305" i="1"/>
  <c r="G306" i="1"/>
  <c r="G308" i="1"/>
  <c r="G315" i="1"/>
  <c r="G307" i="1"/>
  <c r="A80" i="1"/>
  <c r="G81" i="1" s="1"/>
  <c r="A81" i="1"/>
  <c r="A82" i="1"/>
  <c r="A84" i="1"/>
  <c r="A85" i="1"/>
  <c r="A86" i="1"/>
  <c r="A88" i="1"/>
  <c r="G87" i="1" s="1"/>
  <c r="A89" i="1"/>
  <c r="A90" i="1"/>
  <c r="A92" i="1"/>
  <c r="A93" i="1"/>
  <c r="A94" i="1"/>
  <c r="G90" i="1"/>
  <c r="A96" i="1"/>
  <c r="A97" i="1"/>
  <c r="A98" i="1"/>
  <c r="G94" i="1" s="1"/>
  <c r="A100" i="1"/>
  <c r="A101" i="1"/>
  <c r="A102" i="1"/>
  <c r="G97" i="1"/>
  <c r="A104" i="1"/>
  <c r="A105" i="1"/>
  <c r="A106" i="1"/>
  <c r="G100" i="1" s="1"/>
  <c r="A108" i="1"/>
  <c r="A109" i="1"/>
  <c r="G103" i="1" s="1"/>
  <c r="A110" i="1"/>
  <c r="A112" i="1"/>
  <c r="A113" i="1"/>
  <c r="G107" i="1"/>
  <c r="A114" i="1"/>
  <c r="A116" i="1"/>
  <c r="A117" i="1"/>
  <c r="A118" i="1"/>
  <c r="G110" i="1" s="1"/>
  <c r="H115" i="1"/>
  <c r="G113" i="1" s="1"/>
  <c r="I114" i="1"/>
  <c r="H116" i="1"/>
  <c r="I115" i="1"/>
  <c r="G114" i="1"/>
  <c r="H117" i="1"/>
  <c r="I116" i="1"/>
  <c r="G115" i="1"/>
  <c r="I117" i="1"/>
  <c r="H118" i="1"/>
  <c r="G116" i="1" s="1"/>
  <c r="E138" i="1"/>
  <c r="F138" i="1" s="1"/>
  <c r="D428" i="1"/>
  <c r="E428" i="1"/>
  <c r="D429" i="1"/>
  <c r="E429" i="1"/>
  <c r="D430" i="1"/>
  <c r="E430" i="1"/>
  <c r="D431" i="1"/>
  <c r="D434" i="1"/>
  <c r="E434" i="1"/>
  <c r="M61" i="1"/>
  <c r="D522" i="1"/>
  <c r="E522" i="1"/>
  <c r="D523" i="1"/>
  <c r="E523" i="1"/>
  <c r="D524" i="1"/>
  <c r="E524" i="1"/>
  <c r="D525" i="1"/>
  <c r="D528" i="1"/>
  <c r="E528" i="1"/>
  <c r="D475" i="1"/>
  <c r="E475" i="1"/>
  <c r="D476" i="1"/>
  <c r="E476" i="1"/>
  <c r="D477" i="1"/>
  <c r="E477" i="1"/>
  <c r="D478" i="1"/>
  <c r="D481" i="1"/>
  <c r="E481" i="1"/>
  <c r="D381" i="1"/>
  <c r="E381" i="1"/>
  <c r="D382" i="1"/>
  <c r="E382" i="1"/>
  <c r="D383" i="1"/>
  <c r="E383" i="1"/>
  <c r="D384" i="1"/>
  <c r="D387" i="1"/>
  <c r="E387" i="1"/>
  <c r="D334" i="1"/>
  <c r="E334" i="1"/>
  <c r="D335" i="1"/>
  <c r="E335" i="1"/>
  <c r="D336" i="1"/>
  <c r="E336" i="1"/>
  <c r="D340" i="1"/>
  <c r="E340" i="1"/>
  <c r="E244" i="1"/>
  <c r="D244" i="1"/>
  <c r="E245" i="1"/>
  <c r="D245" i="1"/>
  <c r="E246" i="1"/>
  <c r="D246" i="1"/>
  <c r="M50" i="1"/>
  <c r="M67" i="1"/>
  <c r="C60" i="1"/>
  <c r="D60" i="1"/>
  <c r="E60" i="1"/>
  <c r="F60" i="1"/>
  <c r="G60" i="1"/>
  <c r="M51" i="1"/>
  <c r="M52" i="1"/>
  <c r="M53" i="1"/>
  <c r="M54" i="1"/>
  <c r="M55" i="1"/>
  <c r="M57" i="1"/>
  <c r="M58" i="1"/>
  <c r="M59" i="1"/>
  <c r="M60" i="1"/>
  <c r="M62" i="1"/>
  <c r="M63" i="1"/>
  <c r="M65" i="1"/>
  <c r="M66" i="1"/>
  <c r="O50" i="1"/>
  <c r="O51" i="1"/>
  <c r="O52" i="1"/>
  <c r="O53" i="1"/>
  <c r="O54" i="1"/>
  <c r="O55" i="1"/>
  <c r="O57" i="1"/>
  <c r="O58" i="1"/>
  <c r="O59" i="1"/>
  <c r="O60" i="1"/>
  <c r="O61" i="1"/>
  <c r="O62" i="1"/>
  <c r="O63" i="1"/>
  <c r="O65" i="1"/>
  <c r="O66" i="1"/>
  <c r="Q50" i="1"/>
  <c r="Q51" i="1"/>
  <c r="Q52" i="1"/>
  <c r="Q53" i="1"/>
  <c r="Q67" i="1"/>
  <c r="C62" i="1"/>
  <c r="D62" i="1"/>
  <c r="E62" i="1"/>
  <c r="F62" i="1"/>
  <c r="G62" i="1"/>
  <c r="Q54" i="1"/>
  <c r="Q55" i="1"/>
  <c r="Q57" i="1"/>
  <c r="Q58" i="1"/>
  <c r="Q59" i="1"/>
  <c r="Q60" i="1"/>
  <c r="Q61" i="1"/>
  <c r="Q62" i="1"/>
  <c r="Q63" i="1"/>
  <c r="Q65" i="1"/>
  <c r="Q66" i="1"/>
  <c r="K264" i="1"/>
  <c r="I118" i="1"/>
  <c r="H119" i="1"/>
  <c r="S62" i="1"/>
  <c r="J129" i="1"/>
  <c r="S50" i="1"/>
  <c r="S51" i="1"/>
  <c r="S52" i="1"/>
  <c r="S53" i="1"/>
  <c r="S54" i="1"/>
  <c r="S55" i="1"/>
  <c r="S57" i="1"/>
  <c r="S58" i="1"/>
  <c r="S59" i="1"/>
  <c r="S60" i="1"/>
  <c r="S61" i="1"/>
  <c r="S63" i="1"/>
  <c r="S65" i="1"/>
  <c r="S66" i="1"/>
  <c r="G12" i="1"/>
  <c r="C74" i="1"/>
  <c r="C75" i="1"/>
  <c r="A87" i="1"/>
  <c r="A95" i="1"/>
  <c r="A103" i="1"/>
  <c r="C126" i="1"/>
  <c r="C127" i="1"/>
  <c r="E149" i="1"/>
  <c r="G149" i="1"/>
  <c r="C159" i="1"/>
  <c r="F149" i="1"/>
  <c r="E150" i="1"/>
  <c r="G150" i="1"/>
  <c r="C160" i="1"/>
  <c r="G160" i="1"/>
  <c r="F150" i="1"/>
  <c r="E151" i="1"/>
  <c r="G151" i="1"/>
  <c r="C161" i="1"/>
  <c r="G161" i="1"/>
  <c r="F151" i="1"/>
  <c r="E152" i="1"/>
  <c r="G152" i="1"/>
  <c r="C162" i="1"/>
  <c r="G162" i="1"/>
  <c r="F152" i="1"/>
  <c r="E153" i="1"/>
  <c r="G153" i="1"/>
  <c r="C163" i="1"/>
  <c r="G163" i="1"/>
  <c r="F153" i="1"/>
  <c r="C154" i="1"/>
  <c r="G172" i="1"/>
  <c r="B199" i="1"/>
  <c r="B201" i="1"/>
  <c r="C234" i="1"/>
  <c r="C235" i="1"/>
  <c r="C278" i="1"/>
  <c r="C279" i="1"/>
  <c r="C324" i="1"/>
  <c r="C325" i="1"/>
  <c r="C371" i="1"/>
  <c r="C372" i="1"/>
  <c r="C419" i="1"/>
  <c r="C465" i="1"/>
  <c r="C466" i="1"/>
  <c r="C512" i="1"/>
  <c r="C513" i="1"/>
  <c r="C560" i="1"/>
  <c r="F354" i="1"/>
  <c r="F401" i="1"/>
  <c r="F448" i="1"/>
  <c r="F495" i="1"/>
  <c r="F542" i="1"/>
  <c r="F355" i="1"/>
  <c r="F402" i="1"/>
  <c r="F449" i="1"/>
  <c r="F496" i="1"/>
  <c r="F543" i="1"/>
  <c r="O67" i="1"/>
  <c r="C61" i="1"/>
  <c r="D61" i="1"/>
  <c r="E61" i="1"/>
  <c r="F61" i="1"/>
  <c r="G61" i="1"/>
  <c r="F503" i="1"/>
  <c r="F289" i="1"/>
  <c r="F290" i="1"/>
  <c r="A563" i="1"/>
  <c r="G263" i="1"/>
  <c r="S67" i="1"/>
  <c r="C63" i="1"/>
  <c r="D63" i="1"/>
  <c r="E63" i="1"/>
  <c r="F63" i="1"/>
  <c r="G63" i="1"/>
  <c r="G287" i="1"/>
  <c r="C297" i="1"/>
  <c r="G297" i="1"/>
  <c r="G256" i="1"/>
  <c r="F409" i="1"/>
  <c r="F456" i="1"/>
  <c r="F315" i="1"/>
  <c r="F362" i="1"/>
  <c r="F550" i="1"/>
  <c r="F397" i="1"/>
  <c r="F285" i="1"/>
  <c r="G285" i="1"/>
  <c r="C295" i="1"/>
  <c r="F444" i="1"/>
  <c r="F491" i="1"/>
  <c r="F538" i="1"/>
  <c r="G288" i="1"/>
  <c r="C298" i="1"/>
  <c r="G298" i="1"/>
  <c r="G286" i="1"/>
  <c r="E565" i="1"/>
  <c r="G290" i="1"/>
  <c r="E290" i="1"/>
  <c r="C296" i="1"/>
  <c r="F154" i="1"/>
  <c r="D154" i="1"/>
  <c r="D290" i="1"/>
  <c r="C164" i="1"/>
  <c r="G159" i="1"/>
  <c r="G154" i="1"/>
  <c r="E154" i="1"/>
  <c r="G296" i="1"/>
  <c r="C300" i="1"/>
  <c r="G111" i="1" l="1"/>
  <c r="G118" i="1"/>
  <c r="G138" i="1"/>
  <c r="F343" i="1"/>
  <c r="F390" i="1"/>
  <c r="F437" i="1" s="1"/>
  <c r="F484" i="1" s="1"/>
  <c r="F531" i="1" s="1"/>
  <c r="G164" i="1"/>
  <c r="G300" i="1"/>
  <c r="F455" i="1" s="1"/>
  <c r="H120" i="1" l="1"/>
  <c r="C141" i="1" s="1"/>
  <c r="H121" i="1"/>
  <c r="E141" i="1" s="1"/>
  <c r="F502" i="1"/>
  <c r="F504" i="1" s="1"/>
  <c r="F361" i="1"/>
  <c r="F314" i="1"/>
  <c r="F549" i="1"/>
  <c r="F408" i="1"/>
  <c r="G314" i="1"/>
  <c r="K267" i="1"/>
  <c r="F410" i="1"/>
  <c r="F551" i="1"/>
  <c r="F457" i="1"/>
  <c r="G119" i="1" l="1"/>
  <c r="G141" i="1"/>
  <c r="G142" i="1" s="1"/>
  <c r="G143" i="1" s="1"/>
  <c r="G144" i="1" s="1"/>
  <c r="D141" i="1"/>
  <c r="F377" i="1" s="1"/>
  <c r="G121" i="1"/>
  <c r="G120" i="1"/>
  <c r="F141" i="1"/>
  <c r="C142" i="1"/>
  <c r="F330" i="1"/>
  <c r="F424" i="1"/>
  <c r="E142" i="1"/>
  <c r="E143" i="1" s="1"/>
  <c r="E144" i="1" s="1"/>
  <c r="F363" i="1"/>
  <c r="D142" i="1" l="1"/>
  <c r="D143" i="1" s="1"/>
  <c r="D144" i="1" s="1"/>
  <c r="F518" i="1"/>
  <c r="F142" i="1"/>
  <c r="F143" i="1" s="1"/>
  <c r="F144" i="1" s="1"/>
  <c r="F471" i="1"/>
  <c r="G240" i="1"/>
  <c r="C143" i="1"/>
  <c r="C144" i="1" s="1"/>
  <c r="F429" i="1"/>
  <c r="K439" i="1"/>
  <c r="F438" i="1" s="1"/>
  <c r="F432" i="1"/>
  <c r="F430" i="1"/>
  <c r="F431" i="1"/>
  <c r="F428" i="1"/>
  <c r="K392" i="1"/>
  <c r="F391" i="1" s="1"/>
  <c r="F382" i="1"/>
  <c r="F383" i="1"/>
  <c r="F384" i="1"/>
  <c r="F381" i="1"/>
  <c r="F385" i="1"/>
  <c r="F338" i="1"/>
  <c r="K345" i="1"/>
  <c r="F344" i="1" s="1"/>
  <c r="F334" i="1"/>
  <c r="F337" i="1"/>
  <c r="F336" i="1"/>
  <c r="F335" i="1"/>
  <c r="F522" i="1" l="1"/>
  <c r="F524" i="1"/>
  <c r="F526" i="1"/>
  <c r="K533" i="1"/>
  <c r="F532" i="1" s="1"/>
  <c r="F523" i="1"/>
  <c r="F525" i="1"/>
  <c r="F339" i="1"/>
  <c r="G334" i="1" s="1"/>
  <c r="F386" i="1"/>
  <c r="G383" i="1" s="1"/>
  <c r="F476" i="1"/>
  <c r="F475" i="1"/>
  <c r="F478" i="1"/>
  <c r="F477" i="1"/>
  <c r="F479" i="1"/>
  <c r="K486" i="1"/>
  <c r="F485" i="1" s="1"/>
  <c r="G335" i="1"/>
  <c r="F340" i="1"/>
  <c r="G336" i="1"/>
  <c r="G338" i="1"/>
  <c r="F433" i="1"/>
  <c r="G432" i="1" s="1"/>
  <c r="G337" i="1"/>
  <c r="G248" i="1"/>
  <c r="G244" i="1"/>
  <c r="G247" i="1"/>
  <c r="G246" i="1"/>
  <c r="G245" i="1"/>
  <c r="K258" i="1"/>
  <c r="G257" i="1" s="1"/>
  <c r="G385" i="1" l="1"/>
  <c r="G384" i="1"/>
  <c r="F527" i="1"/>
  <c r="F387" i="1"/>
  <c r="G339" i="1"/>
  <c r="G381" i="1"/>
  <c r="F480" i="1"/>
  <c r="G382" i="1"/>
  <c r="F434" i="1"/>
  <c r="F435" i="1" s="1"/>
  <c r="F341" i="1"/>
  <c r="G340" i="1" s="1"/>
  <c r="G249" i="1"/>
  <c r="G250" i="1" s="1"/>
  <c r="G251" i="1" s="1"/>
  <c r="G430" i="1"/>
  <c r="G429" i="1"/>
  <c r="G428" i="1"/>
  <c r="F388" i="1"/>
  <c r="G431" i="1"/>
  <c r="G522" i="1" l="1"/>
  <c r="G526" i="1"/>
  <c r="G524" i="1"/>
  <c r="F528" i="1"/>
  <c r="F529" i="1" s="1"/>
  <c r="G528" i="1" s="1"/>
  <c r="G523" i="1"/>
  <c r="G525" i="1"/>
  <c r="G386" i="1"/>
  <c r="G433" i="1"/>
  <c r="G476" i="1"/>
  <c r="G479" i="1"/>
  <c r="F481" i="1"/>
  <c r="G477" i="1"/>
  <c r="G478" i="1"/>
  <c r="G475" i="1"/>
  <c r="F356" i="1"/>
  <c r="G356" i="1" s="1"/>
  <c r="G354" i="1"/>
  <c r="F348" i="1"/>
  <c r="G348" i="1" s="1"/>
  <c r="G355" i="1"/>
  <c r="G343" i="1"/>
  <c r="G362" i="1"/>
  <c r="G350" i="1"/>
  <c r="G341" i="1"/>
  <c r="F345" i="1"/>
  <c r="F349" i="1"/>
  <c r="G349" i="1" s="1"/>
  <c r="F351" i="1"/>
  <c r="G351" i="1" s="1"/>
  <c r="F346" i="1"/>
  <c r="G346" i="1" s="1"/>
  <c r="F347" i="1"/>
  <c r="G347" i="1" s="1"/>
  <c r="F352" i="1"/>
  <c r="G352" i="1" s="1"/>
  <c r="F353" i="1"/>
  <c r="G353" i="1" s="1"/>
  <c r="G361" i="1"/>
  <c r="G363" i="1" s="1"/>
  <c r="G344" i="1"/>
  <c r="G388" i="1"/>
  <c r="F398" i="1"/>
  <c r="G398" i="1" s="1"/>
  <c r="G390" i="1"/>
  <c r="F393" i="1"/>
  <c r="G393" i="1" s="1"/>
  <c r="G408" i="1"/>
  <c r="G401" i="1"/>
  <c r="F399" i="1"/>
  <c r="G399" i="1" s="1"/>
  <c r="F394" i="1"/>
  <c r="G394" i="1" s="1"/>
  <c r="F400" i="1"/>
  <c r="G400" i="1" s="1"/>
  <c r="F396" i="1"/>
  <c r="G396" i="1" s="1"/>
  <c r="G402" i="1"/>
  <c r="F392" i="1"/>
  <c r="G397" i="1"/>
  <c r="F395" i="1"/>
  <c r="G395" i="1" s="1"/>
  <c r="F403" i="1"/>
  <c r="G403" i="1" s="1"/>
  <c r="G409" i="1"/>
  <c r="G391" i="1"/>
  <c r="G258" i="1"/>
  <c r="G252" i="1"/>
  <c r="K269" i="1" s="1"/>
  <c r="G253" i="1"/>
  <c r="F447" i="1"/>
  <c r="G447" i="1" s="1"/>
  <c r="G456" i="1"/>
  <c r="G437" i="1"/>
  <c r="G449" i="1"/>
  <c r="G444" i="1"/>
  <c r="F443" i="1"/>
  <c r="G443" i="1" s="1"/>
  <c r="F442" i="1"/>
  <c r="G442" i="1" s="1"/>
  <c r="G455" i="1"/>
  <c r="F450" i="1"/>
  <c r="G450" i="1" s="1"/>
  <c r="F441" i="1"/>
  <c r="G441" i="1" s="1"/>
  <c r="F439" i="1"/>
  <c r="F446" i="1"/>
  <c r="G446" i="1" s="1"/>
  <c r="F445" i="1"/>
  <c r="G445" i="1" s="1"/>
  <c r="G435" i="1"/>
  <c r="F440" i="1"/>
  <c r="G440" i="1" s="1"/>
  <c r="G448" i="1"/>
  <c r="G438" i="1"/>
  <c r="G387" i="1"/>
  <c r="G434" i="1"/>
  <c r="F535" i="1"/>
  <c r="G535" i="1" s="1"/>
  <c r="F539" i="1"/>
  <c r="G539" i="1" s="1"/>
  <c r="G538" i="1"/>
  <c r="G532" i="1"/>
  <c r="G549" i="1"/>
  <c r="G531" i="1" l="1"/>
  <c r="F534" i="1"/>
  <c r="G534" i="1" s="1"/>
  <c r="G529" i="1"/>
  <c r="F541" i="1"/>
  <c r="G541" i="1" s="1"/>
  <c r="G543" i="1"/>
  <c r="G542" i="1"/>
  <c r="F544" i="1"/>
  <c r="G544" i="1" s="1"/>
  <c r="F536" i="1"/>
  <c r="G536" i="1" s="1"/>
  <c r="F537" i="1"/>
  <c r="G537" i="1" s="1"/>
  <c r="G550" i="1"/>
  <c r="F533" i="1"/>
  <c r="F540" i="1"/>
  <c r="G540" i="1" s="1"/>
  <c r="G527" i="1"/>
  <c r="G551" i="1"/>
  <c r="G457" i="1"/>
  <c r="G480" i="1"/>
  <c r="G410" i="1"/>
  <c r="F482" i="1"/>
  <c r="G261" i="1"/>
  <c r="G264" i="1"/>
  <c r="G269" i="1"/>
  <c r="G311" i="1"/>
  <c r="E257" i="1"/>
  <c r="K263" i="1" s="1"/>
  <c r="K265" i="1" s="1"/>
  <c r="F240" i="1" s="1"/>
  <c r="G266" i="1"/>
  <c r="G262" i="1"/>
  <c r="G265" i="1"/>
  <c r="G259" i="1"/>
  <c r="G260" i="1"/>
  <c r="G439" i="1"/>
  <c r="F451" i="1"/>
  <c r="G392" i="1"/>
  <c r="F404" i="1"/>
  <c r="G345" i="1"/>
  <c r="F357" i="1"/>
  <c r="G533" i="1"/>
  <c r="F545" i="1"/>
  <c r="G270" i="1" l="1"/>
  <c r="G272" i="1" s="1"/>
  <c r="F492" i="1"/>
  <c r="G492" i="1" s="1"/>
  <c r="F488" i="1"/>
  <c r="G488" i="1" s="1"/>
  <c r="F486" i="1"/>
  <c r="F494" i="1"/>
  <c r="G494" i="1" s="1"/>
  <c r="F487" i="1"/>
  <c r="G487" i="1" s="1"/>
  <c r="F497" i="1"/>
  <c r="G497" i="1" s="1"/>
  <c r="G484" i="1"/>
  <c r="G503" i="1"/>
  <c r="G491" i="1"/>
  <c r="F490" i="1"/>
  <c r="G490" i="1" s="1"/>
  <c r="F493" i="1"/>
  <c r="G493" i="1" s="1"/>
  <c r="G496" i="1"/>
  <c r="G482" i="1"/>
  <c r="F489" i="1"/>
  <c r="G489" i="1" s="1"/>
  <c r="G495" i="1"/>
  <c r="G502" i="1"/>
  <c r="G504" i="1" s="1"/>
  <c r="G485" i="1"/>
  <c r="G481" i="1"/>
  <c r="G312" i="1"/>
  <c r="G313" i="1" s="1"/>
  <c r="G317" i="1" s="1"/>
  <c r="F453" i="1"/>
  <c r="G451" i="1"/>
  <c r="G404" i="1"/>
  <c r="F406" i="1"/>
  <c r="G357" i="1"/>
  <c r="F359" i="1"/>
  <c r="F248" i="1"/>
  <c r="F245" i="1"/>
  <c r="F247" i="1"/>
  <c r="F246" i="1"/>
  <c r="F244" i="1"/>
  <c r="G545" i="1"/>
  <c r="F547" i="1"/>
  <c r="F249" i="1" l="1"/>
  <c r="F250" i="1" s="1"/>
  <c r="F498" i="1"/>
  <c r="G486" i="1"/>
  <c r="G406" i="1"/>
  <c r="F412" i="1"/>
  <c r="G359" i="1"/>
  <c r="F365" i="1"/>
  <c r="G453" i="1"/>
  <c r="F459" i="1"/>
  <c r="G547" i="1"/>
  <c r="F553" i="1"/>
  <c r="F251" i="1" l="1"/>
  <c r="F253" i="1" s="1"/>
  <c r="G498" i="1"/>
  <c r="F500" i="1"/>
  <c r="J560" i="1"/>
  <c r="A566" i="1"/>
  <c r="D566" i="1" s="1"/>
  <c r="G459" i="1"/>
  <c r="J562" i="1"/>
  <c r="A565" i="1"/>
  <c r="D565" i="1" s="1"/>
  <c r="G365" i="1"/>
  <c r="F258" i="1"/>
  <c r="F257" i="1"/>
  <c r="G412" i="1"/>
  <c r="J561" i="1"/>
  <c r="J558" i="1"/>
  <c r="G553" i="1"/>
  <c r="A567" i="1"/>
  <c r="D567" i="1" s="1"/>
  <c r="F252" i="1" l="1"/>
  <c r="F506" i="1"/>
  <c r="G500" i="1"/>
  <c r="H268" i="1"/>
  <c r="E256" i="1"/>
  <c r="E267" i="1"/>
  <c r="F265" i="1"/>
  <c r="F260" i="1"/>
  <c r="E263" i="1"/>
  <c r="F264" i="1"/>
  <c r="F261" i="1"/>
  <c r="F269" i="1"/>
  <c r="F262" i="1"/>
  <c r="F311" i="1"/>
  <c r="E268" i="1"/>
  <c r="F259" i="1"/>
  <c r="F266" i="1"/>
  <c r="F270" i="1" l="1"/>
  <c r="F312" i="1" s="1"/>
  <c r="F313" i="1" s="1"/>
  <c r="F317" i="1" s="1"/>
  <c r="G506" i="1"/>
  <c r="J559" i="1"/>
  <c r="G562" i="1" s="1"/>
  <c r="F272" i="1" l="1"/>
</calcChain>
</file>

<file path=xl/comments1.xml><?xml version="1.0" encoding="utf-8"?>
<comments xmlns="http://schemas.openxmlformats.org/spreadsheetml/2006/main">
  <authors>
    <author>randre</author>
  </authors>
  <commentList>
    <comment ref="K258" authorId="0">
      <text>
        <r>
          <rPr>
            <b/>
            <sz val="10"/>
            <color indexed="81"/>
            <rFont val="Tahoma"/>
            <family val="2"/>
          </rPr>
          <t>randre: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<sst xmlns="http://schemas.openxmlformats.org/spreadsheetml/2006/main" count="767" uniqueCount="330">
  <si>
    <t>CUSTOMER</t>
  </si>
  <si>
    <t>ADDRESS</t>
  </si>
  <si>
    <t>AREA</t>
  </si>
  <si>
    <t>PROFILE</t>
  </si>
  <si>
    <t>(Enter the number one "1" in the block that best matches your site)</t>
  </si>
  <si>
    <t>SHOPPING</t>
  </si>
  <si>
    <t>BUSINESS</t>
  </si>
  <si>
    <t>RESIDENTIAL</t>
  </si>
  <si>
    <t>INDUSTRIAL</t>
  </si>
  <si>
    <t>SITE</t>
  </si>
  <si>
    <t>SCORE</t>
  </si>
  <si>
    <t xml:space="preserve">TYPE OF </t>
  </si>
  <si>
    <t>COMPETITION</t>
  </si>
  <si>
    <t>NEAREST</t>
  </si>
  <si>
    <t>LESS THAN</t>
  </si>
  <si>
    <t>4 MILES</t>
  </si>
  <si>
    <t>2 MILES</t>
  </si>
  <si>
    <t>HOURS OF</t>
  </si>
  <si>
    <t>OPERATION</t>
  </si>
  <si>
    <t>WEEKLY</t>
  </si>
  <si>
    <t>MORE THAN</t>
  </si>
  <si>
    <t>70 HOURS</t>
  </si>
  <si>
    <t>60 HOURS</t>
  </si>
  <si>
    <t>CORNER LOT</t>
  </si>
  <si>
    <t>WITH LIGHT</t>
  </si>
  <si>
    <t>WITHOUT LIGHT</t>
  </si>
  <si>
    <t>INSIDE LOT</t>
  </si>
  <si>
    <t>NEAR LIGHT</t>
  </si>
  <si>
    <t>NO LIGHT</t>
  </si>
  <si>
    <t>ACCESSIBILITY</t>
  </si>
  <si>
    <t>EASY IN &amp;</t>
  </si>
  <si>
    <t>EASY OUT</t>
  </si>
  <si>
    <t>EASY IN OR</t>
  </si>
  <si>
    <t>EASY IN /OUT</t>
  </si>
  <si>
    <t>WITH DIVIDED</t>
  </si>
  <si>
    <t>HIGHWAY</t>
  </si>
  <si>
    <t>ONE WAY</t>
  </si>
  <si>
    <t>DIFFICULT</t>
  </si>
  <si>
    <t xml:space="preserve">IN AND </t>
  </si>
  <si>
    <t>OUT</t>
  </si>
  <si>
    <t>STACK UP</t>
  </si>
  <si>
    <t>20 VEHICLES</t>
  </si>
  <si>
    <t>15 VEHICLES</t>
  </si>
  <si>
    <t>NUMBER OF</t>
  </si>
  <si>
    <t>VACUUM SLOTS</t>
  </si>
  <si>
    <t>VISIBILITY</t>
  </si>
  <si>
    <t>500 FEET BOTH</t>
  </si>
  <si>
    <t>DIRECTIONS</t>
  </si>
  <si>
    <t>400 FEET BOTH</t>
  </si>
  <si>
    <t>300 FEET BOTH</t>
  </si>
  <si>
    <t>10 VEHICLES</t>
  </si>
  <si>
    <t>SITE-SPECIFIC FACTORS</t>
  </si>
  <si>
    <t xml:space="preserve">TRAFFIC </t>
  </si>
  <si>
    <t>SPEED</t>
  </si>
  <si>
    <t>30 MPH</t>
  </si>
  <si>
    <t>40 MPH</t>
  </si>
  <si>
    <t>50  MPH</t>
  </si>
  <si>
    <t>50 MPH</t>
  </si>
  <si>
    <t>CUMULATIVE SITE SCORE:</t>
  </si>
  <si>
    <t>DEMOGRAPHIC COMPONENTS</t>
  </si>
  <si>
    <t>CUMULATIVE DEMOGRAPHIC SCORE:</t>
  </si>
  <si>
    <t>FIRST YEAR - START UP- TARGET SCORE:</t>
  </si>
  <si>
    <t>REVENUE</t>
  </si>
  <si>
    <t xml:space="preserve">PRICE PER </t>
  </si>
  <si>
    <t>UNIT</t>
  </si>
  <si>
    <t>PERCENTAGE</t>
  </si>
  <si>
    <t>OF CUSTOMERS</t>
  </si>
  <si>
    <t>SERVICE DESCRIPTION</t>
  </si>
  <si>
    <t>MENU PACKAGE #1</t>
  </si>
  <si>
    <t>MENU PACKAGE #2</t>
  </si>
  <si>
    <t>MENU PACKAGE #3</t>
  </si>
  <si>
    <t>ON-LINE</t>
  </si>
  <si>
    <t xml:space="preserve">  TOTAL ON-LINE REVENUE </t>
  </si>
  <si>
    <t xml:space="preserve">  TOTAL  REVENUE </t>
  </si>
  <si>
    <t xml:space="preserve">ADV. &amp; PROMOTION </t>
  </si>
  <si>
    <t>REAL ESTATE TAX</t>
  </si>
  <si>
    <t>OPERATIONAL EXPENSE</t>
  </si>
  <si>
    <t>EXPENSE DESCRIPTION</t>
  </si>
  <si>
    <t>% OF SALES</t>
  </si>
  <si>
    <t xml:space="preserve">UTILITIES </t>
  </si>
  <si>
    <t xml:space="preserve">CUSTOMER CLAIMS </t>
  </si>
  <si>
    <t>LICENSE &amp; TAXES</t>
  </si>
  <si>
    <t xml:space="preserve">REFUSE COLLECTION </t>
  </si>
  <si>
    <t xml:space="preserve">MISCELLANEOUS </t>
  </si>
  <si>
    <t xml:space="preserve">INSURANCE </t>
  </si>
  <si>
    <t>REPAIRS &amp; MAINTENANCE</t>
  </si>
  <si>
    <t>LEGAL &amp; PROFESSIONAL FEES</t>
  </si>
  <si>
    <t xml:space="preserve">  TOTAL OPERATIONAL EXPENSE</t>
  </si>
  <si>
    <t>CAR WASH ACQUISITION BUDGET</t>
  </si>
  <si>
    <t>% OWNER</t>
  </si>
  <si>
    <t>INVESTMENT</t>
  </si>
  <si>
    <t>% BANK DEBT</t>
  </si>
  <si>
    <t>COVERAGE</t>
  </si>
  <si>
    <t>TOTAL</t>
  </si>
  <si>
    <t>ITEM</t>
  </si>
  <si>
    <t>OWNER</t>
  </si>
  <si>
    <t>BANK DEBT</t>
  </si>
  <si>
    <t>LAND</t>
  </si>
  <si>
    <t>BUILDING</t>
  </si>
  <si>
    <t>SOFT COST</t>
  </si>
  <si>
    <t>EQUIPMENT</t>
  </si>
  <si>
    <t>PROJECT COST</t>
  </si>
  <si>
    <t>BANK DEBT ALLOCATION</t>
  </si>
  <si>
    <t>INTEREST</t>
  </si>
  <si>
    <t>RATE</t>
  </si>
  <si>
    <t>TERM OF</t>
  </si>
  <si>
    <t>MONTHLY</t>
  </si>
  <si>
    <t>PAYMENT</t>
  </si>
  <si>
    <t>LOAN (IN  MONTHS)</t>
  </si>
  <si>
    <t>TOTAL DEBT</t>
  </si>
  <si>
    <t>LEASE PAYMENTS</t>
  </si>
  <si>
    <t>TOTAL LEASE PAYMENTS</t>
  </si>
  <si>
    <t>CASH FLOW SUMMARY</t>
  </si>
  <si>
    <t xml:space="preserve">  LESS BANK DEBT</t>
  </si>
  <si>
    <t xml:space="preserve">  LESS  LEASE PAYMENTS</t>
  </si>
  <si>
    <t>NET CASH FLOW PER MONTH</t>
  </si>
  <si>
    <t>shadow</t>
  </si>
  <si>
    <t>Page 2</t>
  </si>
  <si>
    <t>PREPARED FOR</t>
  </si>
  <si>
    <t>LEASED ITEMS</t>
  </si>
  <si>
    <t>Page 1</t>
  </si>
  <si>
    <t>EXTERIOR EXPRESS Car Wash Pro Forma</t>
  </si>
  <si>
    <t>NUMBER OF FREE</t>
  </si>
  <si>
    <t>EXTERIOR CAR WASH</t>
  </si>
  <si>
    <t xml:space="preserve">  NET ON-LINE REVENUE</t>
  </si>
  <si>
    <t xml:space="preserve">  NET ON-LINE REVENUE PER CAR</t>
  </si>
  <si>
    <t>ENTRANCE</t>
  </si>
  <si>
    <t xml:space="preserve">  BANK &amp; CREDIT CARD FEES</t>
  </si>
  <si>
    <t>3 OR MORE</t>
  </si>
  <si>
    <t>AVERAGE HOUSEHOLD SIZE ( TARGET SIZE:  2.1)</t>
  </si>
  <si>
    <t>% OF HOUSEHOLDS WITH INCOMES &gt; $35,000 (TARGET: 50%)</t>
  </si>
  <si>
    <t>.</t>
  </si>
  <si>
    <t>NORTHERN CLIMATE OVERHEAD</t>
  </si>
  <si>
    <t>% OF POPULATION 25 TO 65 ( TARGET: 55%)</t>
  </si>
  <si>
    <t>BASE PRICE OF CAR WASH</t>
  </si>
  <si>
    <t>MONDAY THRU</t>
  </si>
  <si>
    <t>FRIDAY</t>
  </si>
  <si>
    <t>THURSDAY</t>
  </si>
  <si>
    <t>SATURDAY</t>
  </si>
  <si>
    <t>SUNDAY</t>
  </si>
  <si>
    <t>TOTAL HOURS</t>
  </si>
  <si>
    <t>OPEN WEEKLY</t>
  </si>
  <si>
    <t>TOTAL MAN-</t>
  </si>
  <si>
    <t>HRS. / WEEK</t>
  </si>
  <si>
    <t>MANAGER</t>
  </si>
  <si>
    <t xml:space="preserve">MANAGER'S </t>
  </si>
  <si>
    <t xml:space="preserve">HOURS ON </t>
  </si>
  <si>
    <t>DUTY</t>
  </si>
  <si>
    <t>ASST.MGR'S</t>
  </si>
  <si>
    <t>SHIFT HOURLY ASSISTANT(S)</t>
  </si>
  <si>
    <t xml:space="preserve">RATE OF </t>
  </si>
  <si>
    <t>HOURLY</t>
  </si>
  <si>
    <t>COMPENSATION</t>
  </si>
  <si>
    <t>RATE ($)</t>
  </si>
  <si>
    <t>BURDEN (%)</t>
  </si>
  <si>
    <t>HRLY TOTAL</t>
  </si>
  <si>
    <t xml:space="preserve">To determine an hourly rate for managers or assistant managers who are paid on a weekly rate, </t>
  </si>
  <si>
    <t>the rates of social security, workman's compensation and other payroll taxes and overhead.</t>
  </si>
  <si>
    <t>divide their weekly rate by the number of hours expected on the job.  To determine burden, total</t>
  </si>
  <si>
    <t>Data Input Page 1</t>
  </si>
  <si>
    <t>To determine the hours of operation:  Decide the opening and closing times each day; example:</t>
  </si>
  <si>
    <t>YEAR</t>
  </si>
  <si>
    <t>TWO</t>
  </si>
  <si>
    <t>THREE</t>
  </si>
  <si>
    <t>FOUR</t>
  </si>
  <si>
    <t>FIVE</t>
  </si>
  <si>
    <t>MENU PKG #1</t>
  </si>
  <si>
    <t>MENU PKG #2</t>
  </si>
  <si>
    <t>MENU PKG #3</t>
  </si>
  <si>
    <t>EXT. CAR WASH</t>
  </si>
  <si>
    <t>UNIT CHANGES</t>
  </si>
  <si>
    <t xml:space="preserve">FOR YEARS </t>
  </si>
  <si>
    <t>TWO THROUGH</t>
  </si>
  <si>
    <t>Depending on the economic conditions present which may be stable, declining or improving, the</t>
  </si>
  <si>
    <t>value of services can be expected to increase after year one as repeat customers understand and</t>
  </si>
  <si>
    <t>validate the value of the services offered against the relative cost for the service.</t>
  </si>
  <si>
    <t>Data Input Page 2</t>
  </si>
  <si>
    <t>Data Input Page 3</t>
  </si>
  <si>
    <t xml:space="preserve">Site traffic counts will generally increase each year reflecting growth in the area.  Please estimate </t>
  </si>
  <si>
    <t>centage of the base year above:  Example:  a 2% growth with be input as 102.00%</t>
  </si>
  <si>
    <t>ESTIMATED TRAFFIC COUNT IN BOTH DIRECTIONS FOR A 24 HOUR PERIOD</t>
  </si>
  <si>
    <t>SECOND YEAR TARGET SCORE:</t>
  </si>
  <si>
    <t>the growth rate for years three through five in the space provided below.  Indicate the rate as a per-</t>
  </si>
  <si>
    <t>ESTIMATE TRAFFIC FLOW INCREASE IN %:</t>
  </si>
  <si>
    <t>YEAR 3</t>
  </si>
  <si>
    <t>YEAR 4</t>
  </si>
  <si>
    <t>YEAR 5</t>
  </si>
  <si>
    <t>INPUT PERCENTAGE:</t>
  </si>
  <si>
    <t>EFFECTIVE TRAFFIC COUNT ESTIMATE:</t>
  </si>
  <si>
    <t>TRAFFIC COUNT INFORMATION AND VOLUME PROJECTIONS</t>
  </si>
  <si>
    <t>YEAR 1</t>
  </si>
  <si>
    <t>YEAR 2</t>
  </si>
  <si>
    <t>VOLUME</t>
  </si>
  <si>
    <t>ESTIMATES</t>
  </si>
  <si>
    <t>YEARLY</t>
  </si>
  <si>
    <t>MAX DAILY</t>
  </si>
  <si>
    <t>MAX HOUR</t>
  </si>
  <si>
    <t xml:space="preserve">WASH AND </t>
  </si>
  <si>
    <t>UPGRADE</t>
  </si>
  <si>
    <t>PRICING</t>
  </si>
  <si>
    <t>BREAK EVEN</t>
  </si>
  <si>
    <t xml:space="preserve">  NET MONTHLY OPERATIONAL CASH FLOW</t>
  </si>
  <si>
    <t>SHIFT PERSONNEL</t>
  </si>
  <si>
    <t>ASSISTANT MANAGER(S)</t>
  </si>
  <si>
    <t>EXPECTED</t>
  </si>
  <si>
    <t>AVERAGE MONTHLY</t>
  </si>
  <si>
    <t>C130</t>
  </si>
  <si>
    <t>MANAGER &amp; ASSISTANT MANAGERS</t>
  </si>
  <si>
    <t>LINE LABOR &amp; ASSISTANTS</t>
  </si>
  <si>
    <t xml:space="preserve">express car wash.  Enter unit price per offering and percentage of customers.  Note-Percentages </t>
  </si>
  <si>
    <t>must total 100%.  Depending on lot size and shape as well as owner's desires, there may be an</t>
  </si>
  <si>
    <t>opportunity to offer vending, detailing or other off-line services.</t>
  </si>
  <si>
    <t>var</t>
  </si>
  <si>
    <t>fixed</t>
  </si>
  <si>
    <t>gm</t>
  </si>
  <si>
    <t>ASSUMED RATE OF ANNUAL INCREASE IN RATE OF COMPENSATION</t>
  </si>
  <si>
    <t>Page 3</t>
  </si>
  <si>
    <t>MONTHLY WASH VOLUME</t>
  </si>
  <si>
    <t>ANNUAL WASH VOLUME</t>
  </si>
  <si>
    <t>PERCENTAGE OF</t>
  </si>
  <si>
    <t xml:space="preserve">  ON-LINE</t>
  </si>
  <si>
    <t xml:space="preserve">  SERVICE DESCRIPTION</t>
  </si>
  <si>
    <t xml:space="preserve">  TOTAL REVENUE</t>
  </si>
  <si>
    <t>FIXED FACILITY EXPENSE</t>
  </si>
  <si>
    <t>TOTAL DEBT PAYMENTS</t>
  </si>
  <si>
    <t xml:space="preserve">  TOTAL FIXED FACILITY EXPENSE</t>
  </si>
  <si>
    <t xml:space="preserve">NET CASH FLOW FOR YEAR </t>
  </si>
  <si>
    <t>Page 4</t>
  </si>
  <si>
    <t>Page 5</t>
  </si>
  <si>
    <t>Page 6</t>
  </si>
  <si>
    <t>Page 7</t>
  </si>
  <si>
    <t>CASH FLOW PROJECTIONS</t>
  </si>
  <si>
    <t xml:space="preserve">  NET OPERATIONAL CASH FLOW</t>
  </si>
  <si>
    <t>Page 8</t>
  </si>
  <si>
    <t>Page 9</t>
  </si>
  <si>
    <t>INITIAL CASH INVESTMENT</t>
  </si>
  <si>
    <t>RETURN FIRST YEAR</t>
  </si>
  <si>
    <t>RETURN THIRD YEAR</t>
  </si>
  <si>
    <t>ANNUAL INTEREST RATE</t>
  </si>
  <si>
    <t>REINVESTMENT INTEREST RATE</t>
  </si>
  <si>
    <t>COMPLETION OF SHIFT CHANGE DUTIES AND MAINTENANCE.</t>
  </si>
  <si>
    <t>CHEMICAL &amp; SUPPLIES</t>
  </si>
  <si>
    <t>CHEMICAL COST</t>
  </si>
  <si>
    <t>PER VEHICLE</t>
  </si>
  <si>
    <t>ONE</t>
  </si>
  <si>
    <t>PRESOAK #1</t>
  </si>
  <si>
    <t>PRESOAK #2</t>
  </si>
  <si>
    <t>SHAMPOO FOAMER #1</t>
  </si>
  <si>
    <t>SHAMPOO FOAMER #2</t>
  </si>
  <si>
    <t xml:space="preserve">WRAP FOAMER </t>
  </si>
  <si>
    <t>CTA ON-LINE</t>
  </si>
  <si>
    <t>MAG WHEEL ON-LINE</t>
  </si>
  <si>
    <t>POLISH</t>
  </si>
  <si>
    <t>TRI COLOR</t>
  </si>
  <si>
    <t>SEALER</t>
  </si>
  <si>
    <t>CLEAR COAT</t>
  </si>
  <si>
    <t>DRYING AGENT</t>
  </si>
  <si>
    <t>Total Chemical Cost Per Wash</t>
  </si>
  <si>
    <t>TIRE SHINE APPLICATION</t>
  </si>
  <si>
    <t>CHEMICAL APPLICATIONS</t>
  </si>
  <si>
    <t>MENU PKG 1</t>
  </si>
  <si>
    <t>QTY</t>
  </si>
  <si>
    <t>COST</t>
  </si>
  <si>
    <t>MENU PKG 2</t>
  </si>
  <si>
    <t>MENU PKG 3</t>
  </si>
  <si>
    <t>MENU PKG 4</t>
  </si>
  <si>
    <t>Typically, the senior manager is always on duty the two busiest days, Friday, Saturday.</t>
  </si>
  <si>
    <t>employees on Friday, Saturday, and Sunday.</t>
  </si>
  <si>
    <t>Generally, a base wash and three up-grade packages are the standard offering at the exterior</t>
  </si>
  <si>
    <t>TOTAL BODY PROTEHTANT</t>
  </si>
  <si>
    <t>Sun.</t>
  </si>
  <si>
    <t>Mon.</t>
  </si>
  <si>
    <t>Tues.</t>
  </si>
  <si>
    <t>Wed.</t>
  </si>
  <si>
    <t>Thurs</t>
  </si>
  <si>
    <t>Fri.</t>
  </si>
  <si>
    <t>Sat.</t>
  </si>
  <si>
    <t>Store Mgr.</t>
  </si>
  <si>
    <t>Off</t>
  </si>
  <si>
    <t>6:30-3:30</t>
  </si>
  <si>
    <t>6:30-5:30</t>
  </si>
  <si>
    <t>Asst. Mgr. 1</t>
  </si>
  <si>
    <t>8:30-7:30</t>
  </si>
  <si>
    <t>1:30-9:30</t>
  </si>
  <si>
    <t>9:30-2:30</t>
  </si>
  <si>
    <t>Asst. Mgr. 2</t>
  </si>
  <si>
    <t>6:30-4:30</t>
  </si>
  <si>
    <t>4:30-9:30</t>
  </si>
  <si>
    <t>6:30-2:30</t>
  </si>
  <si>
    <t>Attend. 1</t>
  </si>
  <si>
    <t>Attend. 2</t>
  </si>
  <si>
    <t>Attend. 3</t>
  </si>
  <si>
    <t>9:30-7:00</t>
  </si>
  <si>
    <t>11:30-9:30</t>
  </si>
  <si>
    <t>2:30-9:30</t>
  </si>
  <si>
    <t>Total Hr.</t>
  </si>
  <si>
    <t>SHOWN TO THE RIGHT IS A 7:00 AM UNTIL 9:00 PM SAMPLE SCHEDULE.  OVERLAPS ARE PROVIDED FOR</t>
  </si>
  <si>
    <t>COST PER CAR</t>
  </si>
  <si>
    <t>chemical applications necessary for that package.  Once you have refined that service offering list,</t>
  </si>
  <si>
    <t xml:space="preserve"> you can obtain chemical cost estimates from suppliers.  Use the calculator to the right.</t>
  </si>
  <si>
    <t>ENTER A 1 IN THE QTY BOX IF CHEMICAL IS USED.</t>
  </si>
  <si>
    <t>PRO FORMA PROCESSING DATA</t>
  </si>
  <si>
    <t>Proper staffing requires at least two employees on site at all times. The Schedule should allow for three</t>
  </si>
  <si>
    <t xml:space="preserve">To determine your chemical you must first determine the services you plan to provide as well as the </t>
  </si>
  <si>
    <t>WATER SOFTENER SUPPLIES</t>
  </si>
  <si>
    <t>UTILITIES = ELECTRIC, WATER, PHONE</t>
  </si>
  <si>
    <t>MATURE TARGET SCORE</t>
  </si>
  <si>
    <t>LIVE PERSON</t>
  </si>
  <si>
    <t xml:space="preserve">  TOTAL REVENUE </t>
  </si>
  <si>
    <t>PAY STATIONS</t>
  </si>
  <si>
    <t>MENU PACKAGE #4</t>
  </si>
  <si>
    <t>CUSTOM WASH EXPERIENCE</t>
  </si>
  <si>
    <t>MENU PKG #4</t>
  </si>
  <si>
    <t xml:space="preserve">                                      BREAK EVEN ANALYSIS</t>
  </si>
  <si>
    <t xml:space="preserve">                                 BREAK EVEN ANALYSIS</t>
  </si>
  <si>
    <t>12 VEHICLES</t>
  </si>
  <si>
    <t>COIN or NONE</t>
  </si>
  <si>
    <t xml:space="preserve"> CASH ON CASH RETURN</t>
  </si>
  <si>
    <t>RETURN FITH YEAR</t>
  </si>
  <si>
    <t>5 YEAR MODIFIED INTERNAL RATE OF RETURN</t>
  </si>
  <si>
    <t>INITIAL CAPITAL INVESTMENT</t>
  </si>
  <si>
    <t>MULTIPLE IN</t>
  </si>
  <si>
    <t>ONE IN</t>
  </si>
  <si>
    <t>MUTIPLE IN</t>
  </si>
  <si>
    <t xml:space="preserve">                                                                                                                            </t>
  </si>
  <si>
    <t xml:space="preserve">                                </t>
  </si>
  <si>
    <t xml:space="preserve">                           </t>
  </si>
  <si>
    <t xml:space="preserve">      </t>
  </si>
  <si>
    <t>Brainard Holdings LLC - Car Wash Café</t>
  </si>
  <si>
    <t>3050 N University Dr., Sunrise, FL 33322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</si>
</sst>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0.0%"/>
  </numFmts>
  <fonts count="4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4"/>
      <color indexed="8"/>
      <name val="Verdana"/>
      <family val="2"/>
    </font>
    <font>
      <sz val="8"/>
      <color indexed="8"/>
      <name val="Verdana"/>
      <family val="2"/>
    </font>
    <font>
      <b/>
      <sz val="10"/>
      <color indexed="8"/>
      <name val="Verdana"/>
      <family val="2"/>
    </font>
    <font>
      <b/>
      <sz val="8"/>
      <color indexed="8"/>
      <name val="Verdana"/>
      <family val="2"/>
    </font>
    <font>
      <sz val="11"/>
      <color indexed="8"/>
      <name val="Arial"/>
      <family val="2"/>
    </font>
    <font>
      <b/>
      <sz val="7"/>
      <color indexed="8"/>
      <name val="Verdana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Verdana"/>
      <family val="2"/>
    </font>
    <font>
      <sz val="7"/>
      <color indexed="8"/>
      <name val="Verdana"/>
      <family val="2"/>
    </font>
    <font>
      <b/>
      <sz val="14"/>
      <color indexed="8"/>
      <name val="Verdana"/>
      <family val="2"/>
    </font>
    <font>
      <sz val="14"/>
      <color indexed="8"/>
      <name val="Verdana"/>
      <family val="2"/>
    </font>
    <font>
      <b/>
      <sz val="14"/>
      <color indexed="8"/>
      <name val="Arial"/>
      <family val="2"/>
    </font>
    <font>
      <b/>
      <sz val="16"/>
      <color indexed="8"/>
      <name val="Verdana"/>
      <family val="2"/>
    </font>
    <font>
      <b/>
      <sz val="15"/>
      <color indexed="8"/>
      <name val="Verdana"/>
      <family val="2"/>
    </font>
    <font>
      <b/>
      <sz val="12"/>
      <color indexed="8"/>
      <name val="Verdana"/>
      <family val="2"/>
    </font>
    <font>
      <sz val="10"/>
      <color indexed="9"/>
      <name val="Arial"/>
      <family val="2"/>
    </font>
    <font>
      <sz val="10"/>
      <color indexed="9"/>
      <name val="Verdana"/>
      <family val="2"/>
    </font>
    <font>
      <sz val="11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i/>
      <sz val="14"/>
      <color theme="1"/>
      <name val="Verdana"/>
      <family val="2"/>
    </font>
    <font>
      <sz val="8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theme="1"/>
      <name val="Arial"/>
      <family val="2"/>
    </font>
    <font>
      <sz val="10"/>
      <color theme="0"/>
      <name val="Verdana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9">
    <xf numFmtId="0" fontId="0" fillId="0" borderId="0" xfId="0"/>
    <xf numFmtId="44" fontId="3" fillId="2" borderId="1" xfId="1" applyFont="1" applyFill="1" applyBorder="1" applyProtection="1"/>
    <xf numFmtId="44" fontId="4" fillId="2" borderId="1" xfId="1" applyFont="1" applyFill="1" applyBorder="1" applyProtection="1"/>
    <xf numFmtId="0" fontId="4" fillId="2" borderId="0" xfId="0" applyFont="1" applyFill="1"/>
    <xf numFmtId="44" fontId="4" fillId="2" borderId="0" xfId="1" applyFont="1" applyFill="1"/>
    <xf numFmtId="0" fontId="4" fillId="2" borderId="0" xfId="0" applyFont="1" applyFill="1" applyProtection="1"/>
    <xf numFmtId="0" fontId="4" fillId="0" borderId="0" xfId="0" applyFont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2" xfId="0" applyFont="1" applyFill="1" applyBorder="1" applyAlignment="1" applyProtection="1">
      <alignment horizontal="left"/>
    </xf>
    <xf numFmtId="0" fontId="3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0" borderId="4" xfId="0" applyFont="1" applyBorder="1" applyAlignment="1">
      <alignment vertical="top" wrapText="1"/>
    </xf>
    <xf numFmtId="0" fontId="8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9" fillId="0" borderId="7" xfId="0" applyFont="1" applyBorder="1" applyAlignment="1" applyProtection="1">
      <alignment vertical="top" wrapText="1"/>
      <protection locked="0"/>
    </xf>
    <xf numFmtId="0" fontId="8" fillId="2" borderId="6" xfId="0" applyFont="1" applyFill="1" applyBorder="1"/>
    <xf numFmtId="164" fontId="3" fillId="3" borderId="1" xfId="2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" fontId="3" fillId="0" borderId="12" xfId="2" applyNumberFormat="1" applyFont="1" applyFill="1" applyBorder="1" applyAlignment="1" applyProtection="1">
      <alignment horizontal="center"/>
      <protection locked="0"/>
    </xf>
    <xf numFmtId="1" fontId="3" fillId="0" borderId="0" xfId="2" applyNumberFormat="1" applyFont="1" applyFill="1" applyBorder="1" applyAlignment="1" applyProtection="1">
      <alignment horizontal="center"/>
      <protection locked="0"/>
    </xf>
    <xf numFmtId="1" fontId="3" fillId="0" borderId="8" xfId="2" applyNumberFormat="1" applyFont="1" applyFill="1" applyBorder="1" applyAlignment="1" applyProtection="1">
      <alignment horizontal="center"/>
      <protection locked="0"/>
    </xf>
    <xf numFmtId="1" fontId="3" fillId="2" borderId="4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" fontId="3" fillId="0" borderId="2" xfId="2" applyNumberFormat="1" applyFont="1" applyFill="1" applyBorder="1" applyAlignment="1" applyProtection="1">
      <alignment horizontal="center"/>
      <protection locked="0"/>
    </xf>
    <xf numFmtId="1" fontId="3" fillId="0" borderId="13" xfId="2" applyNumberFormat="1" applyFont="1" applyFill="1" applyBorder="1" applyAlignment="1" applyProtection="1">
      <alignment horizontal="center"/>
      <protection locked="0"/>
    </xf>
    <xf numFmtId="1" fontId="3" fillId="0" borderId="7" xfId="2" applyNumberFormat="1" applyFont="1" applyFill="1" applyBorder="1" applyAlignment="1" applyProtection="1">
      <alignment horizontal="center"/>
      <protection locked="0"/>
    </xf>
    <xf numFmtId="0" fontId="4" fillId="0" borderId="3" xfId="0" applyFont="1" applyBorder="1"/>
    <xf numFmtId="0" fontId="4" fillId="0" borderId="14" xfId="0" applyFont="1" applyBorder="1"/>
    <xf numFmtId="0" fontId="4" fillId="0" borderId="4" xfId="0" applyFont="1" applyBorder="1"/>
    <xf numFmtId="0" fontId="1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44" fontId="4" fillId="3" borderId="1" xfId="1" applyFont="1" applyFill="1" applyBorder="1" applyProtection="1">
      <protection locked="0"/>
    </xf>
    <xf numFmtId="10" fontId="4" fillId="3" borderId="1" xfId="0" applyNumberFormat="1" applyFont="1" applyFill="1" applyBorder="1" applyProtection="1">
      <protection locked="0"/>
    </xf>
    <xf numFmtId="44" fontId="4" fillId="0" borderId="1" xfId="1" applyFont="1" applyBorder="1"/>
    <xf numFmtId="0" fontId="8" fillId="2" borderId="2" xfId="0" applyFont="1" applyFill="1" applyBorder="1" applyAlignment="1">
      <alignment horizontal="center"/>
    </xf>
    <xf numFmtId="0" fontId="12" fillId="0" borderId="14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44" fontId="12" fillId="2" borderId="15" xfId="1" applyFont="1" applyFill="1" applyBorder="1" applyProtection="1">
      <protection locked="0"/>
    </xf>
    <xf numFmtId="10" fontId="12" fillId="2" borderId="4" xfId="0" applyNumberFormat="1" applyFont="1" applyFill="1" applyBorder="1" applyProtection="1">
      <protection locked="0"/>
    </xf>
    <xf numFmtId="0" fontId="4" fillId="2" borderId="3" xfId="0" applyFont="1" applyFill="1" applyBorder="1"/>
    <xf numFmtId="0" fontId="4" fillId="2" borderId="11" xfId="0" applyFont="1" applyFill="1" applyBorder="1"/>
    <xf numFmtId="0" fontId="4" fillId="2" borderId="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2" borderId="8" xfId="0" applyFont="1" applyFill="1" applyBorder="1"/>
    <xf numFmtId="0" fontId="11" fillId="2" borderId="5" xfId="0" applyFont="1" applyFill="1" applyBorder="1" applyAlignment="1">
      <alignment horizontal="center"/>
    </xf>
    <xf numFmtId="0" fontId="3" fillId="2" borderId="14" xfId="0" applyFont="1" applyFill="1" applyBorder="1"/>
    <xf numFmtId="0" fontId="3" fillId="2" borderId="15" xfId="0" applyFont="1" applyFill="1" applyBorder="1"/>
    <xf numFmtId="0" fontId="4" fillId="2" borderId="4" xfId="0" applyFont="1" applyFill="1" applyBorder="1"/>
    <xf numFmtId="44" fontId="3" fillId="3" borderId="1" xfId="1" applyFont="1" applyFill="1" applyBorder="1" applyProtection="1">
      <protection locked="0"/>
    </xf>
    <xf numFmtId="9" fontId="3" fillId="3" borderId="1" xfId="2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>
      <alignment horizontal="left"/>
    </xf>
    <xf numFmtId="0" fontId="3" fillId="2" borderId="0" xfId="0" applyFont="1" applyFill="1" applyBorder="1"/>
    <xf numFmtId="10" fontId="3" fillId="2" borderId="0" xfId="1" applyNumberFormat="1" applyFont="1" applyFill="1" applyBorder="1" applyProtection="1">
      <protection locked="0"/>
    </xf>
    <xf numFmtId="9" fontId="3" fillId="2" borderId="0" xfId="2" applyFont="1" applyFill="1" applyBorder="1" applyAlignment="1" applyProtection="1">
      <alignment horizontal="center"/>
      <protection locked="0"/>
    </xf>
    <xf numFmtId="0" fontId="3" fillId="2" borderId="1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14" xfId="0" applyFont="1" applyFill="1" applyBorder="1"/>
    <xf numFmtId="0" fontId="4" fillId="2" borderId="5" xfId="0" applyFont="1" applyFill="1" applyBorder="1" applyAlignment="1">
      <alignment horizontal="center"/>
    </xf>
    <xf numFmtId="44" fontId="13" fillId="4" borderId="2" xfId="1" applyFont="1" applyFill="1" applyBorder="1" applyAlignment="1">
      <alignment horizontal="center"/>
    </xf>
    <xf numFmtId="44" fontId="13" fillId="4" borderId="1" xfId="1" applyFont="1" applyFill="1" applyBorder="1" applyAlignment="1">
      <alignment horizontal="center"/>
    </xf>
    <xf numFmtId="0" fontId="4" fillId="0" borderId="1" xfId="0" applyFont="1" applyBorder="1" applyAlignment="1"/>
    <xf numFmtId="0" fontId="4" fillId="2" borderId="1" xfId="0" applyFont="1" applyFill="1" applyBorder="1"/>
    <xf numFmtId="44" fontId="13" fillId="3" borderId="16" xfId="1" applyFont="1" applyFill="1" applyBorder="1" applyAlignment="1" applyProtection="1">
      <protection locked="0"/>
    </xf>
    <xf numFmtId="37" fontId="13" fillId="3" borderId="1" xfId="1" applyNumberFormat="1" applyFont="1" applyFill="1" applyBorder="1" applyAlignment="1" applyProtection="1">
      <protection locked="0"/>
    </xf>
    <xf numFmtId="44" fontId="4" fillId="0" borderId="1" xfId="0" applyNumberFormat="1" applyFont="1" applyBorder="1" applyAlignment="1">
      <alignment horizontal="centerContinuous"/>
    </xf>
    <xf numFmtId="0" fontId="4" fillId="2" borderId="6" xfId="0" applyFont="1" applyFill="1" applyBorder="1"/>
    <xf numFmtId="44" fontId="13" fillId="3" borderId="17" xfId="1" applyFont="1" applyFill="1" applyBorder="1" applyAlignment="1" applyProtection="1">
      <protection locked="0"/>
    </xf>
    <xf numFmtId="44" fontId="13" fillId="3" borderId="2" xfId="1" applyFont="1" applyFill="1" applyBorder="1" applyAlignment="1" applyProtection="1">
      <protection locked="0"/>
    </xf>
    <xf numFmtId="0" fontId="4" fillId="0" borderId="18" xfId="0" applyFont="1" applyBorder="1"/>
    <xf numFmtId="0" fontId="13" fillId="0" borderId="1" xfId="0" applyFont="1" applyBorder="1" applyAlignment="1">
      <alignment horizontal="left"/>
    </xf>
    <xf numFmtId="44" fontId="13" fillId="0" borderId="1" xfId="0" applyNumberFormat="1" applyFont="1" applyBorder="1" applyAlignment="1">
      <alignment horizontal="left"/>
    </xf>
    <xf numFmtId="0" fontId="4" fillId="2" borderId="0" xfId="0" applyFont="1" applyFill="1" applyBorder="1"/>
    <xf numFmtId="44" fontId="4" fillId="2" borderId="0" xfId="1" applyFont="1" applyFill="1" applyBorder="1" applyProtection="1">
      <protection locked="0"/>
    </xf>
    <xf numFmtId="0" fontId="6" fillId="2" borderId="13" xfId="0" applyFont="1" applyFill="1" applyBorder="1" applyAlignment="1">
      <alignment horizontal="center"/>
    </xf>
    <xf numFmtId="0" fontId="8" fillId="2" borderId="5" xfId="0" applyFont="1" applyFill="1" applyBorder="1"/>
    <xf numFmtId="0" fontId="3" fillId="0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0" borderId="5" xfId="0" applyFont="1" applyFill="1" applyBorder="1" applyAlignment="1">
      <alignment horizontal="center"/>
    </xf>
    <xf numFmtId="1" fontId="3" fillId="3" borderId="1" xfId="2" applyNumberFormat="1" applyFont="1" applyFill="1" applyBorder="1" applyAlignment="1" applyProtection="1">
      <alignment horizontal="center"/>
      <protection locked="0"/>
    </xf>
    <xf numFmtId="0" fontId="3" fillId="0" borderId="6" xfId="0" applyFont="1" applyFill="1" applyBorder="1" applyAlignment="1">
      <alignment horizontal="center"/>
    </xf>
    <xf numFmtId="0" fontId="3" fillId="3" borderId="6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/>
    <xf numFmtId="0" fontId="3" fillId="3" borderId="1" xfId="0" applyFont="1" applyFill="1" applyBorder="1" applyAlignment="1" applyProtection="1">
      <alignment horizontal="center"/>
      <protection locked="0"/>
    </xf>
    <xf numFmtId="0" fontId="14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0" fillId="2" borderId="5" xfId="0" applyFont="1" applyFill="1" applyBorder="1"/>
    <xf numFmtId="0" fontId="3" fillId="2" borderId="10" xfId="0" applyFont="1" applyFill="1" applyBorder="1"/>
    <xf numFmtId="2" fontId="3" fillId="0" borderId="1" xfId="0" applyNumberFormat="1" applyFont="1" applyFill="1" applyBorder="1"/>
    <xf numFmtId="0" fontId="3" fillId="2" borderId="9" xfId="0" applyFont="1" applyFill="1" applyBorder="1"/>
    <xf numFmtId="0" fontId="3" fillId="3" borderId="3" xfId="0" applyFont="1" applyFill="1" applyBorder="1" applyProtection="1">
      <protection locked="0"/>
    </xf>
    <xf numFmtId="2" fontId="3" fillId="2" borderId="1" xfId="0" applyNumberFormat="1" applyFont="1" applyFill="1" applyBorder="1"/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3" borderId="1" xfId="0" applyFont="1" applyFill="1" applyBorder="1" applyProtection="1">
      <protection locked="0"/>
    </xf>
    <xf numFmtId="9" fontId="3" fillId="3" borderId="1" xfId="2" applyFont="1" applyFill="1" applyBorder="1" applyProtection="1">
      <protection locked="0"/>
    </xf>
    <xf numFmtId="0" fontId="3" fillId="2" borderId="4" xfId="0" applyFont="1" applyFill="1" applyBorder="1"/>
    <xf numFmtId="0" fontId="3" fillId="0" borderId="11" xfId="0" applyFont="1" applyFill="1" applyBorder="1" applyProtection="1">
      <protection locked="0"/>
    </xf>
    <xf numFmtId="2" fontId="3" fillId="2" borderId="3" xfId="0" applyNumberFormat="1" applyFont="1" applyFill="1" applyBorder="1"/>
    <xf numFmtId="2" fontId="3" fillId="2" borderId="6" xfId="0" applyNumberFormat="1" applyFont="1" applyFill="1" applyBorder="1"/>
    <xf numFmtId="44" fontId="4" fillId="2" borderId="0" xfId="1" applyFont="1" applyFill="1" applyProtection="1"/>
    <xf numFmtId="2" fontId="3" fillId="2" borderId="0" xfId="0" applyNumberFormat="1" applyFont="1" applyFill="1" applyBorder="1"/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2" borderId="9" xfId="0" applyFont="1" applyFill="1" applyBorder="1"/>
    <xf numFmtId="0" fontId="8" fillId="2" borderId="12" xfId="0" applyFont="1" applyFill="1" applyBorder="1"/>
    <xf numFmtId="2" fontId="3" fillId="2" borderId="0" xfId="0" applyNumberFormat="1" applyFont="1" applyFill="1" applyBorder="1" applyAlignment="1">
      <alignment horizontal="center"/>
    </xf>
    <xf numFmtId="0" fontId="8" fillId="2" borderId="2" xfId="0" applyFont="1" applyFill="1" applyBorder="1"/>
    <xf numFmtId="2" fontId="3" fillId="2" borderId="1" xfId="0" applyNumberFormat="1" applyFont="1" applyFill="1" applyBorder="1" applyAlignment="1">
      <alignment horizontal="center"/>
    </xf>
    <xf numFmtId="0" fontId="3" fillId="2" borderId="12" xfId="0" applyFont="1" applyFill="1" applyBorder="1"/>
    <xf numFmtId="10" fontId="3" fillId="3" borderId="1" xfId="0" applyNumberFormat="1" applyFont="1" applyFill="1" applyBorder="1" applyProtection="1">
      <protection locked="0"/>
    </xf>
    <xf numFmtId="10" fontId="3" fillId="3" borderId="1" xfId="0" applyNumberFormat="1" applyFont="1" applyFill="1" applyBorder="1" applyAlignment="1" applyProtection="1">
      <alignment horizontal="center"/>
      <protection locked="0"/>
    </xf>
    <xf numFmtId="10" fontId="3" fillId="3" borderId="8" xfId="0" applyNumberFormat="1" applyFont="1" applyFill="1" applyBorder="1" applyAlignment="1" applyProtection="1">
      <alignment horizontal="center"/>
      <protection locked="0"/>
    </xf>
    <xf numFmtId="1" fontId="3" fillId="2" borderId="1" xfId="0" applyNumberFormat="1" applyFont="1" applyFill="1" applyBorder="1" applyAlignment="1" applyProtection="1">
      <alignment horizontal="right"/>
    </xf>
    <xf numFmtId="1" fontId="3" fillId="2" borderId="1" xfId="0" applyNumberFormat="1" applyFont="1" applyFill="1" applyBorder="1" applyAlignment="1">
      <alignment horizontal="right"/>
    </xf>
    <xf numFmtId="1" fontId="3" fillId="2" borderId="4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Protection="1"/>
    <xf numFmtId="1" fontId="3" fillId="2" borderId="15" xfId="0" applyNumberFormat="1" applyFont="1" applyFill="1" applyBorder="1" applyProtection="1"/>
    <xf numFmtId="1" fontId="3" fillId="2" borderId="4" xfId="0" applyNumberFormat="1" applyFont="1" applyFill="1" applyBorder="1" applyAlignment="1" applyProtection="1">
      <alignment horizontal="right"/>
    </xf>
    <xf numFmtId="0" fontId="3" fillId="2" borderId="1" xfId="0" applyFont="1" applyFill="1" applyBorder="1"/>
    <xf numFmtId="1" fontId="3" fillId="2" borderId="0" xfId="0" applyNumberFormat="1" applyFont="1" applyFill="1" applyBorder="1" applyProtection="1"/>
    <xf numFmtId="1" fontId="3" fillId="2" borderId="11" xfId="0" applyNumberFormat="1" applyFont="1" applyFill="1" applyBorder="1" applyProtection="1"/>
    <xf numFmtId="44" fontId="6" fillId="3" borderId="1" xfId="1" applyFont="1" applyFill="1" applyBorder="1" applyProtection="1">
      <protection locked="0"/>
    </xf>
    <xf numFmtId="10" fontId="3" fillId="3" borderId="1" xfId="2" applyNumberFormat="1" applyFont="1" applyFill="1" applyBorder="1" applyProtection="1">
      <protection locked="0"/>
    </xf>
    <xf numFmtId="10" fontId="3" fillId="2" borderId="1" xfId="2" applyNumberFormat="1" applyFont="1" applyFill="1" applyBorder="1"/>
    <xf numFmtId="44" fontId="6" fillId="2" borderId="1" xfId="1" applyFont="1" applyFill="1" applyBorder="1"/>
    <xf numFmtId="44" fontId="6" fillId="2" borderId="1" xfId="0" applyNumberFormat="1" applyFont="1" applyFill="1" applyBorder="1" applyProtection="1"/>
    <xf numFmtId="10" fontId="3" fillId="2" borderId="1" xfId="2" applyNumberFormat="1" applyFont="1" applyFill="1" applyBorder="1" applyProtection="1"/>
    <xf numFmtId="44" fontId="6" fillId="2" borderId="1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11" xfId="0" applyFont="1" applyFill="1" applyBorder="1"/>
    <xf numFmtId="0" fontId="7" fillId="2" borderId="2" xfId="0" applyFont="1" applyFill="1" applyBorder="1" applyAlignment="1"/>
    <xf numFmtId="0" fontId="7" fillId="2" borderId="13" xfId="0" applyFont="1" applyFill="1" applyBorder="1" applyAlignment="1"/>
    <xf numFmtId="0" fontId="15" fillId="2" borderId="6" xfId="0" applyFont="1" applyFill="1" applyBorder="1" applyAlignment="1">
      <alignment horizontal="center"/>
    </xf>
    <xf numFmtId="1" fontId="3" fillId="3" borderId="1" xfId="2" applyNumberFormat="1" applyFont="1" applyFill="1" applyBorder="1" applyProtection="1">
      <protection locked="0"/>
    </xf>
    <xf numFmtId="44" fontId="3" fillId="2" borderId="1" xfId="1" applyFont="1" applyFill="1" applyBorder="1"/>
    <xf numFmtId="8" fontId="3" fillId="2" borderId="1" xfId="1" applyNumberFormat="1" applyFont="1" applyFill="1" applyBorder="1"/>
    <xf numFmtId="1" fontId="3" fillId="2" borderId="1" xfId="2" applyNumberFormat="1" applyFont="1" applyFill="1" applyBorder="1"/>
    <xf numFmtId="44" fontId="3" fillId="2" borderId="1" xfId="0" applyNumberFormat="1" applyFont="1" applyFill="1" applyBorder="1"/>
    <xf numFmtId="44" fontId="3" fillId="2" borderId="15" xfId="1" applyFont="1" applyFill="1" applyBorder="1"/>
    <xf numFmtId="10" fontId="3" fillId="2" borderId="15" xfId="2" applyNumberFormat="1" applyFont="1" applyFill="1" applyBorder="1"/>
    <xf numFmtId="1" fontId="3" fillId="2" borderId="15" xfId="2" applyNumberFormat="1" applyFont="1" applyFill="1" applyBorder="1"/>
    <xf numFmtId="44" fontId="3" fillId="2" borderId="4" xfId="1" applyFont="1" applyFill="1" applyBorder="1"/>
    <xf numFmtId="8" fontId="3" fillId="3" borderId="1" xfId="1" applyNumberFormat="1" applyFont="1" applyFill="1" applyBorder="1" applyProtection="1">
      <protection locked="0"/>
    </xf>
    <xf numFmtId="44" fontId="3" fillId="2" borderId="15" xfId="0" applyNumberFormat="1" applyFont="1" applyFill="1" applyBorder="1"/>
    <xf numFmtId="44" fontId="3" fillId="2" borderId="4" xfId="0" applyNumberFormat="1" applyFont="1" applyFill="1" applyBorder="1"/>
    <xf numFmtId="0" fontId="5" fillId="2" borderId="0" xfId="0" applyFont="1" applyFill="1" applyAlignment="1"/>
    <xf numFmtId="0" fontId="17" fillId="2" borderId="0" xfId="0" applyFont="1" applyFill="1" applyAlignment="1">
      <alignment horizontal="center"/>
    </xf>
    <xf numFmtId="0" fontId="3" fillId="2" borderId="0" xfId="0" applyFont="1" applyFill="1" applyProtection="1"/>
    <xf numFmtId="0" fontId="5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right"/>
    </xf>
    <xf numFmtId="0" fontId="3" fillId="2" borderId="9" xfId="0" applyFont="1" applyFill="1" applyBorder="1" applyProtection="1"/>
    <xf numFmtId="0" fontId="3" fillId="2" borderId="10" xfId="0" applyFont="1" applyFill="1" applyBorder="1" applyProtection="1"/>
    <xf numFmtId="0" fontId="3" fillId="2" borderId="11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3" xfId="0" applyFont="1" applyFill="1" applyBorder="1" applyProtection="1"/>
    <xf numFmtId="1" fontId="3" fillId="2" borderId="1" xfId="0" applyNumberFormat="1" applyFont="1" applyFill="1" applyBorder="1" applyAlignment="1" applyProtection="1">
      <alignment horizontal="center"/>
    </xf>
    <xf numFmtId="1" fontId="3" fillId="2" borderId="4" xfId="0" applyNumberFormat="1" applyFont="1" applyFill="1" applyBorder="1" applyAlignment="1" applyProtection="1">
      <alignment horizontal="center"/>
    </xf>
    <xf numFmtId="0" fontId="20" fillId="2" borderId="9" xfId="0" applyFont="1" applyFill="1" applyBorder="1" applyAlignment="1" applyProtection="1">
      <alignment horizontal="center"/>
    </xf>
    <xf numFmtId="0" fontId="20" fillId="2" borderId="10" xfId="0" applyFont="1" applyFill="1" applyBorder="1" applyAlignment="1" applyProtection="1">
      <alignment horizontal="center"/>
    </xf>
    <xf numFmtId="0" fontId="20" fillId="2" borderId="11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6" xfId="0" applyFont="1" applyFill="1" applyBorder="1" applyAlignment="1" applyProtection="1">
      <alignment horizontal="center"/>
    </xf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44" fontId="3" fillId="2" borderId="1" xfId="0" applyNumberFormat="1" applyFont="1" applyFill="1" applyBorder="1" applyProtection="1"/>
    <xf numFmtId="10" fontId="3" fillId="3" borderId="1" xfId="1" applyNumberFormat="1" applyFont="1" applyFill="1" applyBorder="1" applyProtection="1">
      <protection locked="0"/>
    </xf>
    <xf numFmtId="9" fontId="3" fillId="2" borderId="1" xfId="2" applyFont="1" applyFill="1" applyBorder="1" applyAlignment="1" applyProtection="1">
      <alignment horizontal="center"/>
    </xf>
    <xf numFmtId="165" fontId="3" fillId="2" borderId="1" xfId="2" applyNumberFormat="1" applyFont="1" applyFill="1" applyBorder="1" applyAlignment="1" applyProtection="1">
      <alignment horizontal="center"/>
    </xf>
    <xf numFmtId="44" fontId="3" fillId="0" borderId="1" xfId="0" applyNumberFormat="1" applyFont="1" applyFill="1" applyBorder="1" applyProtection="1"/>
    <xf numFmtId="165" fontId="3" fillId="3" borderId="1" xfId="2" applyNumberFormat="1" applyFont="1" applyFill="1" applyBorder="1" applyAlignment="1" applyProtection="1">
      <alignment horizontal="center"/>
      <protection locked="0"/>
    </xf>
    <xf numFmtId="44" fontId="4" fillId="2" borderId="0" xfId="0" applyNumberFormat="1" applyFont="1" applyFill="1" applyProtection="1"/>
    <xf numFmtId="44" fontId="3" fillId="0" borderId="1" xfId="1" applyFont="1" applyFill="1" applyBorder="1" applyProtection="1"/>
    <xf numFmtId="9" fontId="3" fillId="2" borderId="15" xfId="2" applyFont="1" applyFill="1" applyBorder="1" applyProtection="1"/>
    <xf numFmtId="0" fontId="3" fillId="2" borderId="3" xfId="0" applyFont="1" applyFill="1" applyBorder="1" applyProtection="1"/>
    <xf numFmtId="44" fontId="3" fillId="2" borderId="6" xfId="0" applyNumberFormat="1" applyFont="1" applyFill="1" applyBorder="1" applyProtection="1"/>
    <xf numFmtId="0" fontId="3" fillId="2" borderId="0" xfId="0" applyFont="1" applyFill="1" applyBorder="1" applyProtection="1"/>
    <xf numFmtId="44" fontId="3" fillId="2" borderId="0" xfId="0" applyNumberFormat="1" applyFont="1" applyFill="1" applyBorder="1" applyProtection="1"/>
    <xf numFmtId="0" fontId="7" fillId="2" borderId="0" xfId="0" applyFont="1" applyFill="1" applyAlignment="1" applyProtection="1">
      <alignment horizontal="center"/>
    </xf>
    <xf numFmtId="0" fontId="3" fillId="2" borderId="1" xfId="0" applyFont="1" applyFill="1" applyBorder="1" applyProtection="1"/>
    <xf numFmtId="44" fontId="6" fillId="2" borderId="1" xfId="1" applyFont="1" applyFill="1" applyBorder="1" applyProtection="1"/>
    <xf numFmtId="0" fontId="7" fillId="2" borderId="9" xfId="0" applyFont="1" applyFill="1" applyBorder="1" applyAlignment="1" applyProtection="1">
      <alignment horizontal="center"/>
    </xf>
    <xf numFmtId="0" fontId="7" fillId="2" borderId="1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/>
    <xf numFmtId="0" fontId="7" fillId="2" borderId="13" xfId="0" applyFont="1" applyFill="1" applyBorder="1" applyAlignment="1" applyProtection="1"/>
    <xf numFmtId="0" fontId="7" fillId="2" borderId="13" xfId="0" applyFont="1" applyFill="1" applyBorder="1" applyAlignment="1" applyProtection="1">
      <alignment horizontal="center"/>
    </xf>
    <xf numFmtId="0" fontId="7" fillId="2" borderId="7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15" fillId="2" borderId="13" xfId="0" applyFont="1" applyFill="1" applyBorder="1" applyAlignment="1" applyProtection="1">
      <alignment horizontal="center"/>
    </xf>
    <xf numFmtId="1" fontId="3" fillId="2" borderId="1" xfId="2" applyNumberFormat="1" applyFont="1" applyFill="1" applyBorder="1" applyProtection="1"/>
    <xf numFmtId="8" fontId="3" fillId="2" borderId="1" xfId="1" applyNumberFormat="1" applyFont="1" applyFill="1" applyBorder="1" applyProtection="1"/>
    <xf numFmtId="0" fontId="7" fillId="2" borderId="13" xfId="0" applyFont="1" applyFill="1" applyBorder="1" applyAlignment="1" applyProtection="1">
      <alignment horizontal="left"/>
    </xf>
    <xf numFmtId="0" fontId="3" fillId="2" borderId="12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>
      <alignment horizontal="center"/>
    </xf>
    <xf numFmtId="0" fontId="3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/>
    </xf>
    <xf numFmtId="44" fontId="3" fillId="2" borderId="15" xfId="1" applyFont="1" applyFill="1" applyBorder="1" applyProtection="1"/>
    <xf numFmtId="10" fontId="3" fillId="2" borderId="15" xfId="2" applyNumberFormat="1" applyFont="1" applyFill="1" applyBorder="1" applyProtection="1"/>
    <xf numFmtId="1" fontId="3" fillId="2" borderId="15" xfId="2" applyNumberFormat="1" applyFont="1" applyFill="1" applyBorder="1" applyProtection="1"/>
    <xf numFmtId="44" fontId="3" fillId="2" borderId="4" xfId="1" applyFont="1" applyFill="1" applyBorder="1" applyProtection="1"/>
    <xf numFmtId="44" fontId="3" fillId="2" borderId="15" xfId="0" applyNumberFormat="1" applyFont="1" applyFill="1" applyBorder="1" applyProtection="1"/>
    <xf numFmtId="44" fontId="3" fillId="2" borderId="4" xfId="0" applyNumberFormat="1" applyFont="1" applyFill="1" applyBorder="1" applyProtection="1"/>
    <xf numFmtId="0" fontId="12" fillId="2" borderId="3" xfId="0" applyFont="1" applyFill="1" applyBorder="1" applyProtection="1"/>
    <xf numFmtId="1" fontId="14" fillId="2" borderId="7" xfId="0" applyNumberFormat="1" applyFont="1" applyFill="1" applyBorder="1" applyAlignment="1" applyProtection="1">
      <alignment horizontal="center"/>
    </xf>
    <xf numFmtId="0" fontId="20" fillId="2" borderId="15" xfId="0" applyFont="1" applyFill="1" applyBorder="1" applyAlignment="1" applyProtection="1">
      <alignment horizontal="center"/>
    </xf>
    <xf numFmtId="0" fontId="20" fillId="2" borderId="4" xfId="0" applyFont="1" applyFill="1" applyBorder="1" applyAlignment="1" applyProtection="1">
      <alignment horizontal="center"/>
    </xf>
    <xf numFmtId="0" fontId="4" fillId="2" borderId="9" xfId="0" applyFont="1" applyFill="1" applyBorder="1" applyProtection="1"/>
    <xf numFmtId="0" fontId="4" fillId="2" borderId="11" xfId="0" applyFont="1" applyFill="1" applyBorder="1" applyProtection="1"/>
    <xf numFmtId="0" fontId="4" fillId="2" borderId="2" xfId="0" applyFont="1" applyFill="1" applyBorder="1" applyProtection="1"/>
    <xf numFmtId="0" fontId="4" fillId="2" borderId="7" xfId="0" applyFont="1" applyFill="1" applyBorder="1" applyProtection="1"/>
    <xf numFmtId="44" fontId="4" fillId="2" borderId="1" xfId="0" applyNumberFormat="1" applyFont="1" applyFill="1" applyBorder="1" applyProtection="1"/>
    <xf numFmtId="10" fontId="4" fillId="2" borderId="1" xfId="2" applyNumberFormat="1" applyFont="1" applyFill="1" applyBorder="1" applyProtection="1"/>
    <xf numFmtId="0" fontId="4" fillId="2" borderId="14" xfId="0" applyFont="1" applyFill="1" applyBorder="1" applyProtection="1"/>
    <xf numFmtId="0" fontId="4" fillId="2" borderId="15" xfId="0" applyFont="1" applyFill="1" applyBorder="1" applyProtection="1"/>
    <xf numFmtId="10" fontId="3" fillId="2" borderId="1" xfId="1" applyNumberFormat="1" applyFont="1" applyFill="1" applyBorder="1" applyProtection="1"/>
    <xf numFmtId="10" fontId="3" fillId="2" borderId="1" xfId="0" applyNumberFormat="1" applyFont="1" applyFill="1" applyBorder="1" applyProtection="1"/>
    <xf numFmtId="0" fontId="4" fillId="2" borderId="4" xfId="0" applyFont="1" applyFill="1" applyBorder="1" applyProtection="1"/>
    <xf numFmtId="10" fontId="4" fillId="2" borderId="1" xfId="0" applyNumberFormat="1" applyFont="1" applyFill="1" applyBorder="1" applyProtection="1"/>
    <xf numFmtId="0" fontId="4" fillId="2" borderId="1" xfId="0" applyFont="1" applyFill="1" applyBorder="1" applyProtection="1"/>
    <xf numFmtId="44" fontId="6" fillId="2" borderId="15" xfId="0" applyNumberFormat="1" applyFont="1" applyFill="1" applyBorder="1" applyProtection="1"/>
    <xf numFmtId="44" fontId="13" fillId="2" borderId="1" xfId="0" applyNumberFormat="1" applyFont="1" applyFill="1" applyBorder="1" applyProtection="1"/>
    <xf numFmtId="10" fontId="3" fillId="2" borderId="6" xfId="0" applyNumberFormat="1" applyFont="1" applyFill="1" applyBorder="1" applyProtection="1"/>
    <xf numFmtId="10" fontId="13" fillId="2" borderId="1" xfId="0" applyNumberFormat="1" applyFont="1" applyFill="1" applyBorder="1" applyProtection="1"/>
    <xf numFmtId="44" fontId="4" fillId="0" borderId="0" xfId="1" applyFont="1"/>
    <xf numFmtId="0" fontId="4" fillId="0" borderId="0" xfId="0" applyFont="1" applyAlignment="1">
      <alignment horizontal="center"/>
    </xf>
    <xf numFmtId="0" fontId="22" fillId="2" borderId="0" xfId="0" applyFont="1" applyFill="1" applyProtection="1"/>
    <xf numFmtId="44" fontId="22" fillId="2" borderId="0" xfId="0" applyNumberFormat="1" applyFont="1" applyFill="1" applyProtection="1"/>
    <xf numFmtId="10" fontId="22" fillId="2" borderId="0" xfId="0" applyNumberFormat="1" applyFont="1" applyFill="1" applyProtection="1"/>
    <xf numFmtId="10" fontId="22" fillId="2" borderId="0" xfId="2" applyNumberFormat="1" applyFont="1" applyFill="1" applyProtection="1"/>
    <xf numFmtId="0" fontId="22" fillId="2" borderId="0" xfId="0" applyFont="1" applyFill="1"/>
    <xf numFmtId="0" fontId="22" fillId="2" borderId="0" xfId="0" applyFont="1" applyFill="1" applyBorder="1"/>
    <xf numFmtId="44" fontId="22" fillId="2" borderId="0" xfId="0" applyNumberFormat="1" applyFont="1" applyFill="1" applyBorder="1"/>
    <xf numFmtId="0" fontId="23" fillId="2" borderId="8" xfId="0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1" fillId="2" borderId="0" xfId="0" applyFont="1" applyFill="1"/>
    <xf numFmtId="0" fontId="24" fillId="0" borderId="1" xfId="0" applyFont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44" fontId="25" fillId="2" borderId="0" xfId="1" applyFont="1" applyFill="1" applyBorder="1"/>
    <xf numFmtId="0" fontId="25" fillId="2" borderId="0" xfId="0" applyFont="1" applyFill="1"/>
    <xf numFmtId="0" fontId="26" fillId="2" borderId="0" xfId="0" applyFont="1" applyFill="1" applyBorder="1"/>
    <xf numFmtId="0" fontId="26" fillId="2" borderId="13" xfId="0" applyFont="1" applyFill="1" applyBorder="1"/>
    <xf numFmtId="0" fontId="26" fillId="2" borderId="7" xfId="0" applyFont="1" applyFill="1" applyBorder="1"/>
    <xf numFmtId="0" fontId="27" fillId="0" borderId="14" xfId="0" applyFont="1" applyBorder="1" applyAlignment="1"/>
    <xf numFmtId="0" fontId="28" fillId="0" borderId="19" xfId="0" applyFont="1" applyBorder="1" applyAlignment="1">
      <alignment horizontal="left"/>
    </xf>
    <xf numFmtId="0" fontId="29" fillId="2" borderId="0" xfId="0" applyFont="1" applyFill="1"/>
    <xf numFmtId="0" fontId="29" fillId="2" borderId="0" xfId="0" applyFont="1" applyFill="1" applyProtection="1"/>
    <xf numFmtId="44" fontId="29" fillId="2" borderId="0" xfId="0" applyNumberFormat="1" applyFont="1" applyFill="1" applyProtection="1"/>
    <xf numFmtId="0" fontId="29" fillId="0" borderId="0" xfId="0" applyFont="1"/>
    <xf numFmtId="44" fontId="3" fillId="3" borderId="1" xfId="0" applyNumberFormat="1" applyFont="1" applyFill="1" applyBorder="1" applyProtection="1">
      <protection locked="0"/>
    </xf>
    <xf numFmtId="165" fontId="3" fillId="0" borderId="1" xfId="2" applyNumberFormat="1" applyFont="1" applyFill="1" applyBorder="1" applyAlignment="1" applyProtection="1">
      <alignment horizontal="center"/>
    </xf>
    <xf numFmtId="2" fontId="4" fillId="2" borderId="0" xfId="0" applyNumberFormat="1" applyFont="1" applyFill="1"/>
    <xf numFmtId="10" fontId="4" fillId="0" borderId="11" xfId="1" applyNumberFormat="1" applyFont="1" applyFill="1" applyBorder="1" applyProtection="1">
      <protection locked="0"/>
    </xf>
    <xf numFmtId="44" fontId="4" fillId="0" borderId="1" xfId="0" applyNumberFormat="1" applyFont="1" applyFill="1" applyBorder="1" applyProtection="1"/>
    <xf numFmtId="10" fontId="3" fillId="2" borderId="1" xfId="0" applyNumberFormat="1" applyFont="1" applyFill="1" applyBorder="1"/>
    <xf numFmtId="0" fontId="19" fillId="2" borderId="0" xfId="0" applyFont="1" applyFill="1" applyAlignment="1" applyProtection="1">
      <alignment horizontal="center"/>
    </xf>
    <xf numFmtId="0" fontId="4" fillId="2" borderId="0" xfId="0" applyFont="1" applyFill="1" applyAlignment="1">
      <alignment horizontal="center"/>
    </xf>
    <xf numFmtId="0" fontId="27" fillId="5" borderId="20" xfId="0" applyFont="1" applyFill="1" applyBorder="1" applyAlignment="1" applyProtection="1">
      <alignment horizontal="left"/>
      <protection locked="0"/>
    </xf>
    <xf numFmtId="0" fontId="27" fillId="5" borderId="16" xfId="0" applyFont="1" applyFill="1" applyBorder="1" applyAlignment="1" applyProtection="1">
      <alignment horizontal="left"/>
      <protection locked="0"/>
    </xf>
    <xf numFmtId="0" fontId="0" fillId="5" borderId="16" xfId="0" applyFont="1" applyFill="1" applyBorder="1" applyAlignment="1" applyProtection="1">
      <alignment horizontal="left"/>
      <protection locked="0"/>
    </xf>
    <xf numFmtId="0" fontId="27" fillId="5" borderId="17" xfId="0" applyFont="1" applyFill="1" applyBorder="1" applyAlignment="1" applyProtection="1">
      <alignment horizontal="left"/>
      <protection locked="0"/>
    </xf>
    <xf numFmtId="0" fontId="27" fillId="5" borderId="2" xfId="0" applyFont="1" applyFill="1" applyBorder="1" applyAlignment="1" applyProtection="1">
      <alignment horizontal="left"/>
      <protection locked="0"/>
    </xf>
    <xf numFmtId="0" fontId="4" fillId="0" borderId="5" xfId="0" applyFont="1" applyBorder="1"/>
    <xf numFmtId="0" fontId="4" fillId="0" borderId="2" xfId="0" applyFont="1" applyBorder="1"/>
    <xf numFmtId="0" fontId="13" fillId="2" borderId="14" xfId="0" applyFont="1" applyFill="1" applyBorder="1"/>
    <xf numFmtId="2" fontId="3" fillId="2" borderId="10" xfId="0" applyNumberFormat="1" applyFont="1" applyFill="1" applyBorder="1"/>
    <xf numFmtId="0" fontId="13" fillId="2" borderId="9" xfId="0" applyFont="1" applyFill="1" applyBorder="1"/>
    <xf numFmtId="0" fontId="5" fillId="2" borderId="0" xfId="0" applyFont="1" applyFill="1" applyAlignment="1" applyProtection="1">
      <alignment horizontal="left"/>
    </xf>
    <xf numFmtId="0" fontId="19" fillId="2" borderId="0" xfId="0" applyFont="1" applyFill="1" applyAlignment="1" applyProtection="1">
      <alignment horizontal="left"/>
    </xf>
    <xf numFmtId="0" fontId="19" fillId="2" borderId="0" xfId="0" applyFont="1" applyFill="1" applyAlignment="1" applyProtection="1">
      <alignment horizontal="left" vertical="center"/>
    </xf>
    <xf numFmtId="0" fontId="3" fillId="2" borderId="9" xfId="0" applyFont="1" applyFill="1" applyBorder="1" applyAlignment="1" applyProtection="1"/>
    <xf numFmtId="0" fontId="3" fillId="2" borderId="10" xfId="0" applyFont="1" applyFill="1" applyBorder="1" applyAlignment="1" applyProtection="1"/>
    <xf numFmtId="0" fontId="3" fillId="2" borderId="11" xfId="0" applyFont="1" applyFill="1" applyBorder="1" applyAlignment="1" applyProtection="1"/>
    <xf numFmtId="0" fontId="32" fillId="2" borderId="0" xfId="0" applyFont="1" applyFill="1" applyProtection="1"/>
    <xf numFmtId="0" fontId="32" fillId="2" borderId="0" xfId="0" applyFont="1" applyFill="1"/>
    <xf numFmtId="0" fontId="33" fillId="2" borderId="0" xfId="0" applyFont="1" applyFill="1" applyAlignment="1">
      <alignment horizontal="right"/>
    </xf>
    <xf numFmtId="0" fontId="33" fillId="2" borderId="0" xfId="0" applyFont="1" applyFill="1" applyProtection="1"/>
    <xf numFmtId="0" fontId="34" fillId="2" borderId="0" xfId="0" applyFont="1" applyFill="1" applyAlignment="1" applyProtection="1">
      <alignment horizontal="center"/>
    </xf>
    <xf numFmtId="44" fontId="32" fillId="2" borderId="0" xfId="0" applyNumberFormat="1" applyFont="1" applyFill="1" applyProtection="1"/>
    <xf numFmtId="0" fontId="35" fillId="2" borderId="0" xfId="0" applyFont="1" applyFill="1" applyAlignment="1" applyProtection="1">
      <alignment horizontal="center"/>
    </xf>
    <xf numFmtId="0" fontId="33" fillId="2" borderId="0" xfId="0" applyFont="1" applyFill="1" applyAlignment="1" applyProtection="1">
      <alignment horizontal="right"/>
    </xf>
    <xf numFmtId="0" fontId="36" fillId="2" borderId="0" xfId="0" applyFont="1" applyFill="1" applyAlignment="1" applyProtection="1">
      <alignment horizontal="left"/>
    </xf>
    <xf numFmtId="9" fontId="37" fillId="2" borderId="0" xfId="0" applyNumberFormat="1" applyFont="1" applyFill="1" applyProtection="1"/>
    <xf numFmtId="10" fontId="32" fillId="2" borderId="0" xfId="0" applyNumberFormat="1" applyFont="1" applyFill="1" applyProtection="1"/>
    <xf numFmtId="0" fontId="36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right" vertical="top"/>
    </xf>
    <xf numFmtId="0" fontId="9" fillId="0" borderId="8" xfId="0" applyFont="1" applyBorder="1" applyAlignment="1" applyProtection="1">
      <alignment vertical="top" wrapText="1"/>
      <protection locked="0"/>
    </xf>
    <xf numFmtId="0" fontId="24" fillId="0" borderId="5" xfId="0" applyFont="1" applyBorder="1" applyAlignment="1">
      <alignment vertical="top" wrapText="1"/>
    </xf>
    <xf numFmtId="44" fontId="25" fillId="2" borderId="10" xfId="1" applyFont="1" applyFill="1" applyBorder="1"/>
    <xf numFmtId="44" fontId="4" fillId="2" borderId="10" xfId="1" applyFont="1" applyFill="1" applyBorder="1"/>
    <xf numFmtId="0" fontId="4" fillId="2" borderId="10" xfId="0" applyFont="1" applyFill="1" applyBorder="1"/>
    <xf numFmtId="0" fontId="4" fillId="2" borderId="12" xfId="0" applyFont="1" applyFill="1" applyBorder="1"/>
    <xf numFmtId="10" fontId="38" fillId="2" borderId="1" xfId="2" applyNumberFormat="1" applyFont="1" applyFill="1" applyBorder="1"/>
    <xf numFmtId="10" fontId="39" fillId="2" borderId="0" xfId="0" applyNumberFormat="1" applyFont="1" applyFill="1" applyAlignment="1" applyProtection="1">
      <alignment horizontal="center"/>
    </xf>
    <xf numFmtId="0" fontId="40" fillId="2" borderId="0" xfId="0" applyFont="1" applyFill="1" applyAlignment="1" applyProtection="1">
      <alignment horizontal="center"/>
    </xf>
    <xf numFmtId="0" fontId="40" fillId="2" borderId="0" xfId="0" applyFont="1" applyFill="1" applyProtection="1"/>
    <xf numFmtId="9" fontId="32" fillId="2" borderId="0" xfId="0" applyNumberFormat="1" applyFont="1" applyFill="1" applyProtection="1"/>
    <xf numFmtId="9" fontId="39" fillId="2" borderId="0" xfId="0" applyNumberFormat="1" applyFont="1" applyFill="1" applyProtection="1"/>
    <xf numFmtId="10" fontId="32" fillId="6" borderId="0" xfId="0" applyNumberFormat="1" applyFont="1" applyFill="1" applyProtection="1">
      <protection locked="0"/>
    </xf>
    <xf numFmtId="0" fontId="38" fillId="2" borderId="0" xfId="0" applyFont="1" applyFill="1" applyBorder="1" applyAlignment="1">
      <alignment horizontal="center"/>
    </xf>
    <xf numFmtId="0" fontId="38" fillId="2" borderId="8" xfId="0" applyFont="1" applyFill="1" applyBorder="1" applyAlignment="1">
      <alignment horizontal="center"/>
    </xf>
    <xf numFmtId="0" fontId="3" fillId="2" borderId="0" xfId="0" applyFont="1" applyFill="1" applyAlignment="1"/>
    <xf numFmtId="0" fontId="41" fillId="2" borderId="0" xfId="0" applyFont="1" applyFill="1" applyProtection="1"/>
    <xf numFmtId="44" fontId="41" fillId="2" borderId="0" xfId="0" applyNumberFormat="1" applyFont="1" applyFill="1" applyProtection="1"/>
    <xf numFmtId="0" fontId="3" fillId="2" borderId="1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9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left"/>
    </xf>
    <xf numFmtId="18" fontId="8" fillId="2" borderId="12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5" fillId="2" borderId="0" xfId="0" applyFont="1" applyFill="1" applyAlignment="1" applyProtection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 applyProtection="1">
      <alignment horizontal="center" vertical="top"/>
    </xf>
    <xf numFmtId="0" fontId="18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3" fillId="3" borderId="9" xfId="0" applyNumberFormat="1" applyFont="1" applyFill="1" applyBorder="1" applyAlignment="1" applyProtection="1">
      <alignment horizontal="left"/>
      <protection locked="0"/>
    </xf>
    <xf numFmtId="0" fontId="3" fillId="3" borderId="10" xfId="0" applyFont="1" applyFill="1" applyBorder="1" applyAlignment="1" applyProtection="1">
      <alignment horizontal="left"/>
      <protection locked="0"/>
    </xf>
    <xf numFmtId="0" fontId="3" fillId="3" borderId="11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</xf>
    <xf numFmtId="0" fontId="3" fillId="2" borderId="10" xfId="0" applyFont="1" applyFill="1" applyBorder="1" applyAlignment="1" applyProtection="1">
      <alignment horizontal="left"/>
    </xf>
    <xf numFmtId="0" fontId="3" fillId="2" borderId="11" xfId="0" applyFont="1" applyFill="1" applyBorder="1" applyAlignment="1" applyProtection="1">
      <alignment horizontal="left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9" xfId="0" applyFont="1" applyFill="1" applyBorder="1" applyAlignment="1" applyProtection="1">
      <alignment horizontal="left"/>
      <protection locked="0"/>
    </xf>
    <xf numFmtId="0" fontId="3" fillId="3" borderId="2" xfId="0" applyFont="1" applyFill="1" applyBorder="1" applyAlignment="1" applyProtection="1">
      <alignment horizontal="left" wrapText="1"/>
      <protection locked="0"/>
    </xf>
    <xf numFmtId="0" fontId="3" fillId="3" borderId="13" xfId="0" applyFont="1" applyFill="1" applyBorder="1" applyAlignment="1" applyProtection="1">
      <alignment horizontal="left"/>
      <protection locked="0"/>
    </xf>
    <xf numFmtId="0" fontId="3" fillId="3" borderId="7" xfId="0" applyFont="1" applyFill="1" applyBorder="1" applyAlignment="1" applyProtection="1">
      <alignment horizontal="left"/>
      <protection locked="0"/>
    </xf>
    <xf numFmtId="0" fontId="7" fillId="2" borderId="2" xfId="0" applyFont="1" applyFill="1" applyBorder="1" applyAlignment="1" applyProtection="1">
      <alignment horizontal="left"/>
    </xf>
    <xf numFmtId="0" fontId="7" fillId="2" borderId="13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3" fillId="2" borderId="13" xfId="0" applyFont="1" applyFill="1" applyBorder="1" applyAlignment="1" applyProtection="1">
      <alignment horizontal="left"/>
    </xf>
    <xf numFmtId="0" fontId="3" fillId="2" borderId="7" xfId="0" applyFont="1" applyFill="1" applyBorder="1" applyAlignment="1" applyProtection="1">
      <alignment horizontal="left"/>
    </xf>
    <xf numFmtId="0" fontId="3" fillId="2" borderId="14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center"/>
    </xf>
    <xf numFmtId="0" fontId="21" fillId="2" borderId="14" xfId="0" applyFont="1" applyFill="1" applyBorder="1" applyAlignment="1" applyProtection="1">
      <alignment horizontal="left"/>
    </xf>
    <xf numFmtId="0" fontId="21" fillId="2" borderId="15" xfId="0" applyFont="1" applyFill="1" applyBorder="1" applyAlignment="1" applyProtection="1">
      <alignment horizontal="left"/>
    </xf>
    <xf numFmtId="0" fontId="21" fillId="2" borderId="4" xfId="0" applyFont="1" applyFill="1" applyBorder="1" applyAlignment="1" applyProtection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3" fillId="3" borderId="2" xfId="0" applyFont="1" applyFill="1" applyBorder="1" applyAlignment="1" applyProtection="1">
      <alignment horizontal="left"/>
      <protection locked="0"/>
    </xf>
    <xf numFmtId="0" fontId="33" fillId="2" borderId="0" xfId="0" applyFont="1" applyFill="1" applyBorder="1" applyAlignment="1" applyProtection="1">
      <alignment horizontal="left"/>
    </xf>
    <xf numFmtId="0" fontId="34" fillId="2" borderId="0" xfId="0" applyFont="1" applyFill="1" applyAlignment="1" applyProtection="1">
      <alignment horizontal="center"/>
    </xf>
    <xf numFmtId="0" fontId="9" fillId="0" borderId="21" xfId="0" applyFont="1" applyBorder="1" applyAlignment="1" applyProtection="1">
      <alignment vertical="top" wrapText="1"/>
      <protection locked="0"/>
    </xf>
    <xf numFmtId="0" fontId="9" fillId="0" borderId="22" xfId="0" applyFont="1" applyBorder="1" applyAlignment="1" applyProtection="1">
      <alignment vertical="top" wrapText="1"/>
      <protection locked="0"/>
    </xf>
    <xf numFmtId="0" fontId="24" fillId="0" borderId="20" xfId="0" applyFont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0" fontId="9" fillId="0" borderId="17" xfId="0" applyFont="1" applyBorder="1" applyAlignment="1" applyProtection="1">
      <alignment vertical="top" wrapText="1"/>
      <protection locked="0"/>
    </xf>
    <xf numFmtId="0" fontId="9" fillId="0" borderId="23" xfId="0" applyFont="1" applyBorder="1" applyAlignment="1" applyProtection="1">
      <alignment vertical="top"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cid:image007.jpg@01CD0E86.3E6ED5B0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213</xdr:row>
          <xdr:rowOff>137160</xdr:rowOff>
        </xdr:from>
        <xdr:to>
          <xdr:col>6</xdr:col>
          <xdr:colOff>670560</xdr:colOff>
          <xdr:row>220</xdr:row>
          <xdr:rowOff>60960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95250</xdr:rowOff>
    </xdr:from>
    <xdr:to>
      <xdr:col>2</xdr:col>
      <xdr:colOff>19050</xdr:colOff>
      <xdr:row>2</xdr:row>
      <xdr:rowOff>200025</xdr:rowOff>
    </xdr:to>
    <xdr:pic>
      <xdr:nvPicPr>
        <xdr:cNvPr id="1758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0"/>
          <a:ext cx="1895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68</xdr:row>
      <xdr:rowOff>38100</xdr:rowOff>
    </xdr:from>
    <xdr:to>
      <xdr:col>2</xdr:col>
      <xdr:colOff>57150</xdr:colOff>
      <xdr:row>71</xdr:row>
      <xdr:rowOff>57150</xdr:rowOff>
    </xdr:to>
    <xdr:pic>
      <xdr:nvPicPr>
        <xdr:cNvPr id="1759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2777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122</xdr:row>
      <xdr:rowOff>47625</xdr:rowOff>
    </xdr:from>
    <xdr:to>
      <xdr:col>2</xdr:col>
      <xdr:colOff>19050</xdr:colOff>
      <xdr:row>124</xdr:row>
      <xdr:rowOff>161925</xdr:rowOff>
    </xdr:to>
    <xdr:pic>
      <xdr:nvPicPr>
        <xdr:cNvPr id="1760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14788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230</xdr:row>
      <xdr:rowOff>28575</xdr:rowOff>
    </xdr:from>
    <xdr:to>
      <xdr:col>2</xdr:col>
      <xdr:colOff>38100</xdr:colOff>
      <xdr:row>232</xdr:row>
      <xdr:rowOff>142875</xdr:rowOff>
    </xdr:to>
    <xdr:pic>
      <xdr:nvPicPr>
        <xdr:cNvPr id="1761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06241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274</xdr:row>
      <xdr:rowOff>38100</xdr:rowOff>
    </xdr:from>
    <xdr:to>
      <xdr:col>2</xdr:col>
      <xdr:colOff>38100</xdr:colOff>
      <xdr:row>276</xdr:row>
      <xdr:rowOff>152400</xdr:rowOff>
    </xdr:to>
    <xdr:pic>
      <xdr:nvPicPr>
        <xdr:cNvPr id="1762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83584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320</xdr:row>
      <xdr:rowOff>47625</xdr:rowOff>
    </xdr:from>
    <xdr:to>
      <xdr:col>2</xdr:col>
      <xdr:colOff>9525</xdr:colOff>
      <xdr:row>322</xdr:row>
      <xdr:rowOff>161925</xdr:rowOff>
    </xdr:to>
    <xdr:pic>
      <xdr:nvPicPr>
        <xdr:cNvPr id="1763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68737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367</xdr:row>
      <xdr:rowOff>9525</xdr:rowOff>
    </xdr:from>
    <xdr:to>
      <xdr:col>2</xdr:col>
      <xdr:colOff>9525</xdr:colOff>
      <xdr:row>369</xdr:row>
      <xdr:rowOff>123825</xdr:rowOff>
    </xdr:to>
    <xdr:pic>
      <xdr:nvPicPr>
        <xdr:cNvPr id="1764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5093850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414</xdr:row>
      <xdr:rowOff>28575</xdr:rowOff>
    </xdr:from>
    <xdr:to>
      <xdr:col>2</xdr:col>
      <xdr:colOff>19050</xdr:colOff>
      <xdr:row>416</xdr:row>
      <xdr:rowOff>142875</xdr:rowOff>
    </xdr:to>
    <xdr:pic>
      <xdr:nvPicPr>
        <xdr:cNvPr id="1765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33710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461</xdr:row>
      <xdr:rowOff>38100</xdr:rowOff>
    </xdr:from>
    <xdr:to>
      <xdr:col>1</xdr:col>
      <xdr:colOff>1038225</xdr:colOff>
      <xdr:row>463</xdr:row>
      <xdr:rowOff>152400</xdr:rowOff>
    </xdr:to>
    <xdr:pic>
      <xdr:nvPicPr>
        <xdr:cNvPr id="1766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4352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508</xdr:row>
      <xdr:rowOff>28575</xdr:rowOff>
    </xdr:from>
    <xdr:to>
      <xdr:col>2</xdr:col>
      <xdr:colOff>9525</xdr:colOff>
      <xdr:row>510</xdr:row>
      <xdr:rowOff>142875</xdr:rowOff>
    </xdr:to>
    <xdr:pic>
      <xdr:nvPicPr>
        <xdr:cNvPr id="1767" name="Picture 2" descr="cid:image007.jpg@01CD0E86.3E6ED5B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9792175"/>
          <a:ext cx="1895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205740</xdr:colOff>
      <xdr:row>182</xdr:row>
      <xdr:rowOff>22860</xdr:rowOff>
    </xdr:from>
    <xdr:to>
      <xdr:col>6</xdr:col>
      <xdr:colOff>662940</xdr:colOff>
      <xdr:row>188</xdr:row>
      <xdr:rowOff>24943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2316420"/>
          <a:ext cx="6004560" cy="1030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571"/>
  <sheetViews>
    <sheetView tabSelected="1" topLeftCell="A220" zoomScaleNormal="100" zoomScaleSheetLayoutView="100" workbookViewId="0">
      <selection activeCell="D250" sqref="D250"/>
    </sheetView>
  </sheetViews>
  <sheetFormatPr defaultColWidth="9.21875" defaultRowHeight="13.2" x14ac:dyDescent="0.25"/>
  <cols>
    <col min="1" max="1" width="12.77734375" style="6" bestFit="1" customWidth="1"/>
    <col min="2" max="5" width="15.77734375" style="6" customWidth="1"/>
    <col min="6" max="6" width="17.77734375" style="6" customWidth="1"/>
    <col min="7" max="7" width="15.77734375" style="6" customWidth="1"/>
    <col min="8" max="8" width="9.21875" style="6" bestFit="1" customWidth="1"/>
    <col min="9" max="9" width="12.21875" style="6" bestFit="1" customWidth="1"/>
    <col min="10" max="10" width="15.5546875" style="6" customWidth="1"/>
    <col min="11" max="11" width="30.77734375" style="274" customWidth="1"/>
    <col min="12" max="45" width="9.21875" style="6"/>
    <col min="46" max="47" width="12.77734375" style="250" customWidth="1"/>
    <col min="48" max="16384" width="9.21875" style="6"/>
  </cols>
  <sheetData>
    <row r="1" spans="1:256" x14ac:dyDescent="0.25">
      <c r="A1" s="3"/>
      <c r="B1" s="3"/>
      <c r="C1" s="3"/>
      <c r="D1" s="3"/>
      <c r="E1" s="3"/>
      <c r="F1" s="3"/>
      <c r="G1" s="256" t="s">
        <v>116</v>
      </c>
      <c r="H1" s="3"/>
      <c r="I1" s="3"/>
      <c r="J1" s="3"/>
      <c r="K1" s="26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4"/>
      <c r="AV1" s="3"/>
      <c r="AW1" s="3"/>
      <c r="AX1" s="3"/>
      <c r="AY1" s="3"/>
      <c r="AZ1" s="3"/>
      <c r="BA1" s="3"/>
      <c r="BB1" s="3"/>
      <c r="BC1" s="3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26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4"/>
      <c r="AV2" s="3"/>
      <c r="AW2" s="3"/>
      <c r="AX2" s="3"/>
      <c r="AY2" s="3"/>
      <c r="AZ2" s="3"/>
      <c r="BA2" s="3"/>
      <c r="BB2" s="3"/>
      <c r="BC2" s="3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ht="17.399999999999999" x14ac:dyDescent="0.3">
      <c r="A3" s="7"/>
      <c r="B3" s="338" t="s">
        <v>121</v>
      </c>
      <c r="C3" s="378"/>
      <c r="D3" s="378"/>
      <c r="E3" s="378"/>
      <c r="F3" s="378"/>
      <c r="G3" s="378"/>
      <c r="H3" s="3"/>
      <c r="I3" s="3"/>
      <c r="J3" s="3"/>
      <c r="K3" s="26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4"/>
      <c r="AU3" s="4"/>
      <c r="AV3" s="3"/>
      <c r="AW3" s="3"/>
      <c r="AX3" s="3"/>
      <c r="AY3" s="3"/>
      <c r="AZ3" s="3"/>
      <c r="BA3" s="3"/>
      <c r="BB3" s="3"/>
      <c r="BC3" s="3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ht="18" thickBot="1" x14ac:dyDescent="0.35">
      <c r="A4" s="7"/>
      <c r="B4" s="8"/>
      <c r="C4" s="9"/>
      <c r="D4" s="9"/>
      <c r="E4" s="9"/>
      <c r="F4" s="9"/>
      <c r="G4" s="30"/>
      <c r="H4" s="89"/>
      <c r="I4" s="3"/>
      <c r="J4" s="3"/>
      <c r="K4" s="26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  <c r="AU4" s="4"/>
      <c r="AV4" s="3"/>
      <c r="AW4" s="3"/>
      <c r="AX4" s="3"/>
      <c r="AY4" s="3"/>
      <c r="AZ4" s="3"/>
      <c r="BA4" s="3"/>
      <c r="BB4" s="3"/>
      <c r="BC4" s="3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1:256" x14ac:dyDescent="0.25">
      <c r="A5" s="7"/>
      <c r="B5" s="10" t="s">
        <v>0</v>
      </c>
      <c r="C5" s="379" t="s">
        <v>328</v>
      </c>
      <c r="D5" s="356"/>
      <c r="E5" s="357"/>
      <c r="F5" s="7"/>
      <c r="G5" s="7"/>
      <c r="H5" s="3"/>
      <c r="I5" s="3"/>
      <c r="J5" s="3"/>
      <c r="K5" s="26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3"/>
      <c r="AW5" s="3"/>
      <c r="AX5" s="3"/>
      <c r="AY5" s="3"/>
      <c r="AZ5" s="3"/>
      <c r="BA5" s="3"/>
      <c r="BB5" s="3"/>
      <c r="BC5" s="3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1:256" ht="13.8" thickBot="1" x14ac:dyDescent="0.3">
      <c r="A6" s="7"/>
      <c r="B6" s="10" t="s">
        <v>1</v>
      </c>
      <c r="C6" s="380" t="s">
        <v>329</v>
      </c>
      <c r="D6" s="381"/>
      <c r="E6" s="382"/>
      <c r="F6" s="7"/>
      <c r="G6" s="7"/>
      <c r="H6" s="3"/>
      <c r="I6" s="3"/>
      <c r="J6" s="3"/>
      <c r="K6" s="26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/>
      <c r="AU6" s="4"/>
      <c r="AV6" s="3"/>
      <c r="AW6" s="3"/>
      <c r="AX6" s="3"/>
      <c r="AY6" s="3"/>
      <c r="AZ6" s="3"/>
      <c r="BA6" s="3"/>
      <c r="BB6" s="3"/>
      <c r="BC6" s="3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x14ac:dyDescent="0.25">
      <c r="A7" s="7"/>
      <c r="B7" s="7"/>
      <c r="C7" s="7"/>
      <c r="D7" s="7"/>
      <c r="E7" s="7"/>
      <c r="F7" s="7"/>
      <c r="G7" s="12" t="s">
        <v>159</v>
      </c>
      <c r="H7" s="3"/>
      <c r="I7" s="3"/>
      <c r="J7" s="3"/>
      <c r="K7" s="26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/>
      <c r="AU7" s="4"/>
      <c r="AV7" s="3"/>
      <c r="AW7" s="3"/>
      <c r="AX7" s="3"/>
      <c r="AY7" s="3"/>
      <c r="AZ7" s="3"/>
      <c r="BA7" s="3"/>
      <c r="BB7" s="3"/>
      <c r="BC7" s="3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x14ac:dyDescent="0.25">
      <c r="A8" s="7"/>
      <c r="B8" s="377" t="s">
        <v>301</v>
      </c>
      <c r="C8" s="377"/>
      <c r="D8" s="377"/>
      <c r="E8" s="377"/>
      <c r="F8" s="377"/>
      <c r="G8" s="7"/>
      <c r="H8" s="3"/>
      <c r="I8" s="3"/>
      <c r="J8" s="3"/>
      <c r="K8" s="26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4"/>
      <c r="AV8" s="3"/>
      <c r="AW8" s="3"/>
      <c r="AX8" s="3"/>
      <c r="AY8" s="3"/>
      <c r="AZ8" s="3"/>
      <c r="BA8" s="3"/>
      <c r="BB8" s="3"/>
      <c r="BC8" s="3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s="3" customFormat="1" ht="13.8" thickBot="1" x14ac:dyDescent="0.3">
      <c r="K9" s="261"/>
      <c r="AT9" s="4"/>
      <c r="AU9" s="4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ht="14.4" thickBot="1" x14ac:dyDescent="0.3">
      <c r="A10" s="3"/>
      <c r="B10" s="14" t="s">
        <v>17</v>
      </c>
      <c r="C10" s="15" t="s">
        <v>135</v>
      </c>
      <c r="D10" s="15"/>
      <c r="E10" s="15"/>
      <c r="F10" s="15"/>
      <c r="G10" s="15" t="s">
        <v>140</v>
      </c>
      <c r="H10" s="3"/>
      <c r="I10" s="3"/>
      <c r="J10" s="3"/>
      <c r="K10" s="262"/>
      <c r="L10" s="16" t="s">
        <v>270</v>
      </c>
      <c r="M10" s="16" t="s">
        <v>271</v>
      </c>
      <c r="N10" s="16" t="s">
        <v>272</v>
      </c>
      <c r="O10" s="16" t="s">
        <v>273</v>
      </c>
      <c r="P10" s="16" t="s">
        <v>274</v>
      </c>
      <c r="Q10" s="16" t="s">
        <v>275</v>
      </c>
      <c r="R10" s="16" t="s">
        <v>276</v>
      </c>
      <c r="S10" s="16" t="s">
        <v>295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/>
      <c r="AU10" s="4"/>
      <c r="AV10" s="3"/>
      <c r="AW10" s="3"/>
      <c r="AX10" s="3"/>
      <c r="AY10" s="3"/>
      <c r="AZ10" s="3"/>
      <c r="BA10" s="3"/>
      <c r="BB10" s="3"/>
      <c r="BC10" s="3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1:256" ht="28.2" thickBot="1" x14ac:dyDescent="0.3">
      <c r="A11" s="3"/>
      <c r="B11" s="17" t="s">
        <v>18</v>
      </c>
      <c r="C11" s="9" t="s">
        <v>137</v>
      </c>
      <c r="D11" s="18" t="s">
        <v>136</v>
      </c>
      <c r="E11" s="9" t="s">
        <v>138</v>
      </c>
      <c r="F11" s="19" t="s">
        <v>139</v>
      </c>
      <c r="G11" s="19" t="s">
        <v>141</v>
      </c>
      <c r="H11" s="3"/>
      <c r="I11" s="3"/>
      <c r="J11" s="3"/>
      <c r="K11" s="263" t="s">
        <v>277</v>
      </c>
      <c r="L11" s="20" t="s">
        <v>278</v>
      </c>
      <c r="M11" s="20" t="s">
        <v>278</v>
      </c>
      <c r="N11" s="20" t="s">
        <v>279</v>
      </c>
      <c r="O11" s="20" t="s">
        <v>279</v>
      </c>
      <c r="P11" s="20" t="s">
        <v>279</v>
      </c>
      <c r="Q11" s="20" t="s">
        <v>280</v>
      </c>
      <c r="R11" s="20" t="s">
        <v>280</v>
      </c>
      <c r="S11" s="20">
        <v>49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/>
      <c r="AU11" s="4"/>
      <c r="AV11" s="3"/>
      <c r="AW11" s="3"/>
      <c r="AX11" s="3"/>
      <c r="AY11" s="3"/>
      <c r="AZ11" s="3"/>
      <c r="BA11" s="3"/>
      <c r="BB11" s="3"/>
      <c r="BC11" s="3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1:256" ht="28.2" thickBot="1" x14ac:dyDescent="0.3">
      <c r="A12" s="3"/>
      <c r="B12" s="21"/>
      <c r="C12" s="22">
        <v>12</v>
      </c>
      <c r="D12" s="22">
        <v>12</v>
      </c>
      <c r="E12" s="22">
        <v>12</v>
      </c>
      <c r="F12" s="22">
        <v>12</v>
      </c>
      <c r="G12" s="23">
        <f>(4*$C$12)+$D$12+$E$12+$F$12</f>
        <v>84</v>
      </c>
      <c r="H12" s="3"/>
      <c r="I12" s="3"/>
      <c r="J12" s="3"/>
      <c r="K12" s="263" t="s">
        <v>281</v>
      </c>
      <c r="L12" s="20" t="s">
        <v>282</v>
      </c>
      <c r="M12" s="20" t="s">
        <v>278</v>
      </c>
      <c r="N12" s="20" t="s">
        <v>283</v>
      </c>
      <c r="O12" s="20" t="s">
        <v>278</v>
      </c>
      <c r="P12" s="20" t="s">
        <v>283</v>
      </c>
      <c r="Q12" s="20" t="s">
        <v>284</v>
      </c>
      <c r="R12" s="20" t="s">
        <v>293</v>
      </c>
      <c r="S12" s="20">
        <v>42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4"/>
      <c r="AV12" s="3"/>
      <c r="AW12" s="3"/>
      <c r="AX12" s="3"/>
      <c r="AY12" s="3"/>
      <c r="AZ12" s="3"/>
      <c r="BA12" s="3"/>
      <c r="BB12" s="3"/>
      <c r="BC12" s="3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1:256" ht="25.5" customHeight="1" thickBot="1" x14ac:dyDescent="0.3">
      <c r="A13" s="3"/>
      <c r="B13" s="370" t="s">
        <v>160</v>
      </c>
      <c r="C13" s="371"/>
      <c r="D13" s="371"/>
      <c r="E13" s="371"/>
      <c r="F13" s="371"/>
      <c r="G13" s="372"/>
      <c r="H13" s="3"/>
      <c r="I13" s="3"/>
      <c r="J13" s="3"/>
      <c r="K13" s="263" t="s">
        <v>285</v>
      </c>
      <c r="L13" s="20" t="s">
        <v>292</v>
      </c>
      <c r="M13" s="20" t="s">
        <v>286</v>
      </c>
      <c r="N13" s="20" t="s">
        <v>278</v>
      </c>
      <c r="O13" s="20" t="s">
        <v>283</v>
      </c>
      <c r="P13" s="20" t="s">
        <v>278</v>
      </c>
      <c r="Q13" s="20" t="s">
        <v>287</v>
      </c>
      <c r="R13" s="20" t="s">
        <v>288</v>
      </c>
      <c r="S13" s="20">
        <v>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/>
      <c r="AU13" s="4"/>
      <c r="AV13" s="3"/>
      <c r="AW13" s="3"/>
      <c r="AX13" s="3"/>
      <c r="AY13" s="3"/>
      <c r="AZ13" s="3"/>
      <c r="BA13" s="3"/>
      <c r="BB13" s="3"/>
      <c r="BC13" s="3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1:256" ht="21.75" customHeight="1" thickBot="1" x14ac:dyDescent="0.3">
      <c r="A14" s="3"/>
      <c r="B14" s="334" t="s">
        <v>296</v>
      </c>
      <c r="C14" s="335"/>
      <c r="D14" s="335"/>
      <c r="E14" s="335"/>
      <c r="F14" s="335"/>
      <c r="G14" s="336"/>
      <c r="H14" s="3"/>
      <c r="I14" s="3"/>
      <c r="J14" s="3"/>
      <c r="K14" s="263" t="s">
        <v>289</v>
      </c>
      <c r="L14" s="20" t="s">
        <v>278</v>
      </c>
      <c r="M14" s="20" t="s">
        <v>288</v>
      </c>
      <c r="N14" s="20" t="s">
        <v>288</v>
      </c>
      <c r="O14" s="20" t="s">
        <v>288</v>
      </c>
      <c r="P14" s="20" t="s">
        <v>288</v>
      </c>
      <c r="Q14" s="20" t="s">
        <v>288</v>
      </c>
      <c r="R14" s="20" t="s">
        <v>278</v>
      </c>
      <c r="S14" s="20">
        <v>40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/>
      <c r="AU14" s="4"/>
      <c r="AV14" s="3"/>
      <c r="AW14" s="3"/>
      <c r="AX14" s="3"/>
      <c r="AY14" s="3"/>
      <c r="AZ14" s="3"/>
      <c r="BA14" s="3"/>
      <c r="BB14" s="3"/>
      <c r="BC14" s="3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1:256" ht="20.25" customHeight="1" thickBot="1" x14ac:dyDescent="0.3">
      <c r="A15" s="3"/>
      <c r="B15" s="352" t="s">
        <v>240</v>
      </c>
      <c r="C15" s="353"/>
      <c r="D15" s="353"/>
      <c r="E15" s="353"/>
      <c r="F15" s="353"/>
      <c r="G15" s="354"/>
      <c r="H15" s="3"/>
      <c r="I15" s="3"/>
      <c r="J15" s="3"/>
      <c r="K15" s="313" t="s">
        <v>290</v>
      </c>
      <c r="L15" s="312" t="s">
        <v>278</v>
      </c>
      <c r="M15" s="312" t="s">
        <v>283</v>
      </c>
      <c r="N15" s="312" t="s">
        <v>283</v>
      </c>
      <c r="O15" s="312" t="s">
        <v>283</v>
      </c>
      <c r="P15" s="312" t="s">
        <v>283</v>
      </c>
      <c r="Q15" s="312" t="s">
        <v>283</v>
      </c>
      <c r="R15" s="312" t="s">
        <v>278</v>
      </c>
      <c r="S15" s="312">
        <v>40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/>
      <c r="AU15" s="4"/>
      <c r="AV15" s="3"/>
      <c r="AW15" s="3"/>
      <c r="AX15" s="3"/>
      <c r="AY15" s="3"/>
      <c r="AZ15" s="3"/>
      <c r="BA15" s="3"/>
      <c r="BB15" s="3"/>
      <c r="BC15" s="3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1:256" ht="15" customHeight="1" x14ac:dyDescent="0.25">
      <c r="A16" s="3"/>
      <c r="B16" s="14" t="s">
        <v>145</v>
      </c>
      <c r="C16" s="26"/>
      <c r="D16" s="27"/>
      <c r="E16" s="27"/>
      <c r="F16" s="28"/>
      <c r="G16" s="15" t="s">
        <v>142</v>
      </c>
      <c r="H16" s="3"/>
      <c r="I16" s="3"/>
      <c r="J16" s="3"/>
      <c r="K16" s="405" t="s">
        <v>291</v>
      </c>
      <c r="L16" s="407" t="s">
        <v>282</v>
      </c>
      <c r="M16" s="403" t="s">
        <v>287</v>
      </c>
      <c r="N16" s="403" t="s">
        <v>278</v>
      </c>
      <c r="O16" s="403" t="s">
        <v>278</v>
      </c>
      <c r="P16" s="403" t="s">
        <v>278</v>
      </c>
      <c r="Q16" s="403" t="s">
        <v>278</v>
      </c>
      <c r="R16" s="403" t="s">
        <v>294</v>
      </c>
      <c r="S16" s="403">
        <v>22</v>
      </c>
      <c r="T16" s="317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4"/>
      <c r="AU16" s="4"/>
      <c r="AV16" s="3"/>
      <c r="AW16" s="3"/>
      <c r="AX16" s="3"/>
      <c r="AY16" s="3"/>
      <c r="AZ16" s="3"/>
      <c r="BA16" s="3"/>
      <c r="BB16" s="3"/>
      <c r="BC16" s="3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1:256" ht="13.8" thickBot="1" x14ac:dyDescent="0.3">
      <c r="A17" s="3"/>
      <c r="B17" s="17" t="s">
        <v>146</v>
      </c>
      <c r="C17" s="29"/>
      <c r="D17" s="30"/>
      <c r="E17" s="30"/>
      <c r="F17" s="31"/>
      <c r="G17" s="19" t="s">
        <v>143</v>
      </c>
      <c r="H17" s="3"/>
      <c r="I17" s="3"/>
      <c r="J17" s="3"/>
      <c r="K17" s="406"/>
      <c r="L17" s="408"/>
      <c r="M17" s="404"/>
      <c r="N17" s="404"/>
      <c r="O17" s="404"/>
      <c r="P17" s="404"/>
      <c r="Q17" s="404"/>
      <c r="R17" s="404"/>
      <c r="S17" s="404"/>
      <c r="T17" s="317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4"/>
      <c r="AU17" s="4"/>
      <c r="AV17" s="3"/>
      <c r="AW17" s="3"/>
      <c r="AX17" s="3"/>
      <c r="AY17" s="3"/>
      <c r="AZ17" s="3"/>
      <c r="BA17" s="3"/>
      <c r="BB17" s="3"/>
      <c r="BC17" s="3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1:256" ht="13.8" thickBot="1" x14ac:dyDescent="0.3">
      <c r="A18" s="3"/>
      <c r="B18" s="32" t="s">
        <v>147</v>
      </c>
      <c r="C18" s="33"/>
      <c r="D18" s="34"/>
      <c r="E18" s="34"/>
      <c r="F18" s="35"/>
      <c r="G18" s="36">
        <f>SUM(S11)</f>
        <v>49</v>
      </c>
      <c r="H18" s="3"/>
      <c r="I18" s="3"/>
      <c r="J18" s="3"/>
      <c r="K18" s="314"/>
      <c r="L18" s="315"/>
      <c r="M18" s="316"/>
      <c r="N18" s="3"/>
      <c r="O18" s="3"/>
      <c r="P18" s="316"/>
      <c r="Q18" s="31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4"/>
      <c r="AU18" s="4"/>
      <c r="AV18" s="3"/>
      <c r="AW18" s="3"/>
      <c r="AX18" s="3"/>
      <c r="AY18" s="3"/>
      <c r="AZ18" s="3"/>
      <c r="BA18" s="3"/>
      <c r="BB18" s="3"/>
      <c r="BC18" s="3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1:256" x14ac:dyDescent="0.25">
      <c r="A19" s="3"/>
      <c r="B19" s="14" t="s">
        <v>148</v>
      </c>
      <c r="C19" s="29"/>
      <c r="D19" s="30"/>
      <c r="E19" s="30"/>
      <c r="F19" s="31"/>
      <c r="G19" s="15" t="s">
        <v>142</v>
      </c>
      <c r="H19" s="3"/>
      <c r="I19" s="3"/>
      <c r="J19" s="3"/>
      <c r="K19" s="26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4"/>
      <c r="AU19" s="4"/>
      <c r="AV19" s="3"/>
      <c r="AW19" s="3"/>
      <c r="AX19" s="3"/>
      <c r="AY19" s="3"/>
      <c r="AZ19" s="3"/>
      <c r="BA19" s="3"/>
      <c r="BB19" s="3"/>
      <c r="BC19" s="3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1:256" ht="0.75" customHeight="1" x14ac:dyDescent="0.25">
      <c r="A20" s="3"/>
      <c r="B20" s="17"/>
      <c r="C20" s="29"/>
      <c r="D20" s="30"/>
      <c r="E20" s="30"/>
      <c r="F20" s="31"/>
      <c r="G20" s="19"/>
      <c r="H20" s="3"/>
      <c r="I20" s="3"/>
      <c r="J20" s="3"/>
      <c r="K20" s="26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"/>
      <c r="AU20" s="4"/>
      <c r="AV20" s="3"/>
      <c r="AW20" s="3"/>
      <c r="AX20" s="3"/>
      <c r="AY20" s="3"/>
      <c r="AZ20" s="3"/>
      <c r="BA20" s="3"/>
      <c r="BB20" s="3"/>
      <c r="BC20" s="3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1:256" ht="13.8" thickBot="1" x14ac:dyDescent="0.3">
      <c r="A21" s="3"/>
      <c r="B21" s="17" t="s">
        <v>146</v>
      </c>
      <c r="C21" s="29"/>
      <c r="D21" s="30"/>
      <c r="E21" s="30"/>
      <c r="F21" s="31"/>
      <c r="G21" s="19" t="s">
        <v>143</v>
      </c>
      <c r="H21" s="3"/>
      <c r="I21" s="3"/>
      <c r="J21" s="3"/>
      <c r="K21" s="26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4"/>
      <c r="AU21" s="4"/>
      <c r="AV21" s="3"/>
      <c r="AW21" s="3"/>
      <c r="AX21" s="3"/>
      <c r="AY21" s="3"/>
      <c r="AZ21" s="3"/>
      <c r="BA21" s="3"/>
      <c r="BB21" s="3"/>
      <c r="BC21" s="3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 ht="13.8" thickBot="1" x14ac:dyDescent="0.3">
      <c r="A22" s="3"/>
      <c r="B22" s="32" t="s">
        <v>147</v>
      </c>
      <c r="C22" s="33"/>
      <c r="D22" s="34"/>
      <c r="E22" s="34"/>
      <c r="F22" s="35"/>
      <c r="G22" s="36">
        <f>SUM(S12:S13)</f>
        <v>42</v>
      </c>
      <c r="H22" s="3"/>
      <c r="I22" s="3"/>
      <c r="J22" s="3"/>
      <c r="K22" s="26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/>
      <c r="AU22" s="4"/>
      <c r="AV22" s="3"/>
      <c r="AW22" s="3"/>
      <c r="AX22" s="3"/>
      <c r="AY22" s="3"/>
      <c r="AZ22" s="3"/>
      <c r="BA22" s="3"/>
      <c r="BB22" s="3"/>
      <c r="BC22" s="3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1:256" x14ac:dyDescent="0.25">
      <c r="A23" s="3"/>
      <c r="B23" s="37" t="s">
        <v>202</v>
      </c>
      <c r="C23" s="29"/>
      <c r="D23" s="30"/>
      <c r="E23" s="30"/>
      <c r="F23" s="31"/>
      <c r="G23" s="28" t="s">
        <v>142</v>
      </c>
      <c r="H23" s="3"/>
      <c r="I23" s="3"/>
      <c r="J23" s="3"/>
      <c r="K23" s="26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/>
      <c r="AU23" s="4"/>
      <c r="AV23" s="3"/>
      <c r="AW23" s="3"/>
      <c r="AX23" s="3"/>
      <c r="AY23" s="3"/>
      <c r="AZ23" s="3"/>
      <c r="BA23" s="3"/>
      <c r="BB23" s="3"/>
      <c r="BC23" s="3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1:256" ht="13.8" thickBot="1" x14ac:dyDescent="0.3">
      <c r="A24" s="3"/>
      <c r="B24" s="17" t="s">
        <v>146</v>
      </c>
      <c r="C24" s="29"/>
      <c r="D24" s="30"/>
      <c r="E24" s="30"/>
      <c r="F24" s="31"/>
      <c r="G24" s="31" t="s">
        <v>143</v>
      </c>
      <c r="H24" s="3"/>
      <c r="I24" s="3"/>
      <c r="J24" s="3"/>
      <c r="K24" s="26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4"/>
      <c r="AU24" s="4"/>
      <c r="AV24" s="3"/>
      <c r="AW24" s="3"/>
      <c r="AX24" s="3"/>
      <c r="AY24" s="3"/>
      <c r="AZ24" s="3"/>
      <c r="BA24" s="3"/>
      <c r="BB24" s="3"/>
      <c r="BC24" s="3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spans="1:256" ht="13.8" thickBot="1" x14ac:dyDescent="0.3">
      <c r="A25" s="3"/>
      <c r="B25" s="32" t="s">
        <v>147</v>
      </c>
      <c r="C25" s="38"/>
      <c r="D25" s="39"/>
      <c r="E25" s="39"/>
      <c r="F25" s="40"/>
      <c r="G25" s="36">
        <f>SUM(S14:S15:S16)</f>
        <v>102</v>
      </c>
      <c r="H25" s="3"/>
      <c r="I25" s="3"/>
      <c r="J25" s="3"/>
      <c r="K25" s="26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4"/>
      <c r="AU25" s="4"/>
      <c r="AV25" s="3"/>
      <c r="AW25" s="3"/>
      <c r="AX25" s="3"/>
      <c r="AY25" s="3"/>
      <c r="AZ25" s="3"/>
      <c r="BA25" s="3"/>
      <c r="BB25" s="3"/>
      <c r="BC25" s="3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spans="1:256" x14ac:dyDescent="0.25">
      <c r="A26" s="3"/>
      <c r="B26" s="370" t="s">
        <v>266</v>
      </c>
      <c r="C26" s="335"/>
      <c r="D26" s="335"/>
      <c r="E26" s="335"/>
      <c r="F26" s="335"/>
      <c r="G26" s="372"/>
      <c r="H26" s="3"/>
      <c r="I26" s="3"/>
      <c r="J26" s="3"/>
      <c r="K26" s="26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  <c r="AU26" s="4"/>
      <c r="AV26" s="3"/>
      <c r="AW26" s="3"/>
      <c r="AX26" s="3"/>
      <c r="AY26" s="3"/>
      <c r="AZ26" s="3"/>
      <c r="BA26" s="3"/>
      <c r="BB26" s="3"/>
      <c r="BC26" s="3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spans="1:256" x14ac:dyDescent="0.25">
      <c r="A27" s="3"/>
      <c r="B27" s="334" t="s">
        <v>302</v>
      </c>
      <c r="C27" s="335"/>
      <c r="D27" s="335"/>
      <c r="E27" s="335"/>
      <c r="F27" s="335"/>
      <c r="G27" s="336"/>
      <c r="H27" s="3"/>
      <c r="I27" s="3"/>
      <c r="J27" s="3"/>
      <c r="K27" s="26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4"/>
      <c r="AU27" s="4"/>
      <c r="AV27" s="3"/>
      <c r="AW27" s="3"/>
      <c r="AX27" s="3"/>
      <c r="AY27" s="3"/>
      <c r="AZ27" s="3"/>
      <c r="BA27" s="3"/>
      <c r="BB27" s="3"/>
      <c r="BC27" s="3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spans="1:256" ht="13.8" thickBot="1" x14ac:dyDescent="0.3">
      <c r="A28" s="3"/>
      <c r="B28" s="352" t="s">
        <v>267</v>
      </c>
      <c r="C28" s="353"/>
      <c r="D28" s="353"/>
      <c r="E28" s="353"/>
      <c r="F28" s="353"/>
      <c r="G28" s="354"/>
      <c r="H28" s="3"/>
      <c r="I28" s="3"/>
      <c r="J28" s="3"/>
      <c r="K28" s="26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4"/>
      <c r="AU28" s="4"/>
      <c r="AV28" s="3"/>
      <c r="AW28" s="3"/>
      <c r="AX28" s="3"/>
      <c r="AY28" s="3"/>
      <c r="AZ28" s="3"/>
      <c r="BA28" s="3"/>
      <c r="BB28" s="3"/>
      <c r="BC28" s="3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</row>
    <row r="29" spans="1:256" ht="13.8" thickBot="1" x14ac:dyDescent="0.3">
      <c r="A29" s="3"/>
      <c r="B29" s="41"/>
      <c r="C29" s="42"/>
      <c r="D29" s="43"/>
      <c r="E29" s="44" t="s">
        <v>153</v>
      </c>
      <c r="F29" s="44" t="s">
        <v>154</v>
      </c>
      <c r="G29" s="45" t="s">
        <v>155</v>
      </c>
      <c r="H29" s="3"/>
      <c r="I29" s="3"/>
      <c r="J29" s="3"/>
      <c r="K29" s="26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4"/>
      <c r="AU29" s="4"/>
      <c r="AV29" s="3"/>
      <c r="AW29" s="3"/>
      <c r="AX29" s="3"/>
      <c r="AY29" s="3"/>
      <c r="AZ29" s="3"/>
      <c r="BA29" s="3"/>
      <c r="BB29" s="3"/>
      <c r="BC29" s="3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</row>
    <row r="30" spans="1:256" ht="13.8" thickBot="1" x14ac:dyDescent="0.3">
      <c r="A30" s="3"/>
      <c r="B30" s="17" t="s">
        <v>150</v>
      </c>
      <c r="C30" s="368" t="s">
        <v>144</v>
      </c>
      <c r="D30" s="369"/>
      <c r="E30" s="48">
        <v>15</v>
      </c>
      <c r="F30" s="49">
        <v>0.2</v>
      </c>
      <c r="G30" s="50">
        <f>E30*(1+F30)</f>
        <v>18</v>
      </c>
      <c r="H30" s="3"/>
      <c r="I30" s="3"/>
      <c r="J30" s="3"/>
      <c r="K30" s="26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4"/>
      <c r="AV30" s="3"/>
      <c r="AW30" s="3"/>
      <c r="AX30" s="3"/>
      <c r="AY30" s="3"/>
      <c r="AZ30" s="3"/>
      <c r="BA30" s="3"/>
      <c r="BB30" s="3"/>
      <c r="BC30" s="3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13.8" thickBot="1" x14ac:dyDescent="0.3">
      <c r="A31" s="3"/>
      <c r="B31" s="17" t="s">
        <v>151</v>
      </c>
      <c r="C31" s="46" t="s">
        <v>203</v>
      </c>
      <c r="D31" s="47"/>
      <c r="E31" s="48">
        <v>12</v>
      </c>
      <c r="F31" s="49">
        <v>0.2</v>
      </c>
      <c r="G31" s="50">
        <f>E31*(1+F31)</f>
        <v>14.399999999999999</v>
      </c>
      <c r="H31" s="3"/>
      <c r="I31" s="3"/>
      <c r="J31" s="3"/>
      <c r="K31" s="26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"/>
      <c r="AU31" s="4"/>
      <c r="AV31" s="3"/>
      <c r="AW31" s="3"/>
      <c r="AX31" s="3"/>
      <c r="AY31" s="3"/>
      <c r="AZ31" s="3"/>
      <c r="BA31" s="3"/>
      <c r="BB31" s="3"/>
      <c r="BC31" s="3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spans="1:256" ht="13.8" thickBot="1" x14ac:dyDescent="0.3">
      <c r="A32" s="3"/>
      <c r="B32" s="17" t="s">
        <v>152</v>
      </c>
      <c r="C32" s="46" t="s">
        <v>149</v>
      </c>
      <c r="D32" s="47"/>
      <c r="E32" s="48">
        <v>8</v>
      </c>
      <c r="F32" s="49">
        <v>0.2</v>
      </c>
      <c r="G32" s="50">
        <f>E32*(1+F32)</f>
        <v>9.6</v>
      </c>
      <c r="H32" s="3"/>
      <c r="I32" s="3"/>
      <c r="J32" s="3"/>
      <c r="K32" s="26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"/>
      <c r="AU32" s="4"/>
      <c r="AV32" s="3"/>
      <c r="AW32" s="3"/>
      <c r="AX32" s="3"/>
      <c r="AY32" s="3"/>
      <c r="AZ32" s="3"/>
      <c r="BA32" s="3"/>
      <c r="BB32" s="3"/>
      <c r="BC32" s="3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spans="1:256" ht="13.8" thickBot="1" x14ac:dyDescent="0.3">
      <c r="A33" s="3"/>
      <c r="B33" s="51"/>
      <c r="C33" s="52" t="s">
        <v>215</v>
      </c>
      <c r="D33" s="53"/>
      <c r="E33" s="54"/>
      <c r="F33" s="55"/>
      <c r="G33" s="278">
        <v>0.03</v>
      </c>
      <c r="H33" s="277"/>
      <c r="I33" s="3"/>
      <c r="J33" s="3"/>
      <c r="K33" s="26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"/>
      <c r="AU33" s="4"/>
      <c r="AV33" s="3"/>
      <c r="AW33" s="3"/>
      <c r="AX33" s="3"/>
      <c r="AY33" s="3"/>
      <c r="AZ33" s="3"/>
      <c r="BA33" s="3"/>
      <c r="BB33" s="3"/>
      <c r="BC33" s="3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spans="1:256" x14ac:dyDescent="0.25">
      <c r="A34" s="3"/>
      <c r="B34" s="370" t="s">
        <v>156</v>
      </c>
      <c r="C34" s="371"/>
      <c r="D34" s="371"/>
      <c r="E34" s="371"/>
      <c r="F34" s="371"/>
      <c r="G34" s="372"/>
      <c r="H34" s="3"/>
      <c r="I34" s="3"/>
      <c r="J34" s="3"/>
      <c r="K34" s="26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"/>
      <c r="AU34" s="4"/>
      <c r="AV34" s="3"/>
      <c r="AW34" s="3"/>
      <c r="AX34" s="3"/>
      <c r="AY34" s="3"/>
      <c r="AZ34" s="3"/>
      <c r="BA34" s="3"/>
      <c r="BB34" s="3"/>
      <c r="BC34" s="3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spans="1:256" x14ac:dyDescent="0.25">
      <c r="A35" s="3"/>
      <c r="B35" s="334" t="s">
        <v>158</v>
      </c>
      <c r="C35" s="335"/>
      <c r="D35" s="335"/>
      <c r="E35" s="335"/>
      <c r="F35" s="335"/>
      <c r="G35" s="336"/>
      <c r="H35" s="3"/>
      <c r="I35" s="3"/>
      <c r="J35" s="3"/>
      <c r="K35" s="26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"/>
      <c r="AU35" s="4"/>
      <c r="AV35" s="3"/>
      <c r="AW35" s="3"/>
      <c r="AX35" s="3"/>
      <c r="AY35" s="3"/>
      <c r="AZ35" s="3"/>
      <c r="BA35" s="3"/>
      <c r="BB35" s="3"/>
      <c r="BC35" s="3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</row>
    <row r="36" spans="1:256" ht="13.8" thickBot="1" x14ac:dyDescent="0.3">
      <c r="A36" s="3"/>
      <c r="B36" s="352" t="s">
        <v>157</v>
      </c>
      <c r="C36" s="353"/>
      <c r="D36" s="353"/>
      <c r="E36" s="353"/>
      <c r="F36" s="353"/>
      <c r="G36" s="354"/>
      <c r="H36" s="3"/>
      <c r="I36" s="3"/>
      <c r="J36" s="3"/>
      <c r="K36" s="26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"/>
      <c r="AU36" s="4"/>
      <c r="AV36" s="3"/>
      <c r="AW36" s="3"/>
      <c r="AX36" s="3"/>
      <c r="AY36" s="3"/>
      <c r="AZ36" s="3"/>
      <c r="BA36" s="3"/>
      <c r="BB36" s="3"/>
      <c r="BC36" s="3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 spans="1:256" x14ac:dyDescent="0.25">
      <c r="A37" s="3"/>
      <c r="B37" s="56"/>
      <c r="C37" s="361" t="s">
        <v>71</v>
      </c>
      <c r="D37" s="362"/>
      <c r="E37" s="57"/>
      <c r="F37" s="15" t="s">
        <v>63</v>
      </c>
      <c r="G37" s="15" t="s">
        <v>65</v>
      </c>
      <c r="H37" s="3"/>
      <c r="I37" s="3"/>
      <c r="J37" s="3"/>
      <c r="K37" s="265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4"/>
      <c r="AU37" s="4"/>
      <c r="AV37" s="3"/>
      <c r="AW37" s="3"/>
      <c r="AX37" s="3"/>
      <c r="AY37" s="3"/>
      <c r="AZ37" s="3"/>
      <c r="BA37" s="3"/>
      <c r="BB37" s="3"/>
      <c r="BC37" s="3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</row>
    <row r="38" spans="1:256" ht="13.8" thickBot="1" x14ac:dyDescent="0.3">
      <c r="A38" s="3"/>
      <c r="B38" s="58"/>
      <c r="C38" s="363" t="s">
        <v>67</v>
      </c>
      <c r="D38" s="364"/>
      <c r="E38" s="61"/>
      <c r="F38" s="18" t="s">
        <v>64</v>
      </c>
      <c r="G38" s="18" t="s">
        <v>66</v>
      </c>
      <c r="H38" s="3"/>
      <c r="I38" s="3"/>
      <c r="J38" s="3"/>
      <c r="K38" s="26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4"/>
      <c r="AU38" s="4"/>
      <c r="AV38" s="3"/>
      <c r="AW38" s="3"/>
      <c r="AX38" s="3"/>
      <c r="AY38" s="3"/>
      <c r="AZ38" s="3"/>
      <c r="BA38" s="3"/>
      <c r="BB38" s="3"/>
      <c r="BC38" s="3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ht="13.8" thickBot="1" x14ac:dyDescent="0.3">
      <c r="A39" s="3"/>
      <c r="B39" s="62" t="s">
        <v>71</v>
      </c>
      <c r="C39" s="63" t="s">
        <v>123</v>
      </c>
      <c r="D39" s="64"/>
      <c r="E39" s="65"/>
      <c r="F39" s="162">
        <v>6</v>
      </c>
      <c r="G39" s="67">
        <v>0.5</v>
      </c>
      <c r="H39" s="3"/>
      <c r="I39" s="3"/>
      <c r="J39" s="3"/>
      <c r="K39" s="265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"/>
      <c r="AU39" s="4"/>
      <c r="AV39" s="3"/>
      <c r="AW39" s="3"/>
      <c r="AX39" s="3"/>
      <c r="AY39" s="3"/>
      <c r="AZ39" s="3"/>
      <c r="BA39" s="3"/>
      <c r="BB39" s="3"/>
      <c r="BC39" s="3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ht="13.8" thickBot="1" x14ac:dyDescent="0.3">
      <c r="A40" s="3"/>
      <c r="B40" s="62" t="s">
        <v>197</v>
      </c>
      <c r="C40" s="63" t="s">
        <v>68</v>
      </c>
      <c r="D40" s="64"/>
      <c r="E40" s="65"/>
      <c r="F40" s="162">
        <v>10</v>
      </c>
      <c r="G40" s="67">
        <v>0.15</v>
      </c>
      <c r="H40" s="3"/>
      <c r="I40" s="3"/>
      <c r="J40" s="3"/>
      <c r="K40" s="26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4"/>
      <c r="AU40" s="4"/>
      <c r="AV40" s="3"/>
      <c r="AW40" s="3"/>
      <c r="AX40" s="3"/>
      <c r="AY40" s="3"/>
      <c r="AZ40" s="3"/>
      <c r="BA40" s="3"/>
      <c r="BB40" s="3"/>
      <c r="BC40" s="3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ht="13.8" thickBot="1" x14ac:dyDescent="0.3">
      <c r="A41" s="3"/>
      <c r="B41" s="62" t="s">
        <v>198</v>
      </c>
      <c r="C41" s="63" t="s">
        <v>69</v>
      </c>
      <c r="D41" s="64"/>
      <c r="E41" s="65"/>
      <c r="F41" s="162">
        <v>14</v>
      </c>
      <c r="G41" s="67">
        <v>0.15</v>
      </c>
      <c r="H41" s="3"/>
      <c r="I41" s="3"/>
      <c r="J41" s="3"/>
      <c r="K41" s="265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4"/>
      <c r="AU41" s="4"/>
      <c r="AV41" s="3"/>
      <c r="AW41" s="3"/>
      <c r="AX41" s="3"/>
      <c r="AY41" s="3"/>
      <c r="AZ41" s="3"/>
      <c r="BA41" s="3"/>
      <c r="BB41" s="3"/>
      <c r="BC41" s="3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spans="1:256" ht="13.8" thickBot="1" x14ac:dyDescent="0.3">
      <c r="A42" s="3"/>
      <c r="B42" s="62" t="s">
        <v>199</v>
      </c>
      <c r="C42" s="63" t="s">
        <v>70</v>
      </c>
      <c r="D42" s="64"/>
      <c r="E42" s="65"/>
      <c r="F42" s="162">
        <v>18</v>
      </c>
      <c r="G42" s="67">
        <v>0.2</v>
      </c>
      <c r="H42" s="3"/>
      <c r="I42" s="3"/>
      <c r="J42" s="3"/>
      <c r="K42" s="265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4"/>
      <c r="AU42" s="4"/>
      <c r="AV42" s="3"/>
      <c r="AW42" s="3"/>
      <c r="AX42" s="3"/>
      <c r="AY42" s="3"/>
      <c r="AZ42" s="3"/>
      <c r="BA42" s="3"/>
      <c r="BB42" s="3"/>
      <c r="BC42" s="3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spans="1:256" ht="13.8" thickBot="1" x14ac:dyDescent="0.3">
      <c r="A43" s="3"/>
      <c r="B43" s="62"/>
      <c r="C43" s="63" t="s">
        <v>310</v>
      </c>
      <c r="D43" s="64"/>
      <c r="E43" s="43"/>
      <c r="F43" s="162">
        <v>0</v>
      </c>
      <c r="G43" s="67">
        <v>0</v>
      </c>
      <c r="H43" s="3"/>
      <c r="I43" s="3"/>
      <c r="J43" s="3"/>
      <c r="K43" s="26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4"/>
      <c r="AU43" s="4"/>
      <c r="AV43" s="3"/>
      <c r="AW43" s="3"/>
      <c r="AX43" s="3"/>
      <c r="AY43" s="3"/>
      <c r="AZ43" s="3"/>
      <c r="BA43" s="3"/>
      <c r="BB43" s="3"/>
      <c r="BC43" s="3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x14ac:dyDescent="0.25">
      <c r="A44" s="3"/>
      <c r="B44" s="370" t="s">
        <v>268</v>
      </c>
      <c r="C44" s="371"/>
      <c r="D44" s="371"/>
      <c r="E44" s="371"/>
      <c r="F44" s="371"/>
      <c r="G44" s="372"/>
      <c r="H44" s="3"/>
      <c r="I44" s="3"/>
      <c r="J44" s="3"/>
      <c r="K44" s="265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4"/>
      <c r="AU44" s="4"/>
      <c r="AV44" s="3"/>
      <c r="AW44" s="3"/>
      <c r="AX44" s="3"/>
      <c r="AY44" s="3"/>
      <c r="AZ44" s="3"/>
      <c r="BA44" s="3"/>
      <c r="BB44" s="3"/>
      <c r="BC44" s="3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</row>
    <row r="45" spans="1:256" x14ac:dyDescent="0.25">
      <c r="A45" s="3"/>
      <c r="B45" s="68" t="s">
        <v>209</v>
      </c>
      <c r="C45" s="24"/>
      <c r="D45" s="24"/>
      <c r="E45" s="24"/>
      <c r="F45" s="24"/>
      <c r="G45" s="25"/>
      <c r="H45" s="3"/>
      <c r="I45" s="3"/>
      <c r="J45" s="3"/>
      <c r="K45" s="266"/>
      <c r="L45" s="69"/>
      <c r="M45" s="69"/>
      <c r="N45" s="6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4"/>
      <c r="AU45" s="4"/>
      <c r="AV45" s="3"/>
      <c r="AW45" s="3"/>
      <c r="AX45" s="3"/>
      <c r="AY45" s="3"/>
      <c r="AZ45" s="3"/>
      <c r="BA45" s="3"/>
      <c r="BB45" s="3"/>
      <c r="BC45" s="3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 spans="1:256" x14ac:dyDescent="0.25">
      <c r="A46" s="3"/>
      <c r="B46" s="334" t="s">
        <v>210</v>
      </c>
      <c r="C46" s="335"/>
      <c r="D46" s="335"/>
      <c r="E46" s="335"/>
      <c r="F46" s="335"/>
      <c r="G46" s="336"/>
      <c r="H46" s="3"/>
      <c r="I46" s="3"/>
      <c r="J46" s="3"/>
      <c r="K46" s="266"/>
      <c r="L46" s="69"/>
      <c r="M46" s="70"/>
      <c r="N46" s="7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4"/>
      <c r="AU46" s="4"/>
      <c r="AV46" s="3"/>
      <c r="AW46" s="3"/>
      <c r="AX46" s="3"/>
      <c r="AY46" s="3"/>
      <c r="AZ46" s="3"/>
      <c r="BA46" s="3"/>
      <c r="BB46" s="3"/>
      <c r="BC46" s="3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spans="1:256" ht="13.8" thickBot="1" x14ac:dyDescent="0.3">
      <c r="A47" s="3"/>
      <c r="B47" s="352" t="s">
        <v>211</v>
      </c>
      <c r="C47" s="353"/>
      <c r="D47" s="353"/>
      <c r="E47" s="353"/>
      <c r="F47" s="353"/>
      <c r="G47" s="354"/>
      <c r="H47" s="3"/>
      <c r="I47" s="3"/>
      <c r="J47" s="3"/>
      <c r="K47" s="267"/>
      <c r="L47" s="69"/>
      <c r="M47" s="69"/>
      <c r="N47" s="6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4"/>
      <c r="AU47" s="4"/>
      <c r="AV47" s="3"/>
      <c r="AW47" s="3"/>
      <c r="AX47" s="3"/>
      <c r="AY47" s="3"/>
      <c r="AZ47" s="3"/>
      <c r="BA47" s="3"/>
      <c r="BB47" s="3"/>
      <c r="BC47" s="3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spans="1:256" ht="13.8" thickBot="1" x14ac:dyDescent="0.3">
      <c r="A48" s="3"/>
      <c r="B48" s="62" t="s">
        <v>63</v>
      </c>
      <c r="C48" s="3"/>
      <c r="D48" s="73" t="s">
        <v>161</v>
      </c>
      <c r="E48" s="73" t="s">
        <v>161</v>
      </c>
      <c r="F48" s="73" t="s">
        <v>161</v>
      </c>
      <c r="G48" s="73" t="s">
        <v>161</v>
      </c>
      <c r="H48" s="3"/>
      <c r="I48" s="3"/>
      <c r="J48" s="74" t="s">
        <v>300</v>
      </c>
      <c r="K48" s="268"/>
      <c r="L48" s="330" t="s">
        <v>169</v>
      </c>
      <c r="M48" s="331"/>
      <c r="N48" s="330" t="s">
        <v>260</v>
      </c>
      <c r="O48" s="331"/>
      <c r="P48" s="330" t="s">
        <v>263</v>
      </c>
      <c r="Q48" s="331"/>
      <c r="R48" s="330" t="s">
        <v>264</v>
      </c>
      <c r="S48" s="331"/>
      <c r="T48" s="330" t="s">
        <v>265</v>
      </c>
      <c r="U48" s="331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4"/>
      <c r="AU48" s="4"/>
      <c r="AV48" s="3"/>
      <c r="AW48" s="3"/>
      <c r="AX48" s="3"/>
      <c r="AY48" s="3"/>
      <c r="AZ48" s="3"/>
      <c r="BA48" s="3"/>
      <c r="BB48" s="3"/>
      <c r="BC48" s="3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spans="1:256" ht="13.8" thickBot="1" x14ac:dyDescent="0.3">
      <c r="A49" s="3"/>
      <c r="B49" s="62" t="s">
        <v>170</v>
      </c>
      <c r="C49" s="3"/>
      <c r="D49" s="75" t="s">
        <v>162</v>
      </c>
      <c r="E49" s="75" t="s">
        <v>163</v>
      </c>
      <c r="F49" s="75" t="s">
        <v>164</v>
      </c>
      <c r="G49" s="75" t="s">
        <v>165</v>
      </c>
      <c r="H49" s="3"/>
      <c r="I49" s="3"/>
      <c r="J49" s="76" t="s">
        <v>297</v>
      </c>
      <c r="K49" s="269" t="s">
        <v>259</v>
      </c>
      <c r="L49" s="77" t="s">
        <v>261</v>
      </c>
      <c r="M49" s="78" t="s">
        <v>262</v>
      </c>
      <c r="N49" s="77" t="s">
        <v>261</v>
      </c>
      <c r="O49" s="78" t="s">
        <v>262</v>
      </c>
      <c r="P49" s="77" t="s">
        <v>261</v>
      </c>
      <c r="Q49" s="78" t="s">
        <v>262</v>
      </c>
      <c r="R49" s="77" t="s">
        <v>261</v>
      </c>
      <c r="S49" s="78" t="s">
        <v>262</v>
      </c>
      <c r="T49" s="77" t="s">
        <v>261</v>
      </c>
      <c r="U49" s="78" t="s">
        <v>262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4"/>
      <c r="AU49" s="4"/>
      <c r="AV49" s="3"/>
      <c r="AW49" s="3"/>
      <c r="AX49" s="3"/>
      <c r="AY49" s="3"/>
      <c r="AZ49" s="3"/>
      <c r="BA49" s="3"/>
      <c r="BB49" s="3"/>
      <c r="BC49" s="3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spans="1:256" ht="13.8" thickBot="1" x14ac:dyDescent="0.3">
      <c r="A50" s="3"/>
      <c r="B50" s="62" t="s">
        <v>204</v>
      </c>
      <c r="C50" s="79" t="s">
        <v>169</v>
      </c>
      <c r="D50" s="162">
        <v>6</v>
      </c>
      <c r="E50" s="162">
        <v>6</v>
      </c>
      <c r="F50" s="162">
        <v>6</v>
      </c>
      <c r="G50" s="162">
        <v>6</v>
      </c>
      <c r="H50" s="3"/>
      <c r="I50" s="3"/>
      <c r="J50" s="80">
        <v>0.03</v>
      </c>
      <c r="K50" s="283" t="s">
        <v>245</v>
      </c>
      <c r="L50" s="81">
        <v>1</v>
      </c>
      <c r="M50" s="82">
        <f t="shared" ref="M50:M60" si="0">J50*L50</f>
        <v>0.03</v>
      </c>
      <c r="N50" s="81">
        <v>1</v>
      </c>
      <c r="O50" s="82">
        <f t="shared" ref="O50:O61" si="1">N50*$J50</f>
        <v>0.03</v>
      </c>
      <c r="P50" s="81">
        <v>1</v>
      </c>
      <c r="Q50" s="82">
        <f t="shared" ref="Q50:Q66" si="2">J50*P50</f>
        <v>0.03</v>
      </c>
      <c r="R50" s="81">
        <v>1</v>
      </c>
      <c r="S50" s="82">
        <f t="shared" ref="S50:S66" si="3">J50*R50</f>
        <v>0.03</v>
      </c>
      <c r="T50" s="81">
        <v>1</v>
      </c>
      <c r="U50" s="82">
        <f t="shared" ref="U50:U63" si="4">J50*T50</f>
        <v>0.03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4"/>
      <c r="AU50" s="4"/>
      <c r="AV50" s="3"/>
      <c r="AW50" s="3"/>
      <c r="AX50" s="3"/>
      <c r="AY50" s="3"/>
      <c r="AZ50" s="3"/>
      <c r="BA50" s="3"/>
      <c r="BB50" s="3"/>
      <c r="BC50" s="3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spans="1:256" ht="13.8" thickBot="1" x14ac:dyDescent="0.3">
      <c r="A51" s="3"/>
      <c r="B51" s="62" t="s">
        <v>171</v>
      </c>
      <c r="C51" s="79" t="s">
        <v>166</v>
      </c>
      <c r="D51" s="162">
        <v>10</v>
      </c>
      <c r="E51" s="162">
        <v>10</v>
      </c>
      <c r="F51" s="162">
        <v>10</v>
      </c>
      <c r="G51" s="162">
        <v>10</v>
      </c>
      <c r="H51" s="3"/>
      <c r="I51" s="3"/>
      <c r="J51" s="80">
        <v>0.03</v>
      </c>
      <c r="K51" s="284" t="s">
        <v>246</v>
      </c>
      <c r="L51" s="81">
        <v>1</v>
      </c>
      <c r="M51" s="82">
        <f t="shared" si="0"/>
        <v>0.03</v>
      </c>
      <c r="N51" s="81">
        <v>1</v>
      </c>
      <c r="O51" s="82">
        <f t="shared" si="1"/>
        <v>0.03</v>
      </c>
      <c r="P51" s="81">
        <v>1</v>
      </c>
      <c r="Q51" s="82">
        <f t="shared" si="2"/>
        <v>0.03</v>
      </c>
      <c r="R51" s="81">
        <v>1</v>
      </c>
      <c r="S51" s="82">
        <f t="shared" si="3"/>
        <v>0.03</v>
      </c>
      <c r="T51" s="81">
        <v>1</v>
      </c>
      <c r="U51" s="82">
        <f t="shared" si="4"/>
        <v>0.03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4"/>
      <c r="AU51" s="4"/>
      <c r="AV51" s="3"/>
      <c r="AW51" s="3"/>
      <c r="AX51" s="3"/>
      <c r="AY51" s="3"/>
      <c r="AZ51" s="3"/>
      <c r="BA51" s="3"/>
      <c r="BB51" s="3"/>
      <c r="BC51" s="3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spans="1:256" ht="13.8" thickBot="1" x14ac:dyDescent="0.3">
      <c r="A52" s="3"/>
      <c r="B52" s="62" t="s">
        <v>172</v>
      </c>
      <c r="C52" s="79" t="s">
        <v>167</v>
      </c>
      <c r="D52" s="162">
        <v>14</v>
      </c>
      <c r="E52" s="162">
        <v>14</v>
      </c>
      <c r="F52" s="162">
        <v>14</v>
      </c>
      <c r="G52" s="162">
        <v>14</v>
      </c>
      <c r="H52" s="3"/>
      <c r="I52" s="3"/>
      <c r="J52" s="80">
        <v>0.03</v>
      </c>
      <c r="K52" s="284" t="s">
        <v>247</v>
      </c>
      <c r="L52" s="81">
        <v>1</v>
      </c>
      <c r="M52" s="82">
        <f t="shared" si="0"/>
        <v>0.03</v>
      </c>
      <c r="N52" s="81">
        <v>1</v>
      </c>
      <c r="O52" s="82">
        <f t="shared" si="1"/>
        <v>0.03</v>
      </c>
      <c r="P52" s="81">
        <v>1</v>
      </c>
      <c r="Q52" s="82">
        <f t="shared" si="2"/>
        <v>0.03</v>
      </c>
      <c r="R52" s="81">
        <v>1</v>
      </c>
      <c r="S52" s="82">
        <f t="shared" si="3"/>
        <v>0.03</v>
      </c>
      <c r="T52" s="81">
        <v>1</v>
      </c>
      <c r="U52" s="82">
        <f t="shared" si="4"/>
        <v>0.03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4"/>
      <c r="AU52" s="4"/>
      <c r="AV52" s="3"/>
      <c r="AW52" s="3"/>
      <c r="AX52" s="3"/>
      <c r="AY52" s="3"/>
      <c r="AZ52" s="3"/>
      <c r="BA52" s="3"/>
      <c r="BB52" s="3"/>
      <c r="BC52" s="3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 spans="1:256" ht="13.8" thickBot="1" x14ac:dyDescent="0.3">
      <c r="A53" s="3"/>
      <c r="B53" s="288"/>
      <c r="C53" s="79" t="s">
        <v>168</v>
      </c>
      <c r="D53" s="162">
        <v>18</v>
      </c>
      <c r="E53" s="162">
        <v>18</v>
      </c>
      <c r="F53" s="162">
        <v>18</v>
      </c>
      <c r="G53" s="162">
        <v>18</v>
      </c>
      <c r="H53" s="3"/>
      <c r="I53" s="3"/>
      <c r="J53" s="80">
        <v>0.03</v>
      </c>
      <c r="K53" s="284" t="s">
        <v>248</v>
      </c>
      <c r="L53" s="81">
        <v>1</v>
      </c>
      <c r="M53" s="82">
        <f t="shared" si="0"/>
        <v>0.03</v>
      </c>
      <c r="N53" s="81">
        <v>1</v>
      </c>
      <c r="O53" s="82">
        <f t="shared" si="1"/>
        <v>0.03</v>
      </c>
      <c r="P53" s="81">
        <v>1</v>
      </c>
      <c r="Q53" s="82">
        <f t="shared" si="2"/>
        <v>0.03</v>
      </c>
      <c r="R53" s="81">
        <v>1</v>
      </c>
      <c r="S53" s="82">
        <f t="shared" si="3"/>
        <v>0.03</v>
      </c>
      <c r="T53" s="81">
        <v>1</v>
      </c>
      <c r="U53" s="82">
        <f t="shared" si="4"/>
        <v>0.03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4"/>
      <c r="AU53" s="4"/>
      <c r="AV53" s="3"/>
      <c r="AW53" s="3"/>
      <c r="AX53" s="3"/>
      <c r="AY53" s="3"/>
      <c r="AZ53" s="3"/>
      <c r="BA53" s="3"/>
      <c r="BB53" s="3"/>
      <c r="BC53" s="3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</row>
    <row r="54" spans="1:256" ht="13.8" thickBot="1" x14ac:dyDescent="0.3">
      <c r="A54" s="3"/>
      <c r="B54" s="289"/>
      <c r="C54" s="290" t="s">
        <v>312</v>
      </c>
      <c r="D54" s="162">
        <v>0</v>
      </c>
      <c r="E54" s="162">
        <v>0</v>
      </c>
      <c r="F54" s="162">
        <v>0</v>
      </c>
      <c r="G54" s="162">
        <v>0</v>
      </c>
      <c r="H54" s="3"/>
      <c r="I54" s="3"/>
      <c r="J54" s="80">
        <v>0.03</v>
      </c>
      <c r="K54" s="284" t="s">
        <v>249</v>
      </c>
      <c r="L54" s="81">
        <v>1</v>
      </c>
      <c r="M54" s="82">
        <f t="shared" si="0"/>
        <v>0.03</v>
      </c>
      <c r="N54" s="81">
        <v>1</v>
      </c>
      <c r="O54" s="82">
        <f t="shared" si="1"/>
        <v>0.03</v>
      </c>
      <c r="P54" s="81">
        <v>1</v>
      </c>
      <c r="Q54" s="82">
        <f t="shared" si="2"/>
        <v>0.03</v>
      </c>
      <c r="R54" s="81">
        <v>1</v>
      </c>
      <c r="S54" s="82">
        <f t="shared" si="3"/>
        <v>0.03</v>
      </c>
      <c r="T54" s="81">
        <v>1</v>
      </c>
      <c r="U54" s="82">
        <f t="shared" si="4"/>
        <v>0.03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"/>
      <c r="AU54" s="4"/>
      <c r="AV54" s="3"/>
      <c r="AW54" s="3"/>
      <c r="AX54" s="3"/>
      <c r="AY54" s="3"/>
      <c r="AZ54" s="3"/>
      <c r="BA54" s="3"/>
      <c r="BB54" s="3"/>
      <c r="BC54" s="3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spans="1:256" ht="13.8" thickBot="1" x14ac:dyDescent="0.3">
      <c r="A55" s="3"/>
      <c r="B55" s="370" t="s">
        <v>173</v>
      </c>
      <c r="C55" s="371"/>
      <c r="D55" s="371"/>
      <c r="E55" s="371"/>
      <c r="F55" s="371"/>
      <c r="G55" s="372"/>
      <c r="H55" s="3"/>
      <c r="I55" s="3"/>
      <c r="J55" s="80">
        <v>0.08</v>
      </c>
      <c r="K55" s="284" t="s">
        <v>250</v>
      </c>
      <c r="L55" s="81"/>
      <c r="M55" s="82">
        <f t="shared" si="0"/>
        <v>0</v>
      </c>
      <c r="N55" s="81">
        <v>1</v>
      </c>
      <c r="O55" s="82">
        <f t="shared" si="1"/>
        <v>0.08</v>
      </c>
      <c r="P55" s="81">
        <v>1</v>
      </c>
      <c r="Q55" s="82">
        <f t="shared" si="2"/>
        <v>0.08</v>
      </c>
      <c r="R55" s="81">
        <v>1</v>
      </c>
      <c r="S55" s="82">
        <f t="shared" si="3"/>
        <v>0.08</v>
      </c>
      <c r="T55" s="81">
        <v>1</v>
      </c>
      <c r="U55" s="82">
        <f t="shared" si="4"/>
        <v>0.08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4"/>
      <c r="AU55" s="4"/>
      <c r="AV55" s="3"/>
      <c r="AW55" s="3"/>
      <c r="AX55" s="3"/>
      <c r="AY55" s="3"/>
      <c r="AZ55" s="3"/>
      <c r="BA55" s="3"/>
      <c r="BB55" s="3"/>
      <c r="BC55" s="3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spans="1:256" ht="13.8" thickBot="1" x14ac:dyDescent="0.3">
      <c r="A56" s="3"/>
      <c r="B56" s="334" t="s">
        <v>174</v>
      </c>
      <c r="C56" s="335"/>
      <c r="D56" s="335"/>
      <c r="E56" s="335"/>
      <c r="F56" s="335"/>
      <c r="G56" s="336"/>
      <c r="H56" s="3"/>
      <c r="I56" s="3"/>
      <c r="J56" s="80">
        <v>0.5</v>
      </c>
      <c r="K56" s="285" t="s">
        <v>311</v>
      </c>
      <c r="L56" s="81"/>
      <c r="M56" s="82">
        <f t="shared" si="0"/>
        <v>0</v>
      </c>
      <c r="N56" s="81"/>
      <c r="O56" s="82"/>
      <c r="P56" s="81"/>
      <c r="Q56" s="82"/>
      <c r="R56" s="81"/>
      <c r="S56" s="82"/>
      <c r="T56" s="81">
        <v>1</v>
      </c>
      <c r="U56" s="82">
        <f t="shared" si="4"/>
        <v>0.5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4"/>
      <c r="AU56" s="4"/>
      <c r="AV56" s="3"/>
      <c r="AW56" s="3"/>
      <c r="AX56" s="3"/>
      <c r="AY56" s="3"/>
      <c r="AZ56" s="3"/>
      <c r="BA56" s="3"/>
      <c r="BB56" s="3"/>
      <c r="BC56" s="3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spans="1:256" ht="13.8" thickBot="1" x14ac:dyDescent="0.3">
      <c r="A57" s="3"/>
      <c r="B57" s="352" t="s">
        <v>175</v>
      </c>
      <c r="C57" s="353"/>
      <c r="D57" s="353"/>
      <c r="E57" s="353"/>
      <c r="F57" s="353"/>
      <c r="G57" s="354"/>
      <c r="H57" s="3"/>
      <c r="I57" s="3"/>
      <c r="J57" s="80">
        <v>0.02</v>
      </c>
      <c r="K57" s="284" t="s">
        <v>251</v>
      </c>
      <c r="L57" s="81"/>
      <c r="M57" s="82">
        <f t="shared" si="0"/>
        <v>0</v>
      </c>
      <c r="N57" s="81"/>
      <c r="O57" s="82">
        <f t="shared" si="1"/>
        <v>0</v>
      </c>
      <c r="P57" s="81">
        <v>1</v>
      </c>
      <c r="Q57" s="82">
        <f t="shared" si="2"/>
        <v>0.02</v>
      </c>
      <c r="R57" s="81">
        <v>1</v>
      </c>
      <c r="S57" s="82">
        <f t="shared" si="3"/>
        <v>0.02</v>
      </c>
      <c r="T57" s="81">
        <v>1</v>
      </c>
      <c r="U57" s="82">
        <f t="shared" si="4"/>
        <v>0.02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4"/>
      <c r="AU57" s="4"/>
      <c r="AV57" s="3"/>
      <c r="AW57" s="3"/>
      <c r="AX57" s="3"/>
      <c r="AY57" s="3"/>
      <c r="AZ57" s="3"/>
      <c r="BA57" s="3"/>
      <c r="BB57" s="3"/>
      <c r="BC57" s="3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spans="1:256" ht="13.8" thickBot="1" x14ac:dyDescent="0.3">
      <c r="A58" s="3"/>
      <c r="B58" s="56" t="s">
        <v>242</v>
      </c>
      <c r="C58" s="73" t="s">
        <v>161</v>
      </c>
      <c r="D58" s="73" t="s">
        <v>161</v>
      </c>
      <c r="E58" s="73" t="s">
        <v>161</v>
      </c>
      <c r="F58" s="73" t="s">
        <v>161</v>
      </c>
      <c r="G58" s="73" t="s">
        <v>161</v>
      </c>
      <c r="H58" s="3"/>
      <c r="I58" s="3"/>
      <c r="J58" s="80">
        <v>0.05</v>
      </c>
      <c r="K58" s="284" t="s">
        <v>252</v>
      </c>
      <c r="L58" s="81"/>
      <c r="M58" s="82">
        <f t="shared" si="0"/>
        <v>0</v>
      </c>
      <c r="N58" s="81"/>
      <c r="O58" s="82">
        <f t="shared" si="1"/>
        <v>0</v>
      </c>
      <c r="P58" s="81">
        <v>1</v>
      </c>
      <c r="Q58" s="82">
        <f t="shared" si="2"/>
        <v>0.05</v>
      </c>
      <c r="R58" s="81">
        <v>1</v>
      </c>
      <c r="S58" s="82">
        <f t="shared" si="3"/>
        <v>0.05</v>
      </c>
      <c r="T58" s="81">
        <v>1</v>
      </c>
      <c r="U58" s="82">
        <f t="shared" si="4"/>
        <v>0.05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4"/>
      <c r="AV58" s="3"/>
      <c r="AW58" s="3"/>
      <c r="AX58" s="3"/>
      <c r="AY58" s="3"/>
      <c r="AZ58" s="3"/>
      <c r="BA58" s="3"/>
      <c r="BB58" s="3"/>
      <c r="BC58" s="3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 spans="1:256" ht="13.8" thickBot="1" x14ac:dyDescent="0.3">
      <c r="A59" s="3"/>
      <c r="B59" s="83" t="s">
        <v>243</v>
      </c>
      <c r="C59" s="75" t="s">
        <v>244</v>
      </c>
      <c r="D59" s="75" t="s">
        <v>162</v>
      </c>
      <c r="E59" s="75" t="s">
        <v>163</v>
      </c>
      <c r="F59" s="75" t="s">
        <v>164</v>
      </c>
      <c r="G59" s="75" t="s">
        <v>165</v>
      </c>
      <c r="H59" s="3"/>
      <c r="I59" s="3"/>
      <c r="J59" s="80">
        <v>0.15</v>
      </c>
      <c r="K59" s="284" t="s">
        <v>253</v>
      </c>
      <c r="L59" s="81"/>
      <c r="M59" s="82">
        <f t="shared" si="0"/>
        <v>0</v>
      </c>
      <c r="N59" s="81">
        <v>1</v>
      </c>
      <c r="O59" s="82">
        <f t="shared" si="1"/>
        <v>0.15</v>
      </c>
      <c r="P59" s="81">
        <v>1</v>
      </c>
      <c r="Q59" s="82">
        <f t="shared" si="2"/>
        <v>0.15</v>
      </c>
      <c r="R59" s="81">
        <v>1</v>
      </c>
      <c r="S59" s="82">
        <f t="shared" si="3"/>
        <v>0.15</v>
      </c>
      <c r="T59" s="81">
        <v>1</v>
      </c>
      <c r="U59" s="82">
        <f t="shared" si="4"/>
        <v>0.15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4"/>
      <c r="AU59" s="4"/>
      <c r="AV59" s="3"/>
      <c r="AW59" s="3"/>
      <c r="AX59" s="3"/>
      <c r="AY59" s="3"/>
      <c r="AZ59" s="3"/>
      <c r="BA59" s="3"/>
      <c r="BB59" s="3"/>
      <c r="BC59" s="3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spans="1:256" ht="12.75" customHeight="1" thickBot="1" x14ac:dyDescent="0.3">
      <c r="A60" s="3"/>
      <c r="B60" s="79" t="s">
        <v>169</v>
      </c>
      <c r="C60" s="1">
        <f>M67</f>
        <v>0.31</v>
      </c>
      <c r="D60" s="1">
        <f>C60*1.02</f>
        <v>0.31619999999999998</v>
      </c>
      <c r="E60" s="1">
        <f>D60*1.02</f>
        <v>0.32252399999999998</v>
      </c>
      <c r="F60" s="1">
        <f>E60*1.02</f>
        <v>0.32897447999999996</v>
      </c>
      <c r="G60" s="1">
        <f>F60*1.02</f>
        <v>0.33555396959999995</v>
      </c>
      <c r="H60" s="3"/>
      <c r="I60" s="3"/>
      <c r="J60" s="80">
        <v>0.15</v>
      </c>
      <c r="K60" s="284" t="s">
        <v>254</v>
      </c>
      <c r="L60" s="81"/>
      <c r="M60" s="82">
        <f t="shared" si="0"/>
        <v>0</v>
      </c>
      <c r="N60" s="81">
        <v>1</v>
      </c>
      <c r="O60" s="82">
        <f t="shared" si="1"/>
        <v>0.15</v>
      </c>
      <c r="P60" s="81">
        <v>1</v>
      </c>
      <c r="Q60" s="82">
        <f t="shared" si="2"/>
        <v>0.15</v>
      </c>
      <c r="R60" s="81">
        <v>1</v>
      </c>
      <c r="S60" s="82">
        <f t="shared" si="3"/>
        <v>0.15</v>
      </c>
      <c r="T60" s="81">
        <v>1</v>
      </c>
      <c r="U60" s="82">
        <f t="shared" si="4"/>
        <v>0.15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4"/>
      <c r="AU60" s="4"/>
      <c r="AV60" s="3"/>
      <c r="AW60" s="3"/>
      <c r="AX60" s="3"/>
      <c r="AY60" s="3"/>
      <c r="AZ60" s="3"/>
      <c r="BA60" s="3"/>
      <c r="BB60" s="3"/>
      <c r="BC60" s="3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 spans="1:256" ht="13.8" thickBot="1" x14ac:dyDescent="0.3">
      <c r="B61" s="79" t="s">
        <v>166</v>
      </c>
      <c r="C61" s="1">
        <f>O67</f>
        <v>0.69000000000000006</v>
      </c>
      <c r="D61" s="1">
        <f>C61*1.02</f>
        <v>0.70380000000000009</v>
      </c>
      <c r="E61" s="1">
        <f t="shared" ref="D61:G64" si="5">D61*1.02</f>
        <v>0.71787600000000007</v>
      </c>
      <c r="F61" s="1">
        <f t="shared" si="5"/>
        <v>0.73223352000000008</v>
      </c>
      <c r="G61" s="1">
        <f t="shared" si="5"/>
        <v>0.74687819040000014</v>
      </c>
      <c r="H61" s="3"/>
      <c r="I61" s="3"/>
      <c r="J61" s="80">
        <v>0.1</v>
      </c>
      <c r="K61" s="284" t="s">
        <v>255</v>
      </c>
      <c r="L61" s="81">
        <v>1</v>
      </c>
      <c r="M61" s="82">
        <f>J61*L61</f>
        <v>0.1</v>
      </c>
      <c r="N61" s="81">
        <v>1</v>
      </c>
      <c r="O61" s="82">
        <f t="shared" si="1"/>
        <v>0.1</v>
      </c>
      <c r="P61" s="81">
        <v>1</v>
      </c>
      <c r="Q61" s="82">
        <f t="shared" si="2"/>
        <v>0.1</v>
      </c>
      <c r="R61" s="81">
        <v>1</v>
      </c>
      <c r="S61" s="82">
        <f t="shared" si="3"/>
        <v>0.1</v>
      </c>
      <c r="T61" s="81">
        <v>1</v>
      </c>
      <c r="U61" s="82">
        <f t="shared" si="4"/>
        <v>0.1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/>
      <c r="AU61" s="4"/>
      <c r="AV61" s="3"/>
      <c r="AW61" s="3"/>
      <c r="AX61" s="3"/>
      <c r="AY61" s="3"/>
      <c r="AZ61" s="3"/>
      <c r="BA61" s="3"/>
      <c r="BB61" s="3"/>
      <c r="BC61" s="3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 spans="1:256" ht="13.8" thickBot="1" x14ac:dyDescent="0.3">
      <c r="A62" s="3"/>
      <c r="B62" s="79" t="s">
        <v>167</v>
      </c>
      <c r="C62" s="1">
        <f>Q67</f>
        <v>1.01</v>
      </c>
      <c r="D62" s="1">
        <f t="shared" si="5"/>
        <v>1.0302</v>
      </c>
      <c r="E62" s="1">
        <f t="shared" si="5"/>
        <v>1.0508040000000001</v>
      </c>
      <c r="F62" s="1">
        <f t="shared" si="5"/>
        <v>1.0718200800000002</v>
      </c>
      <c r="G62" s="1">
        <f t="shared" si="5"/>
        <v>1.0932564816000001</v>
      </c>
      <c r="H62" s="3"/>
      <c r="I62" s="3"/>
      <c r="J62" s="80">
        <v>0.25</v>
      </c>
      <c r="K62" s="284" t="s">
        <v>269</v>
      </c>
      <c r="L62" s="81"/>
      <c r="M62" s="82">
        <f>J62*L62</f>
        <v>0</v>
      </c>
      <c r="N62" s="81"/>
      <c r="O62" s="82">
        <f>N62*J62</f>
        <v>0</v>
      </c>
      <c r="P62" s="81">
        <v>1</v>
      </c>
      <c r="Q62" s="82">
        <f t="shared" si="2"/>
        <v>0.25</v>
      </c>
      <c r="R62" s="81">
        <v>1</v>
      </c>
      <c r="S62" s="82">
        <f t="shared" si="3"/>
        <v>0.25</v>
      </c>
      <c r="T62" s="81">
        <v>1</v>
      </c>
      <c r="U62" s="82">
        <f t="shared" si="4"/>
        <v>0.25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"/>
      <c r="AU62" s="4"/>
      <c r="AV62" s="3"/>
      <c r="AW62" s="3"/>
      <c r="AX62" s="3"/>
      <c r="AY62" s="3"/>
      <c r="AZ62" s="3"/>
      <c r="BA62" s="3"/>
      <c r="BB62" s="3"/>
      <c r="BC62" s="3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spans="1:256" ht="13.8" thickBot="1" x14ac:dyDescent="0.3">
      <c r="A63" s="3"/>
      <c r="B63" s="79" t="s">
        <v>168</v>
      </c>
      <c r="C63" s="2">
        <f>S67</f>
        <v>1.31</v>
      </c>
      <c r="D63" s="1">
        <f t="shared" si="5"/>
        <v>1.3362000000000001</v>
      </c>
      <c r="E63" s="1">
        <f>D63*1.02</f>
        <v>1.362924</v>
      </c>
      <c r="F63" s="1">
        <f t="shared" si="5"/>
        <v>1.39018248</v>
      </c>
      <c r="G63" s="1">
        <f t="shared" si="5"/>
        <v>1.4179861296</v>
      </c>
      <c r="H63" s="3"/>
      <c r="I63" s="3"/>
      <c r="J63" s="84">
        <v>0.05</v>
      </c>
      <c r="K63" s="286" t="s">
        <v>256</v>
      </c>
      <c r="L63" s="81">
        <v>1</v>
      </c>
      <c r="M63" s="82">
        <f>J63*L63</f>
        <v>0.05</v>
      </c>
      <c r="N63" s="81">
        <v>1</v>
      </c>
      <c r="O63" s="82">
        <f>N63*$J63</f>
        <v>0.05</v>
      </c>
      <c r="P63" s="81">
        <v>1</v>
      </c>
      <c r="Q63" s="82">
        <f t="shared" si="2"/>
        <v>0.05</v>
      </c>
      <c r="R63" s="81">
        <v>1</v>
      </c>
      <c r="S63" s="82">
        <f t="shared" si="3"/>
        <v>0.05</v>
      </c>
      <c r="T63" s="81">
        <v>1</v>
      </c>
      <c r="U63" s="82">
        <f t="shared" si="4"/>
        <v>0.05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4"/>
      <c r="AU63" s="4"/>
      <c r="AV63" s="3"/>
      <c r="AW63" s="3"/>
      <c r="AX63" s="3"/>
      <c r="AY63" s="3"/>
      <c r="AZ63" s="3"/>
      <c r="BA63" s="3"/>
      <c r="BB63" s="3"/>
      <c r="BC63" s="3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 spans="1:256" ht="13.8" thickBot="1" x14ac:dyDescent="0.3">
      <c r="A64" s="3"/>
      <c r="B64" s="292" t="s">
        <v>312</v>
      </c>
      <c r="C64" s="2">
        <f>U67</f>
        <v>1.8100000000000003</v>
      </c>
      <c r="D64" s="1">
        <f t="shared" si="5"/>
        <v>1.8462000000000003</v>
      </c>
      <c r="E64" s="1">
        <f>D64*1.02</f>
        <v>1.8831240000000002</v>
      </c>
      <c r="F64" s="1">
        <f>E64*1.02</f>
        <v>1.9207864800000003</v>
      </c>
      <c r="G64" s="1">
        <f t="shared" si="5"/>
        <v>1.9592022096000004</v>
      </c>
      <c r="H64" s="3"/>
      <c r="I64" s="3"/>
      <c r="J64" s="84"/>
      <c r="K64" s="286"/>
      <c r="L64" s="81"/>
      <c r="M64" s="82"/>
      <c r="N64" s="81"/>
      <c r="O64" s="82"/>
      <c r="P64" s="81"/>
      <c r="Q64" s="82"/>
      <c r="R64" s="81"/>
      <c r="S64" s="82"/>
      <c r="T64" s="81"/>
      <c r="U64" s="82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4"/>
      <c r="AU64" s="4"/>
      <c r="AV64" s="3"/>
      <c r="AW64" s="3"/>
      <c r="AX64" s="3"/>
      <c r="AY64" s="3"/>
      <c r="AZ64" s="3"/>
      <c r="BA64" s="3"/>
      <c r="BB64" s="3"/>
      <c r="BC64" s="3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spans="1:256" ht="13.8" thickBot="1" x14ac:dyDescent="0.3">
      <c r="A65" s="3"/>
      <c r="B65" s="370" t="s">
        <v>303</v>
      </c>
      <c r="C65" s="371"/>
      <c r="D65" s="371"/>
      <c r="E65" s="371"/>
      <c r="F65" s="371"/>
      <c r="G65" s="372"/>
      <c r="H65" s="3"/>
      <c r="I65" s="3"/>
      <c r="J65" s="84">
        <v>0.3</v>
      </c>
      <c r="K65" s="286" t="s">
        <v>258</v>
      </c>
      <c r="L65" s="81"/>
      <c r="M65" s="82">
        <f>J65*L65</f>
        <v>0</v>
      </c>
      <c r="N65" s="81"/>
      <c r="O65" s="82">
        <f>N65*$J65</f>
        <v>0</v>
      </c>
      <c r="P65" s="81"/>
      <c r="Q65" s="82">
        <f t="shared" si="2"/>
        <v>0</v>
      </c>
      <c r="R65" s="81">
        <v>1</v>
      </c>
      <c r="S65" s="82">
        <f t="shared" si="3"/>
        <v>0.3</v>
      </c>
      <c r="T65" s="81">
        <v>1</v>
      </c>
      <c r="U65" s="82">
        <f>J65*T65</f>
        <v>0.3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4"/>
      <c r="AU65" s="4"/>
      <c r="AV65" s="3"/>
      <c r="AW65" s="3"/>
      <c r="AX65" s="3"/>
      <c r="AY65" s="3"/>
      <c r="AZ65" s="3"/>
      <c r="BA65" s="3"/>
      <c r="BB65" s="3"/>
      <c r="BC65" s="3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spans="1:256" ht="13.8" thickBot="1" x14ac:dyDescent="0.3">
      <c r="A66" s="3"/>
      <c r="B66" s="334" t="s">
        <v>298</v>
      </c>
      <c r="C66" s="335"/>
      <c r="D66" s="335"/>
      <c r="E66" s="335"/>
      <c r="F66" s="335"/>
      <c r="G66" s="336"/>
      <c r="H66" s="3"/>
      <c r="I66" s="3"/>
      <c r="J66" s="85">
        <v>0.01</v>
      </c>
      <c r="K66" s="287" t="s">
        <v>304</v>
      </c>
      <c r="L66" s="81">
        <v>1</v>
      </c>
      <c r="M66" s="82">
        <f>J66*L66</f>
        <v>0.01</v>
      </c>
      <c r="N66" s="81">
        <v>1</v>
      </c>
      <c r="O66" s="82">
        <f>N66*$J66</f>
        <v>0.01</v>
      </c>
      <c r="P66" s="81">
        <v>1</v>
      </c>
      <c r="Q66" s="82">
        <f t="shared" si="2"/>
        <v>0.01</v>
      </c>
      <c r="R66" s="81">
        <v>1</v>
      </c>
      <c r="S66" s="82">
        <f t="shared" si="3"/>
        <v>0.01</v>
      </c>
      <c r="T66" s="81">
        <v>1</v>
      </c>
      <c r="U66" s="82">
        <f>J66*T66</f>
        <v>0.01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4"/>
      <c r="AU66" s="4"/>
      <c r="AV66" s="3"/>
      <c r="AW66" s="3"/>
      <c r="AX66" s="3"/>
      <c r="AY66" s="3"/>
      <c r="AZ66" s="3"/>
      <c r="BA66" s="3"/>
      <c r="BB66" s="3"/>
      <c r="BC66" s="3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</row>
    <row r="67" spans="1:256" ht="13.8" thickBot="1" x14ac:dyDescent="0.3">
      <c r="A67" s="3"/>
      <c r="B67" s="352" t="s">
        <v>299</v>
      </c>
      <c r="C67" s="353"/>
      <c r="D67" s="353"/>
      <c r="E67" s="353"/>
      <c r="F67" s="353"/>
      <c r="G67" s="354"/>
      <c r="H67" s="3"/>
      <c r="I67" s="3"/>
      <c r="J67" s="86"/>
      <c r="K67" s="270" t="s">
        <v>257</v>
      </c>
      <c r="L67" s="87"/>
      <c r="M67" s="88">
        <f>SUM(M50:M66)</f>
        <v>0.31</v>
      </c>
      <c r="N67" s="87"/>
      <c r="O67" s="88">
        <f>SUM(O50:O66)</f>
        <v>0.69000000000000006</v>
      </c>
      <c r="P67" s="87"/>
      <c r="Q67" s="88">
        <f>SUM(Q50:Q66)</f>
        <v>1.01</v>
      </c>
      <c r="R67" s="87"/>
      <c r="S67" s="88">
        <f>SUM(S50:S66)</f>
        <v>1.31</v>
      </c>
      <c r="T67" s="87"/>
      <c r="U67" s="88">
        <f>SUM(U50:U66)</f>
        <v>1.8100000000000003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4"/>
      <c r="AU67" s="4"/>
      <c r="AV67" s="3"/>
      <c r="AW67" s="3"/>
      <c r="AX67" s="3"/>
      <c r="AY67" s="3"/>
      <c r="AZ67" s="3"/>
      <c r="BA67" s="3"/>
      <c r="BB67" s="3"/>
      <c r="BC67" s="3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spans="1:256" x14ac:dyDescent="0.25">
      <c r="A68" s="3"/>
      <c r="B68" s="89"/>
      <c r="C68" s="89"/>
      <c r="D68" s="90"/>
      <c r="E68" s="90"/>
      <c r="F68" s="90"/>
      <c r="G68" s="90"/>
      <c r="H68" s="3"/>
      <c r="I68" s="3"/>
      <c r="J68" s="3"/>
      <c r="K68" s="27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/>
      <c r="AU68" s="4"/>
      <c r="AV68" s="3"/>
      <c r="AW68" s="3"/>
      <c r="AX68" s="3"/>
      <c r="AY68" s="3"/>
      <c r="AZ68" s="3"/>
      <c r="BA68" s="3"/>
      <c r="BB68" s="3"/>
      <c r="BC68" s="3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 spans="1:25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27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4"/>
      <c r="AU69" s="4"/>
      <c r="AV69" s="3"/>
      <c r="AW69" s="3"/>
      <c r="AX69" s="3"/>
      <c r="AY69" s="3"/>
      <c r="AZ69" s="3"/>
      <c r="BA69" s="3"/>
      <c r="BB69" s="3"/>
      <c r="BC69" s="3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  <row r="70" spans="1:256" x14ac:dyDescent="0.25">
      <c r="A70" s="3"/>
      <c r="B70" s="3"/>
      <c r="C70" s="3"/>
      <c r="D70" s="3"/>
      <c r="E70" s="3"/>
      <c r="F70" s="3"/>
      <c r="G70" s="256" t="s">
        <v>116</v>
      </c>
      <c r="H70" s="3"/>
      <c r="I70" s="3"/>
      <c r="J70" s="3"/>
      <c r="K70" s="27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4"/>
      <c r="AU70" s="4"/>
      <c r="AV70" s="3"/>
      <c r="AW70" s="3"/>
      <c r="AX70" s="3"/>
      <c r="AY70" s="3"/>
      <c r="AZ70" s="3"/>
      <c r="BA70" s="3"/>
      <c r="BB70" s="3"/>
      <c r="BC70" s="3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1" spans="1:25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27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4"/>
      <c r="AU71" s="4"/>
      <c r="AV71" s="3"/>
      <c r="AW71" s="3"/>
      <c r="AX71" s="3"/>
      <c r="AY71" s="3"/>
      <c r="AZ71" s="3"/>
      <c r="BA71" s="3"/>
      <c r="BB71" s="3"/>
      <c r="BC71" s="3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  <row r="72" spans="1:256" ht="17.399999999999999" x14ac:dyDescent="0.3">
      <c r="A72" s="3"/>
      <c r="B72" s="165" t="s">
        <v>121</v>
      </c>
      <c r="C72" s="327"/>
      <c r="D72" s="327"/>
      <c r="E72" s="327"/>
      <c r="F72" s="327"/>
      <c r="G72" s="327"/>
      <c r="H72" s="3"/>
      <c r="I72" s="3"/>
      <c r="J72" s="3"/>
      <c r="K72" s="27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4"/>
      <c r="AU72" s="4"/>
      <c r="AV72" s="3"/>
      <c r="AW72" s="3"/>
      <c r="AX72" s="3"/>
      <c r="AY72" s="3"/>
      <c r="AZ72" s="3"/>
      <c r="BA72" s="3"/>
      <c r="BB72" s="3"/>
      <c r="BC72" s="3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</row>
    <row r="73" spans="1:256" ht="18" thickBot="1" x14ac:dyDescent="0.35">
      <c r="A73" s="7"/>
      <c r="B73" s="8"/>
      <c r="C73" s="9"/>
      <c r="D73" s="9"/>
      <c r="E73" s="9"/>
      <c r="F73" s="9"/>
      <c r="G73" s="9"/>
      <c r="H73" s="3"/>
      <c r="I73" s="3"/>
      <c r="J73" s="3"/>
      <c r="K73" s="27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4"/>
      <c r="AU73" s="4"/>
      <c r="AV73" s="3"/>
      <c r="AW73" s="3"/>
      <c r="AX73" s="3"/>
      <c r="AY73" s="3"/>
      <c r="AZ73" s="3"/>
      <c r="BA73" s="3"/>
      <c r="BB73" s="3"/>
      <c r="BC73" s="3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</row>
    <row r="74" spans="1:256" x14ac:dyDescent="0.25">
      <c r="A74" s="7"/>
      <c r="B74" s="10" t="s">
        <v>0</v>
      </c>
      <c r="C74" s="355" t="str">
        <f>CUSTOMER</f>
        <v>Brainard Holdings LLC - Car Wash Café</v>
      </c>
      <c r="D74" s="356"/>
      <c r="E74" s="357"/>
      <c r="F74" s="7"/>
      <c r="G74" s="7"/>
      <c r="H74" s="3"/>
      <c r="I74" s="3"/>
      <c r="J74" s="3"/>
      <c r="K74" s="27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4"/>
      <c r="AU74" s="4"/>
      <c r="AV74" s="3"/>
      <c r="AW74" s="3"/>
      <c r="AX74" s="3"/>
      <c r="AY74" s="3"/>
      <c r="AZ74" s="3"/>
      <c r="BA74" s="3"/>
      <c r="BB74" s="3"/>
      <c r="BC74" s="3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</row>
    <row r="75" spans="1:256" ht="13.8" thickBot="1" x14ac:dyDescent="0.3">
      <c r="A75" s="7"/>
      <c r="B75" s="10" t="s">
        <v>1</v>
      </c>
      <c r="C75" s="400" t="str">
        <f>ADDRESS</f>
        <v>3050 N University Dr., Sunrise, FL 33322</v>
      </c>
      <c r="D75" s="381"/>
      <c r="E75" s="382"/>
      <c r="F75" s="7"/>
      <c r="G75" s="7"/>
      <c r="H75" s="3"/>
      <c r="I75" s="3"/>
      <c r="J75" s="3"/>
      <c r="K75" s="27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4"/>
      <c r="AU75" s="4"/>
      <c r="AV75" s="3"/>
      <c r="AW75" s="3"/>
      <c r="AX75" s="3"/>
      <c r="AY75" s="3"/>
      <c r="AZ75" s="3"/>
      <c r="BA75" s="3"/>
      <c r="BB75" s="3"/>
      <c r="BC75" s="3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</row>
    <row r="76" spans="1:256" x14ac:dyDescent="0.25">
      <c r="A76" s="7"/>
      <c r="B76" s="7"/>
      <c r="C76" s="7"/>
      <c r="D76" s="7"/>
      <c r="E76" s="7"/>
      <c r="F76" s="7"/>
      <c r="G76" s="12" t="s">
        <v>176</v>
      </c>
      <c r="H76" s="3"/>
      <c r="I76" s="3"/>
      <c r="J76" s="3"/>
      <c r="K76" s="27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4"/>
      <c r="AU76" s="4"/>
      <c r="AV76" s="3"/>
      <c r="AW76" s="3"/>
      <c r="AX76" s="3"/>
      <c r="AY76" s="3"/>
      <c r="AZ76" s="3"/>
      <c r="BA76" s="3"/>
      <c r="BB76" s="3"/>
      <c r="BC76" s="3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</row>
    <row r="77" spans="1:256" x14ac:dyDescent="0.25">
      <c r="A77" s="7"/>
      <c r="B77" s="377" t="s">
        <v>51</v>
      </c>
      <c r="C77" s="377"/>
      <c r="D77" s="377"/>
      <c r="E77" s="377"/>
      <c r="F77" s="377"/>
      <c r="G77" s="7"/>
      <c r="H77" s="3"/>
      <c r="I77" s="3"/>
      <c r="J77" s="3"/>
      <c r="K77" s="27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4"/>
      <c r="AU77" s="4"/>
      <c r="AV77" s="3"/>
      <c r="AW77" s="3"/>
      <c r="AX77" s="3"/>
      <c r="AY77" s="3"/>
      <c r="AZ77" s="3"/>
      <c r="BA77" s="3"/>
      <c r="BB77" s="3"/>
      <c r="BC77" s="3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</row>
    <row r="78" spans="1:256" ht="13.8" thickBot="1" x14ac:dyDescent="0.3">
      <c r="A78" s="7"/>
      <c r="B78" s="351" t="s">
        <v>4</v>
      </c>
      <c r="C78" s="351"/>
      <c r="D78" s="351"/>
      <c r="E78" s="351"/>
      <c r="F78" s="351"/>
      <c r="G78" s="7"/>
      <c r="H78" s="3"/>
      <c r="I78" s="3"/>
      <c r="J78" s="3"/>
      <c r="K78" s="27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4"/>
      <c r="AU78" s="4"/>
      <c r="AV78" s="3"/>
      <c r="AW78" s="3"/>
      <c r="AX78" s="3"/>
      <c r="AY78" s="3"/>
      <c r="AZ78" s="3"/>
      <c r="BA78" s="3"/>
      <c r="BB78" s="3"/>
      <c r="BC78" s="3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</row>
    <row r="79" spans="1:256" x14ac:dyDescent="0.25">
      <c r="A79" s="7"/>
      <c r="B79" s="92" t="s">
        <v>2</v>
      </c>
      <c r="C79" s="19" t="s">
        <v>5</v>
      </c>
      <c r="D79" s="19" t="s">
        <v>6</v>
      </c>
      <c r="E79" s="19" t="s">
        <v>7</v>
      </c>
      <c r="F79" s="19" t="s">
        <v>8</v>
      </c>
      <c r="G79" s="93" t="s">
        <v>9</v>
      </c>
      <c r="H79" s="3"/>
      <c r="I79" s="3"/>
      <c r="J79" s="3"/>
      <c r="K79" s="27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4"/>
      <c r="AU79" s="4"/>
      <c r="AV79" s="3"/>
      <c r="AW79" s="3"/>
      <c r="AX79" s="3"/>
      <c r="AY79" s="3"/>
      <c r="AZ79" s="3"/>
      <c r="BA79" s="3"/>
      <c r="BB79" s="3"/>
      <c r="BC79" s="3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</row>
    <row r="80" spans="1:256" ht="13.8" thickBot="1" x14ac:dyDescent="0.3">
      <c r="A80" s="259">
        <f>C81*0.15</f>
        <v>0.15</v>
      </c>
      <c r="B80" s="92" t="s">
        <v>3</v>
      </c>
      <c r="C80" s="7"/>
      <c r="D80" s="94"/>
      <c r="E80" s="7"/>
      <c r="F80" s="19"/>
      <c r="G80" s="95" t="s">
        <v>10</v>
      </c>
      <c r="H80" s="3"/>
      <c r="I80" s="3"/>
      <c r="J80" s="3"/>
      <c r="K80" s="27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4"/>
      <c r="AU80" s="4"/>
      <c r="AV80" s="3"/>
      <c r="AW80" s="3"/>
      <c r="AX80" s="3"/>
      <c r="AY80" s="3"/>
      <c r="AZ80" s="3"/>
      <c r="BA80" s="3"/>
      <c r="BB80" s="3"/>
      <c r="BC80" s="3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</row>
    <row r="81" spans="1:256" ht="13.8" thickBot="1" x14ac:dyDescent="0.3">
      <c r="A81" s="259">
        <f>D81*0.1</f>
        <v>0</v>
      </c>
      <c r="B81" s="21"/>
      <c r="C81" s="96">
        <v>1</v>
      </c>
      <c r="D81" s="96"/>
      <c r="E81" s="96"/>
      <c r="F81" s="96"/>
      <c r="G81" s="97">
        <f>SUM(A80:A82)</f>
        <v>0.15</v>
      </c>
      <c r="H81" s="3"/>
      <c r="I81" s="3"/>
      <c r="J81" s="3"/>
      <c r="K81" s="27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4"/>
      <c r="AU81" s="4"/>
      <c r="AV81" s="3"/>
      <c r="AW81" s="3"/>
      <c r="AX81" s="3"/>
      <c r="AY81" s="3"/>
      <c r="AZ81" s="3"/>
      <c r="BA81" s="3"/>
      <c r="BB81" s="3"/>
      <c r="BC81" s="3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</row>
    <row r="82" spans="1:256" x14ac:dyDescent="0.25">
      <c r="A82" s="259">
        <f>0.05*E81</f>
        <v>0</v>
      </c>
      <c r="B82" s="92" t="s">
        <v>13</v>
      </c>
      <c r="C82" s="19" t="s">
        <v>322</v>
      </c>
      <c r="D82" s="19" t="s">
        <v>323</v>
      </c>
      <c r="E82" s="19" t="s">
        <v>322</v>
      </c>
      <c r="F82" s="19" t="s">
        <v>321</v>
      </c>
      <c r="G82" s="95" t="s">
        <v>9</v>
      </c>
      <c r="H82" s="3"/>
      <c r="I82" s="3"/>
      <c r="J82" s="3"/>
      <c r="K82" s="27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4"/>
      <c r="AU82" s="4"/>
      <c r="AV82" s="3"/>
      <c r="AW82" s="3"/>
      <c r="AX82" s="3"/>
      <c r="AY82" s="3"/>
      <c r="AZ82" s="3"/>
      <c r="BA82" s="3"/>
      <c r="BB82" s="3"/>
      <c r="BC82" s="3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 spans="1:256" ht="13.8" thickBot="1" x14ac:dyDescent="0.3">
      <c r="A83" s="325">
        <f>F84*-0.025</f>
        <v>-2.5000000000000001E-2</v>
      </c>
      <c r="B83" s="92" t="s">
        <v>12</v>
      </c>
      <c r="C83" s="18" t="s">
        <v>15</v>
      </c>
      <c r="D83" s="18" t="s">
        <v>15</v>
      </c>
      <c r="E83" s="18" t="s">
        <v>16</v>
      </c>
      <c r="F83" s="18" t="s">
        <v>16</v>
      </c>
      <c r="G83" s="95" t="s">
        <v>10</v>
      </c>
      <c r="H83" s="3"/>
      <c r="I83" s="3"/>
      <c r="J83" s="3"/>
      <c r="K83" s="27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4"/>
      <c r="AU83" s="4"/>
      <c r="AV83" s="3"/>
      <c r="AW83" s="3"/>
      <c r="AX83" s="3"/>
      <c r="AY83" s="3"/>
      <c r="AZ83" s="3"/>
      <c r="BA83" s="3"/>
      <c r="BB83" s="3"/>
      <c r="BC83" s="3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</row>
    <row r="84" spans="1:256" ht="13.8" thickBot="1" x14ac:dyDescent="0.3">
      <c r="A84" s="326">
        <f>C84*0.15</f>
        <v>0</v>
      </c>
      <c r="B84" s="21"/>
      <c r="C84" s="98"/>
      <c r="D84" s="98"/>
      <c r="E84" s="98"/>
      <c r="F84" s="98">
        <v>1</v>
      </c>
      <c r="G84" s="97">
        <f>SUM(A83:A86)</f>
        <v>-2.5000000000000001E-2</v>
      </c>
      <c r="H84" s="3"/>
      <c r="I84" s="3"/>
      <c r="J84" s="3"/>
      <c r="K84" s="27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4"/>
      <c r="AU84" s="4"/>
      <c r="AV84" s="3"/>
      <c r="AW84" s="3"/>
      <c r="AX84" s="3"/>
      <c r="AY84" s="3"/>
      <c r="AZ84" s="3"/>
      <c r="BA84" s="3"/>
      <c r="BB84" s="3"/>
      <c r="BC84" s="3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</row>
    <row r="85" spans="1:256" x14ac:dyDescent="0.25">
      <c r="A85" s="326">
        <f>D84*0.125</f>
        <v>0</v>
      </c>
      <c r="B85" s="99" t="s">
        <v>19</v>
      </c>
      <c r="C85" s="19" t="s">
        <v>20</v>
      </c>
      <c r="D85" s="19" t="s">
        <v>20</v>
      </c>
      <c r="E85" s="19" t="s">
        <v>20</v>
      </c>
      <c r="F85" s="19" t="s">
        <v>14</v>
      </c>
      <c r="G85" s="95" t="s">
        <v>9</v>
      </c>
      <c r="H85" s="3"/>
      <c r="I85" s="3"/>
      <c r="J85" s="3"/>
      <c r="K85" s="27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4"/>
      <c r="AU85" s="4"/>
      <c r="AV85" s="3"/>
      <c r="AW85" s="3"/>
      <c r="AX85" s="3"/>
      <c r="AY85" s="3"/>
      <c r="AZ85" s="3"/>
      <c r="BA85" s="3"/>
      <c r="BB85" s="3"/>
      <c r="BC85" s="3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</row>
    <row r="86" spans="1:256" ht="13.8" thickBot="1" x14ac:dyDescent="0.3">
      <c r="A86" s="326">
        <f>0.075*E84</f>
        <v>0</v>
      </c>
      <c r="B86" s="92" t="s">
        <v>17</v>
      </c>
      <c r="C86" s="9" t="s">
        <v>21</v>
      </c>
      <c r="D86" s="18">
        <v>65</v>
      </c>
      <c r="E86" s="18">
        <v>60</v>
      </c>
      <c r="F86" s="9" t="s">
        <v>22</v>
      </c>
      <c r="G86" s="95" t="s">
        <v>10</v>
      </c>
      <c r="H86" s="3"/>
      <c r="I86" s="3"/>
      <c r="J86" s="3"/>
      <c r="K86" s="27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/>
      <c r="AU86" s="4"/>
      <c r="AV86" s="3"/>
      <c r="AW86" s="3"/>
      <c r="AX86" s="3"/>
      <c r="AY86" s="3"/>
      <c r="AZ86" s="3"/>
      <c r="BA86" s="3"/>
      <c r="BB86" s="3"/>
      <c r="BC86" s="3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</row>
    <row r="87" spans="1:256" ht="13.8" thickBot="1" x14ac:dyDescent="0.3">
      <c r="A87" s="260">
        <f>0.05*F84</f>
        <v>0.05</v>
      </c>
      <c r="B87" s="92" t="s">
        <v>18</v>
      </c>
      <c r="C87" s="100">
        <v>1</v>
      </c>
      <c r="D87" s="100"/>
      <c r="E87" s="100"/>
      <c r="F87" s="100"/>
      <c r="G87" s="97">
        <f>SUM(A88:A90)</f>
        <v>0.15</v>
      </c>
      <c r="H87" s="3"/>
      <c r="I87" s="3"/>
      <c r="J87" s="3"/>
      <c r="K87" s="27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4"/>
      <c r="AU87" s="4"/>
      <c r="AV87" s="3"/>
      <c r="AW87" s="3"/>
      <c r="AX87" s="3"/>
      <c r="AY87" s="3"/>
      <c r="AZ87" s="3"/>
      <c r="BA87" s="3"/>
      <c r="BB87" s="3"/>
      <c r="BC87" s="3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</row>
    <row r="88" spans="1:256" x14ac:dyDescent="0.25">
      <c r="A88" s="259">
        <f>C87*0.15</f>
        <v>0.15</v>
      </c>
      <c r="B88" s="99" t="s">
        <v>11</v>
      </c>
      <c r="C88" s="19" t="s">
        <v>23</v>
      </c>
      <c r="D88" s="19" t="s">
        <v>23</v>
      </c>
      <c r="E88" s="19" t="s">
        <v>26</v>
      </c>
      <c r="F88" s="19" t="s">
        <v>26</v>
      </c>
      <c r="G88" s="95" t="s">
        <v>9</v>
      </c>
      <c r="H88" s="3"/>
      <c r="I88" s="3"/>
      <c r="J88" s="3"/>
      <c r="K88" s="27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4"/>
      <c r="AU88" s="4"/>
      <c r="AV88" s="3"/>
      <c r="AW88" s="3"/>
      <c r="AX88" s="3"/>
      <c r="AY88" s="3"/>
      <c r="AZ88" s="3"/>
      <c r="BA88" s="3"/>
      <c r="BB88" s="3"/>
      <c r="BC88" s="3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</row>
    <row r="89" spans="1:256" ht="13.8" thickBot="1" x14ac:dyDescent="0.3">
      <c r="A89" s="259">
        <f>D87*0.1</f>
        <v>0</v>
      </c>
      <c r="B89" s="92" t="s">
        <v>9</v>
      </c>
      <c r="C89" s="9" t="s">
        <v>24</v>
      </c>
      <c r="D89" s="18" t="s">
        <v>25</v>
      </c>
      <c r="E89" s="9" t="s">
        <v>27</v>
      </c>
      <c r="F89" s="18" t="s">
        <v>28</v>
      </c>
      <c r="G89" s="95" t="s">
        <v>10</v>
      </c>
      <c r="H89" s="3"/>
      <c r="I89" s="3"/>
      <c r="J89" s="3"/>
      <c r="K89" s="27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4"/>
      <c r="AU89" s="4"/>
      <c r="AV89" s="3"/>
      <c r="AW89" s="3"/>
      <c r="AX89" s="3"/>
      <c r="AY89" s="3"/>
      <c r="AZ89" s="3"/>
      <c r="BA89" s="3"/>
      <c r="BB89" s="3"/>
      <c r="BC89" s="3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spans="1:256" ht="13.8" thickBot="1" x14ac:dyDescent="0.3">
      <c r="A90" s="259">
        <f>0.025*E87</f>
        <v>0</v>
      </c>
      <c r="B90" s="21"/>
      <c r="C90" s="100"/>
      <c r="D90" s="100"/>
      <c r="E90" s="100">
        <v>1</v>
      </c>
      <c r="F90" s="100"/>
      <c r="G90" s="97">
        <f>SUM(A92:A94)</f>
        <v>7.4999999999999997E-2</v>
      </c>
      <c r="H90" s="3"/>
      <c r="I90" s="3"/>
      <c r="J90" s="3"/>
      <c r="K90" s="27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4"/>
      <c r="AU90" s="4"/>
      <c r="AV90" s="3"/>
      <c r="AW90" s="3"/>
      <c r="AX90" s="3"/>
      <c r="AY90" s="3"/>
      <c r="AZ90" s="3"/>
      <c r="BA90" s="3"/>
      <c r="BB90" s="3"/>
      <c r="BC90" s="3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</row>
    <row r="91" spans="1:256" x14ac:dyDescent="0.25">
      <c r="A91" s="260"/>
      <c r="B91" s="99"/>
      <c r="C91" s="15"/>
      <c r="D91" s="19" t="s">
        <v>33</v>
      </c>
      <c r="E91" s="15" t="s">
        <v>32</v>
      </c>
      <c r="F91" s="15" t="s">
        <v>37</v>
      </c>
      <c r="G91" s="93"/>
      <c r="H91" s="3"/>
      <c r="I91" s="3"/>
      <c r="J91" s="3"/>
      <c r="K91" s="27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4"/>
      <c r="AU91" s="4"/>
      <c r="AV91" s="3"/>
      <c r="AW91" s="3"/>
      <c r="AX91" s="3"/>
      <c r="AY91" s="3"/>
      <c r="AZ91" s="3"/>
      <c r="BA91" s="3"/>
      <c r="BB91" s="3"/>
      <c r="BC91" s="3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</row>
    <row r="92" spans="1:256" x14ac:dyDescent="0.25">
      <c r="A92" s="259">
        <f>C90*0.15</f>
        <v>0</v>
      </c>
      <c r="B92" s="92" t="s">
        <v>9</v>
      </c>
      <c r="C92" s="19" t="s">
        <v>30</v>
      </c>
      <c r="D92" s="9" t="s">
        <v>34</v>
      </c>
      <c r="E92" s="19" t="s">
        <v>31</v>
      </c>
      <c r="F92" s="19" t="s">
        <v>38</v>
      </c>
      <c r="G92" s="95" t="s">
        <v>9</v>
      </c>
      <c r="H92" s="3"/>
      <c r="I92" s="3"/>
      <c r="J92" s="3"/>
      <c r="K92" s="27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4"/>
      <c r="AU92" s="4"/>
      <c r="AV92" s="3"/>
      <c r="AW92" s="3"/>
      <c r="AX92" s="3"/>
      <c r="AY92" s="3"/>
      <c r="AZ92" s="3"/>
      <c r="BA92" s="3"/>
      <c r="BB92" s="3"/>
      <c r="BC92" s="3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</row>
    <row r="93" spans="1:256" ht="13.8" thickBot="1" x14ac:dyDescent="0.3">
      <c r="A93" s="259">
        <f>D90*0.125</f>
        <v>0</v>
      </c>
      <c r="B93" s="92" t="s">
        <v>29</v>
      </c>
      <c r="C93" s="9" t="s">
        <v>31</v>
      </c>
      <c r="D93" s="101" t="s">
        <v>35</v>
      </c>
      <c r="E93" s="102" t="s">
        <v>36</v>
      </c>
      <c r="F93" s="19" t="s">
        <v>39</v>
      </c>
      <c r="G93" s="95" t="s">
        <v>10</v>
      </c>
      <c r="H93" s="3"/>
      <c r="I93" s="3"/>
      <c r="J93" s="3"/>
      <c r="K93" s="27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4"/>
      <c r="AU93" s="4"/>
      <c r="AV93" s="3"/>
      <c r="AW93" s="3"/>
      <c r="AX93" s="3"/>
      <c r="AY93" s="3"/>
      <c r="AZ93" s="3"/>
      <c r="BA93" s="3"/>
      <c r="BB93" s="3"/>
      <c r="BC93" s="3"/>
    </row>
    <row r="94" spans="1:256" ht="13.8" thickBot="1" x14ac:dyDescent="0.3">
      <c r="A94" s="259">
        <f>0.075*E90</f>
        <v>7.4999999999999997E-2</v>
      </c>
      <c r="B94" s="21"/>
      <c r="C94" s="100"/>
      <c r="D94" s="100"/>
      <c r="E94" s="100">
        <v>1</v>
      </c>
      <c r="F94" s="100"/>
      <c r="G94" s="97">
        <f>SUM(A96:A98)</f>
        <v>0.05</v>
      </c>
      <c r="H94" s="3"/>
      <c r="I94" s="3"/>
      <c r="J94" s="3"/>
      <c r="K94" s="27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4"/>
      <c r="AU94" s="4"/>
      <c r="AV94" s="3"/>
      <c r="AW94" s="3"/>
      <c r="AX94" s="3"/>
      <c r="AY94" s="3"/>
      <c r="AZ94" s="3"/>
      <c r="BA94" s="3"/>
      <c r="BB94" s="3"/>
      <c r="BC94" s="3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</row>
    <row r="95" spans="1:256" x14ac:dyDescent="0.25">
      <c r="A95" s="260">
        <f>0.05*F90</f>
        <v>0</v>
      </c>
      <c r="B95" s="99" t="s">
        <v>126</v>
      </c>
      <c r="C95" s="19" t="s">
        <v>20</v>
      </c>
      <c r="D95" s="19" t="s">
        <v>14</v>
      </c>
      <c r="E95" s="19" t="s">
        <v>14</v>
      </c>
      <c r="F95" s="19" t="s">
        <v>14</v>
      </c>
      <c r="G95" s="95" t="s">
        <v>9</v>
      </c>
      <c r="H95" s="3"/>
      <c r="I95" s="3"/>
      <c r="J95" s="3"/>
      <c r="K95" s="27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4"/>
      <c r="AU95" s="4"/>
      <c r="AV95" s="3"/>
      <c r="AW95" s="3"/>
      <c r="AX95" s="3"/>
      <c r="AY95" s="3"/>
      <c r="AZ95" s="3"/>
      <c r="BA95" s="3"/>
      <c r="BB95" s="3"/>
      <c r="BC95" s="3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</row>
    <row r="96" spans="1:256" ht="13.8" thickBot="1" x14ac:dyDescent="0.3">
      <c r="A96" s="259">
        <f>C94*0.15</f>
        <v>0</v>
      </c>
      <c r="B96" s="92" t="s">
        <v>40</v>
      </c>
      <c r="C96" s="9" t="s">
        <v>41</v>
      </c>
      <c r="D96" s="18" t="s">
        <v>41</v>
      </c>
      <c r="E96" s="9" t="s">
        <v>42</v>
      </c>
      <c r="F96" s="19" t="s">
        <v>50</v>
      </c>
      <c r="G96" s="95" t="s">
        <v>10</v>
      </c>
      <c r="H96" s="3"/>
      <c r="I96" s="3"/>
      <c r="J96" s="3"/>
      <c r="K96" s="27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4"/>
      <c r="AU96" s="4"/>
      <c r="AV96" s="3"/>
      <c r="AW96" s="3"/>
      <c r="AX96" s="3"/>
      <c r="AY96" s="3"/>
      <c r="AZ96" s="3"/>
      <c r="BA96" s="3"/>
      <c r="BB96" s="3"/>
      <c r="BC96" s="3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  <row r="97" spans="1:256" ht="13.8" thickBot="1" x14ac:dyDescent="0.3">
      <c r="A97" s="259">
        <f>D94*0.1</f>
        <v>0</v>
      </c>
      <c r="B97" s="21" t="s">
        <v>2</v>
      </c>
      <c r="C97" s="100"/>
      <c r="D97" s="100"/>
      <c r="E97" s="100">
        <v>1</v>
      </c>
      <c r="F97" s="100"/>
      <c r="G97" s="97">
        <f>SUM(A100:A102)</f>
        <v>7.4999999999999997E-2</v>
      </c>
      <c r="H97" s="3"/>
      <c r="I97" s="3"/>
      <c r="J97" s="3"/>
      <c r="K97" s="27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4"/>
      <c r="AU97" s="4"/>
      <c r="AV97" s="3"/>
      <c r="AW97" s="3"/>
      <c r="AX97" s="3"/>
      <c r="AY97" s="3"/>
      <c r="AZ97" s="3"/>
      <c r="BA97" s="3"/>
      <c r="BB97" s="3"/>
      <c r="BC97" s="3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</row>
    <row r="98" spans="1:256" x14ac:dyDescent="0.25">
      <c r="A98" s="259">
        <f>0.05*E94</f>
        <v>0.05</v>
      </c>
      <c r="B98" s="103" t="s">
        <v>122</v>
      </c>
      <c r="C98" s="19" t="s">
        <v>20</v>
      </c>
      <c r="D98" s="19" t="s">
        <v>14</v>
      </c>
      <c r="E98" s="19" t="s">
        <v>14</v>
      </c>
      <c r="F98" s="19" t="s">
        <v>316</v>
      </c>
      <c r="G98" s="95" t="s">
        <v>9</v>
      </c>
      <c r="H98" s="3"/>
      <c r="I98" s="3"/>
      <c r="J98" s="3"/>
      <c r="K98" s="27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4"/>
      <c r="AU98" s="4"/>
      <c r="AV98" s="3"/>
      <c r="AW98" s="3"/>
      <c r="AX98" s="3"/>
      <c r="AY98" s="3"/>
      <c r="AZ98" s="3"/>
      <c r="BA98" s="3"/>
      <c r="BB98" s="3"/>
      <c r="BC98" s="3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</row>
    <row r="99" spans="1:256" ht="13.8" thickBot="1" x14ac:dyDescent="0.3">
      <c r="A99" s="260"/>
      <c r="B99" s="92" t="s">
        <v>44</v>
      </c>
      <c r="C99" s="9" t="s">
        <v>41</v>
      </c>
      <c r="D99" s="18" t="s">
        <v>41</v>
      </c>
      <c r="E99" s="9" t="s">
        <v>315</v>
      </c>
      <c r="F99" s="19"/>
      <c r="G99" s="95" t="s">
        <v>10</v>
      </c>
      <c r="H99" s="3"/>
      <c r="I99" s="3"/>
      <c r="J99" s="3"/>
      <c r="K99" s="27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4"/>
      <c r="AU99" s="4"/>
      <c r="AV99" s="3"/>
      <c r="AW99" s="3"/>
      <c r="AX99" s="3"/>
      <c r="AY99" s="3"/>
      <c r="AZ99" s="3"/>
      <c r="BA99" s="3"/>
      <c r="BB99" s="3"/>
      <c r="BC99" s="3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</row>
    <row r="100" spans="1:256" ht="13.8" thickBot="1" x14ac:dyDescent="0.3">
      <c r="A100" s="259">
        <f>C97*0.15</f>
        <v>0</v>
      </c>
      <c r="B100" s="21"/>
      <c r="C100" s="100"/>
      <c r="D100" s="100"/>
      <c r="E100" s="100">
        <v>1</v>
      </c>
      <c r="F100" s="100"/>
      <c r="G100" s="97">
        <f>SUM(A104:A107)</f>
        <v>0.05</v>
      </c>
      <c r="H100" s="3"/>
      <c r="I100" s="3"/>
      <c r="J100" s="3"/>
      <c r="K100" s="27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4"/>
      <c r="AU100" s="4"/>
      <c r="AV100" s="3"/>
      <c r="AW100" s="3"/>
      <c r="AX100" s="3"/>
      <c r="AY100" s="3"/>
      <c r="AZ100" s="3"/>
      <c r="BA100" s="3"/>
      <c r="BB100" s="3"/>
      <c r="BC100" s="3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</row>
    <row r="101" spans="1:256" x14ac:dyDescent="0.25">
      <c r="A101" s="259">
        <f>D97*0.125</f>
        <v>0</v>
      </c>
      <c r="B101" s="92" t="s">
        <v>43</v>
      </c>
      <c r="C101" s="19"/>
      <c r="D101" s="19"/>
      <c r="E101" s="19"/>
      <c r="F101" s="19"/>
      <c r="G101" s="95" t="s">
        <v>9</v>
      </c>
      <c r="H101" s="3"/>
      <c r="I101" s="3"/>
      <c r="J101" s="3"/>
      <c r="K101" s="27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4"/>
      <c r="AU101" s="4"/>
      <c r="AV101" s="3"/>
      <c r="AW101" s="3"/>
      <c r="AX101" s="3"/>
      <c r="AY101" s="3"/>
      <c r="AZ101" s="3"/>
      <c r="BA101" s="3"/>
      <c r="BB101" s="3"/>
      <c r="BC101" s="3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 spans="1:256" ht="13.8" thickBot="1" x14ac:dyDescent="0.3">
      <c r="A102" s="259">
        <f>0.075*E97</f>
        <v>7.4999999999999997E-2</v>
      </c>
      <c r="B102" s="92" t="s">
        <v>309</v>
      </c>
      <c r="C102" s="9" t="s">
        <v>128</v>
      </c>
      <c r="D102" s="18">
        <v>2</v>
      </c>
      <c r="E102" s="19">
        <v>1</v>
      </c>
      <c r="F102" s="251" t="s">
        <v>307</v>
      </c>
      <c r="G102" s="95" t="s">
        <v>10</v>
      </c>
      <c r="H102" s="3"/>
      <c r="I102" s="3"/>
      <c r="J102" s="3"/>
      <c r="K102" s="27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4"/>
      <c r="AU102" s="4"/>
      <c r="AV102" s="3"/>
      <c r="AW102" s="3"/>
      <c r="AX102" s="3"/>
      <c r="AY102" s="3"/>
      <c r="AZ102" s="3"/>
      <c r="BA102" s="3"/>
      <c r="BB102" s="3"/>
      <c r="BC102" s="3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</row>
    <row r="103" spans="1:256" ht="13.8" thickBot="1" x14ac:dyDescent="0.3">
      <c r="A103" s="260">
        <f>0.05*F97</f>
        <v>0</v>
      </c>
      <c r="B103" s="92"/>
      <c r="C103" s="100"/>
      <c r="D103" s="100">
        <v>1</v>
      </c>
      <c r="E103" s="100"/>
      <c r="F103" s="100"/>
      <c r="G103" s="97">
        <f>SUM(A108:A110)</f>
        <v>0.1</v>
      </c>
      <c r="H103" s="3"/>
      <c r="I103" s="3"/>
      <c r="J103" s="3"/>
      <c r="K103" s="27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4"/>
      <c r="AU103" s="4"/>
      <c r="AV103" s="3"/>
      <c r="AW103" s="3"/>
      <c r="AX103" s="3"/>
      <c r="AY103" s="3"/>
      <c r="AZ103" s="3"/>
      <c r="BA103" s="3"/>
      <c r="BB103" s="3"/>
      <c r="BC103" s="3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</row>
    <row r="104" spans="1:256" x14ac:dyDescent="0.25">
      <c r="A104" s="259">
        <f>C100*0.15</f>
        <v>0</v>
      </c>
      <c r="B104" s="99"/>
      <c r="C104" s="15" t="s">
        <v>20</v>
      </c>
      <c r="D104" s="15" t="s">
        <v>20</v>
      </c>
      <c r="E104" s="15" t="s">
        <v>20</v>
      </c>
      <c r="F104" s="15" t="s">
        <v>14</v>
      </c>
      <c r="G104" s="93"/>
      <c r="H104" s="3"/>
      <c r="I104" s="3"/>
      <c r="J104" s="3"/>
      <c r="K104" s="27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4"/>
      <c r="AU104" s="4"/>
      <c r="AV104" s="3"/>
      <c r="AW104" s="3"/>
      <c r="AX104" s="3"/>
      <c r="AY104" s="3"/>
      <c r="AZ104" s="3"/>
      <c r="BA104" s="3"/>
      <c r="BB104" s="3"/>
      <c r="BC104" s="3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</row>
    <row r="105" spans="1:256" x14ac:dyDescent="0.25">
      <c r="A105" s="259">
        <f>D100*0.1</f>
        <v>0</v>
      </c>
      <c r="B105" s="92" t="s">
        <v>45</v>
      </c>
      <c r="C105" s="19" t="s">
        <v>46</v>
      </c>
      <c r="D105" s="19" t="s">
        <v>48</v>
      </c>
      <c r="E105" s="19" t="s">
        <v>49</v>
      </c>
      <c r="F105" s="19" t="s">
        <v>49</v>
      </c>
      <c r="G105" s="95" t="s">
        <v>9</v>
      </c>
      <c r="H105" s="3"/>
      <c r="I105" s="3"/>
      <c r="J105" s="3"/>
      <c r="K105" s="27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4"/>
      <c r="AU105" s="4"/>
      <c r="AV105" s="3"/>
      <c r="AW105" s="3"/>
      <c r="AX105" s="3"/>
      <c r="AY105" s="3"/>
      <c r="AZ105" s="3"/>
      <c r="BA105" s="3"/>
      <c r="BB105" s="3"/>
      <c r="BC105" s="3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</row>
    <row r="106" spans="1:256" ht="13.8" thickBot="1" x14ac:dyDescent="0.3">
      <c r="A106" s="259">
        <f>0.05*E100</f>
        <v>0.05</v>
      </c>
      <c r="B106" s="92"/>
      <c r="C106" s="18" t="s">
        <v>47</v>
      </c>
      <c r="D106" s="18" t="s">
        <v>47</v>
      </c>
      <c r="E106" s="18" t="s">
        <v>47</v>
      </c>
      <c r="F106" s="18" t="s">
        <v>47</v>
      </c>
      <c r="G106" s="95" t="s">
        <v>10</v>
      </c>
      <c r="H106" s="3"/>
      <c r="I106" s="3"/>
      <c r="J106" s="3"/>
      <c r="K106" s="27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4"/>
      <c r="AU106" s="4"/>
      <c r="AV106" s="3"/>
      <c r="AW106" s="3"/>
      <c r="AX106" s="3"/>
      <c r="AY106" s="3"/>
      <c r="AZ106" s="3"/>
      <c r="BA106" s="3"/>
      <c r="BB106" s="3"/>
      <c r="BC106" s="3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</row>
    <row r="107" spans="1:256" ht="13.8" thickBot="1" x14ac:dyDescent="0.3">
      <c r="A107" s="260">
        <f>F100*-0.25</f>
        <v>0</v>
      </c>
      <c r="B107" s="21"/>
      <c r="C107" s="100"/>
      <c r="D107" s="100"/>
      <c r="E107" s="100"/>
      <c r="F107" s="100">
        <v>1</v>
      </c>
      <c r="G107" s="97">
        <f>SUM(A112:A114)</f>
        <v>0</v>
      </c>
      <c r="H107" s="3"/>
      <c r="I107" s="3"/>
      <c r="J107" s="3"/>
      <c r="K107" s="27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4"/>
      <c r="AU107" s="4"/>
      <c r="AV107" s="3"/>
      <c r="AW107" s="3"/>
      <c r="AX107" s="3"/>
      <c r="AY107" s="3"/>
      <c r="AZ107" s="3"/>
      <c r="BA107" s="3"/>
      <c r="BB107" s="3"/>
      <c r="BC107" s="3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</row>
    <row r="108" spans="1:256" x14ac:dyDescent="0.25">
      <c r="A108" s="259">
        <f>C103*0.15</f>
        <v>0</v>
      </c>
      <c r="B108" s="92" t="s">
        <v>52</v>
      </c>
      <c r="C108" s="19" t="s">
        <v>14</v>
      </c>
      <c r="D108" s="19" t="s">
        <v>14</v>
      </c>
      <c r="E108" s="19" t="s">
        <v>14</v>
      </c>
      <c r="F108" s="19" t="s">
        <v>20</v>
      </c>
      <c r="G108" s="95" t="s">
        <v>9</v>
      </c>
      <c r="H108" s="3"/>
      <c r="I108" s="3"/>
      <c r="J108" s="3"/>
      <c r="K108" s="27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4"/>
      <c r="AU108" s="4"/>
      <c r="AV108" s="3"/>
      <c r="AW108" s="3"/>
      <c r="AX108" s="3"/>
      <c r="AY108" s="3"/>
      <c r="AZ108" s="3"/>
      <c r="BA108" s="3"/>
      <c r="BB108" s="3"/>
      <c r="BC108" s="3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 spans="1:256" ht="13.8" thickBot="1" x14ac:dyDescent="0.3">
      <c r="A109" s="259">
        <f>D103*0.1</f>
        <v>0.1</v>
      </c>
      <c r="B109" s="92" t="s">
        <v>53</v>
      </c>
      <c r="C109" s="9" t="s">
        <v>54</v>
      </c>
      <c r="D109" s="18" t="s">
        <v>55</v>
      </c>
      <c r="E109" s="9" t="s">
        <v>56</v>
      </c>
      <c r="F109" s="19" t="s">
        <v>57</v>
      </c>
      <c r="G109" s="95" t="s">
        <v>10</v>
      </c>
      <c r="H109" s="3"/>
      <c r="I109" s="3"/>
      <c r="J109" s="3"/>
      <c r="K109" s="27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4"/>
      <c r="AU109" s="4"/>
      <c r="AV109" s="3"/>
      <c r="AW109" s="3"/>
      <c r="AX109" s="3"/>
      <c r="AY109" s="3"/>
      <c r="AZ109" s="3"/>
      <c r="BA109" s="3"/>
      <c r="BB109" s="3"/>
      <c r="BC109" s="3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</row>
    <row r="110" spans="1:256" ht="13.8" thickBot="1" x14ac:dyDescent="0.3">
      <c r="A110" s="259">
        <f>0.05*E103</f>
        <v>0</v>
      </c>
      <c r="B110" s="21"/>
      <c r="C110" s="100"/>
      <c r="D110" s="100"/>
      <c r="E110" s="100">
        <v>1</v>
      </c>
      <c r="F110" s="100"/>
      <c r="G110" s="97">
        <f>SUM(A116:A118)</f>
        <v>0.05</v>
      </c>
      <c r="H110" s="3"/>
      <c r="I110" s="3"/>
      <c r="J110" s="3"/>
      <c r="K110" s="27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4"/>
      <c r="AU110" s="4"/>
      <c r="AV110" s="3"/>
      <c r="AW110" s="3"/>
      <c r="AX110" s="3"/>
      <c r="AY110" s="3"/>
      <c r="AZ110" s="3"/>
      <c r="BA110" s="3"/>
      <c r="BB110" s="3"/>
      <c r="BC110" s="3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</row>
    <row r="111" spans="1:256" ht="13.8" thickBot="1" x14ac:dyDescent="0.3">
      <c r="A111" s="260"/>
      <c r="B111" s="104" t="s">
        <v>58</v>
      </c>
      <c r="C111" s="104"/>
      <c r="D111" s="104"/>
      <c r="E111" s="7"/>
      <c r="F111" s="7"/>
      <c r="G111" s="105">
        <f>(G$81+G$84+G$87+G$90+G$94+G$97+G$100+G$103+G$107+G$110)</f>
        <v>0.67500000000000004</v>
      </c>
      <c r="H111" s="3"/>
      <c r="I111" s="3"/>
      <c r="J111" s="3"/>
      <c r="K111" s="27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4"/>
      <c r="AU111" s="4"/>
      <c r="AV111" s="3"/>
      <c r="AW111" s="3"/>
      <c r="AX111" s="3"/>
      <c r="AY111" s="3"/>
      <c r="AZ111" s="3"/>
      <c r="BA111" s="3"/>
      <c r="BB111" s="3"/>
      <c r="BC111" s="3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</row>
    <row r="112" spans="1:256" ht="13.8" thickBot="1" x14ac:dyDescent="0.3">
      <c r="A112" s="260">
        <f>C107*0.15</f>
        <v>0</v>
      </c>
      <c r="B112" s="344" t="s">
        <v>59</v>
      </c>
      <c r="C112" s="344"/>
      <c r="D112" s="344"/>
      <c r="E112" s="13"/>
      <c r="F112" s="13"/>
      <c r="G112" s="7"/>
      <c r="H112" s="3"/>
      <c r="I112" s="3"/>
      <c r="J112" s="3"/>
      <c r="K112" s="27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4"/>
      <c r="AU112" s="4"/>
      <c r="AV112" s="3"/>
      <c r="AW112" s="3"/>
      <c r="AX112" s="3"/>
      <c r="AY112" s="3"/>
      <c r="AZ112" s="3"/>
      <c r="BA112" s="3"/>
      <c r="BB112" s="3"/>
      <c r="BC112" s="3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</row>
    <row r="113" spans="1:256" ht="13.8" thickBot="1" x14ac:dyDescent="0.3">
      <c r="A113" s="260">
        <f>D107*0.1</f>
        <v>0</v>
      </c>
      <c r="B113" s="106" t="s">
        <v>129</v>
      </c>
      <c r="C113" s="104"/>
      <c r="D113" s="104"/>
      <c r="E113" s="104"/>
      <c r="F113" s="107">
        <v>2.4</v>
      </c>
      <c r="G113" s="108">
        <f>IF(F113&lt;2.1,I114,H115)</f>
        <v>0</v>
      </c>
      <c r="H113" s="3"/>
      <c r="I113" s="3"/>
      <c r="J113" s="3"/>
      <c r="K113" s="27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4"/>
      <c r="AU113" s="4"/>
      <c r="AV113" s="3"/>
      <c r="AW113" s="3"/>
      <c r="AX113" s="3"/>
      <c r="AY113" s="3"/>
      <c r="AZ113" s="3"/>
      <c r="BA113" s="3"/>
      <c r="BB113" s="3"/>
      <c r="BC113" s="3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</row>
    <row r="114" spans="1:256" ht="13.8" thickBot="1" x14ac:dyDescent="0.3">
      <c r="A114" s="259">
        <f>0.05*E107</f>
        <v>0</v>
      </c>
      <c r="B114" s="109" t="s">
        <v>133</v>
      </c>
      <c r="C114" s="110"/>
      <c r="D114" s="110"/>
      <c r="E114" s="111"/>
      <c r="F114" s="112">
        <v>50.4</v>
      </c>
      <c r="G114" s="108">
        <f>IF(F114&lt;55,I115,H116)</f>
        <v>-1.3800000000000005E-2</v>
      </c>
      <c r="H114" s="256"/>
      <c r="I114" s="256">
        <f>-0.1*(2.1-F113)</f>
        <v>2.9999999999999985E-2</v>
      </c>
      <c r="J114" s="3"/>
      <c r="K114" s="27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4"/>
      <c r="AU114" s="4"/>
      <c r="AV114" s="3"/>
      <c r="AW114" s="3"/>
      <c r="AX114" s="3"/>
      <c r="AY114" s="3"/>
      <c r="AZ114" s="3"/>
      <c r="BA114" s="3"/>
      <c r="BB114" s="3"/>
      <c r="BC114" s="3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</row>
    <row r="115" spans="1:256" ht="13.8" thickBot="1" x14ac:dyDescent="0.3">
      <c r="A115" s="260"/>
      <c r="B115" s="109" t="s">
        <v>130</v>
      </c>
      <c r="C115" s="110"/>
      <c r="D115" s="110"/>
      <c r="E115" s="111"/>
      <c r="F115" s="113">
        <v>0.627</v>
      </c>
      <c r="G115" s="108">
        <f>IF(F115&lt;0.5,I116,H117)</f>
        <v>9.5250000000000001E-2</v>
      </c>
      <c r="H115" s="256">
        <f>IF(F113&gt;3,J129,K129)</f>
        <v>0</v>
      </c>
      <c r="I115" s="257">
        <f>-0.003*(55-F114)</f>
        <v>-1.3800000000000005E-2</v>
      </c>
      <c r="J115" s="3"/>
      <c r="K115" s="27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4"/>
      <c r="AU115" s="4"/>
      <c r="AV115" s="3"/>
      <c r="AW115" s="3"/>
      <c r="AX115" s="3"/>
      <c r="AY115" s="3"/>
      <c r="AZ115" s="3"/>
      <c r="BA115" s="3"/>
      <c r="BB115" s="3"/>
      <c r="BC115" s="3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</row>
    <row r="116" spans="1:256" ht="13.8" thickBot="1" x14ac:dyDescent="0.3">
      <c r="A116" s="259">
        <f>C110*0.15</f>
        <v>0</v>
      </c>
      <c r="B116" s="63" t="s">
        <v>134</v>
      </c>
      <c r="C116" s="64"/>
      <c r="D116" s="64"/>
      <c r="E116" s="114"/>
      <c r="F116" s="66">
        <v>6</v>
      </c>
      <c r="G116" s="108">
        <f>IF(F116&lt;5,I117,H118)</f>
        <v>-7.4999999999999997E-2</v>
      </c>
      <c r="H116" s="257">
        <f>-0.003*(55-F114)</f>
        <v>-1.3800000000000005E-2</v>
      </c>
      <c r="I116" s="258">
        <f>-0.75*(0.5-F115)</f>
        <v>9.5250000000000001E-2</v>
      </c>
      <c r="J116" s="3"/>
      <c r="K116" s="27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4"/>
      <c r="AU116" s="4"/>
      <c r="AV116" s="3"/>
      <c r="AW116" s="3"/>
      <c r="AX116" s="3"/>
      <c r="AY116" s="3"/>
      <c r="AZ116" s="3"/>
      <c r="BA116" s="3"/>
      <c r="BB116" s="3"/>
      <c r="BC116" s="3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</row>
    <row r="117" spans="1:256" x14ac:dyDescent="0.25">
      <c r="A117" s="260">
        <f>D110*0.1</f>
        <v>0</v>
      </c>
      <c r="B117" s="104"/>
      <c r="C117" s="69"/>
      <c r="D117" s="69"/>
      <c r="E117" s="69"/>
      <c r="F117" s="115"/>
      <c r="G117" s="116"/>
      <c r="H117" s="258">
        <f>-0.75*(0.5-F115)</f>
        <v>9.5250000000000001E-2</v>
      </c>
      <c r="I117" s="258">
        <f>0.5*(5-F116)</f>
        <v>-0.5</v>
      </c>
      <c r="J117" s="3"/>
      <c r="K117" s="27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4"/>
      <c r="AU117" s="4"/>
      <c r="AV117" s="3"/>
      <c r="AW117" s="3"/>
      <c r="AX117" s="3"/>
      <c r="AY117" s="3"/>
      <c r="AZ117" s="3"/>
      <c r="BA117" s="3"/>
      <c r="BB117" s="3"/>
      <c r="BC117" s="3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</row>
    <row r="118" spans="1:256" ht="13.8" thickBot="1" x14ac:dyDescent="0.3">
      <c r="A118" s="260">
        <f>0.05*E110</f>
        <v>0.05</v>
      </c>
      <c r="B118" s="7" t="s">
        <v>60</v>
      </c>
      <c r="C118" s="7"/>
      <c r="D118" s="7"/>
      <c r="E118" s="69"/>
      <c r="F118" s="7"/>
      <c r="G118" s="117">
        <f>(G113+G114+G115+G116)/4</f>
        <v>1.6124999999999994E-3</v>
      </c>
      <c r="H118" s="258">
        <f>-0.075*(F116-5)</f>
        <v>-7.4999999999999997E-2</v>
      </c>
      <c r="I118" s="257">
        <f>0-0.01*(100-F117)</f>
        <v>-1</v>
      </c>
      <c r="J118" s="3"/>
      <c r="K118" s="27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4"/>
      <c r="AU118" s="4"/>
      <c r="AV118" s="3"/>
      <c r="AW118" s="3"/>
      <c r="AX118" s="3"/>
      <c r="AY118" s="3"/>
      <c r="AZ118" s="3"/>
      <c r="BA118" s="3"/>
      <c r="BB118" s="3"/>
      <c r="BC118" s="3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</row>
    <row r="119" spans="1:256" ht="13.8" thickBot="1" x14ac:dyDescent="0.3">
      <c r="A119" s="30"/>
      <c r="B119" s="7" t="s">
        <v>61</v>
      </c>
      <c r="C119" s="7"/>
      <c r="D119" s="7"/>
      <c r="E119" s="69"/>
      <c r="F119" s="7"/>
      <c r="G119" s="280">
        <f>(H120/85)</f>
        <v>5.5677871323529405E-3</v>
      </c>
      <c r="H119" s="257">
        <f>0.01*(F117-100)</f>
        <v>-1</v>
      </c>
      <c r="I119" s="256"/>
      <c r="J119" s="3"/>
      <c r="K119" s="27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4"/>
      <c r="AU119" s="4"/>
      <c r="AV119" s="3"/>
      <c r="AW119" s="3"/>
      <c r="AX119" s="3"/>
      <c r="AY119" s="3"/>
      <c r="AZ119" s="3"/>
      <c r="BA119" s="3"/>
      <c r="BB119" s="3"/>
      <c r="BC119" s="3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</row>
    <row r="120" spans="1:256" ht="13.8" thickBot="1" x14ac:dyDescent="0.3">
      <c r="A120" s="69"/>
      <c r="B120" s="7" t="s">
        <v>181</v>
      </c>
      <c r="C120" s="7"/>
      <c r="D120" s="7"/>
      <c r="E120" s="7"/>
      <c r="F120" s="7"/>
      <c r="G120" s="280">
        <f>H121/92</f>
        <v>7.3487873641304349E-3</v>
      </c>
      <c r="H120" s="256">
        <f>G111*0.7*(1+G118)</f>
        <v>0.47326190624999998</v>
      </c>
      <c r="I120" s="256"/>
      <c r="J120" s="3"/>
      <c r="K120" s="27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4"/>
      <c r="AU120" s="4"/>
      <c r="AV120" s="3"/>
      <c r="AW120" s="3"/>
      <c r="AX120" s="3"/>
      <c r="AY120" s="3"/>
      <c r="AZ120" s="3"/>
      <c r="BA120" s="3"/>
      <c r="BB120" s="3"/>
      <c r="BC120" s="3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</row>
    <row r="121" spans="1:256" ht="13.8" thickBot="1" x14ac:dyDescent="0.3">
      <c r="A121" s="69"/>
      <c r="B121" s="7" t="s">
        <v>306</v>
      </c>
      <c r="C121" s="7"/>
      <c r="D121" s="7"/>
      <c r="E121" s="7"/>
      <c r="F121" s="7"/>
      <c r="G121" s="280">
        <f>H121/76</f>
        <v>8.8959004934210523E-3</v>
      </c>
      <c r="H121" s="256">
        <f>G111*(1+G118)</f>
        <v>0.67608843750000003</v>
      </c>
      <c r="I121" s="256"/>
      <c r="J121" s="3"/>
      <c r="K121" s="27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118"/>
      <c r="AU121" s="118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</row>
    <row r="122" spans="1:256" x14ac:dyDescent="0.25">
      <c r="A122" s="69"/>
      <c r="B122" s="7"/>
      <c r="C122" s="7"/>
      <c r="D122" s="7"/>
      <c r="E122" s="7"/>
      <c r="F122" s="7"/>
      <c r="G122" s="291"/>
      <c r="H122" s="89"/>
      <c r="I122" s="3"/>
      <c r="J122" s="3"/>
      <c r="K122" s="27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118"/>
      <c r="AU122" s="118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</row>
    <row r="123" spans="1:256" x14ac:dyDescent="0.25">
      <c r="A123" s="69"/>
      <c r="B123" s="7"/>
      <c r="C123" s="7"/>
      <c r="D123" s="7"/>
      <c r="E123" s="7"/>
      <c r="F123" s="7"/>
      <c r="G123" s="119"/>
      <c r="H123" s="3"/>
      <c r="I123" s="3"/>
      <c r="J123" s="3"/>
      <c r="K123" s="27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118"/>
      <c r="AU123" s="118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</row>
    <row r="124" spans="1:256" ht="17.399999999999999" x14ac:dyDescent="0.3">
      <c r="A124" s="69"/>
      <c r="B124" s="338" t="s">
        <v>121</v>
      </c>
      <c r="C124" s="338"/>
      <c r="D124" s="338"/>
      <c r="E124" s="338"/>
      <c r="F124" s="338"/>
      <c r="G124" s="338"/>
      <c r="H124" s="3"/>
      <c r="I124" s="3"/>
      <c r="J124" s="3"/>
      <c r="K124" s="27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118"/>
      <c r="AU124" s="118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</row>
    <row r="125" spans="1:256" ht="18" thickBot="1" x14ac:dyDescent="0.35">
      <c r="A125" s="8" t="s">
        <v>324</v>
      </c>
      <c r="B125" s="342"/>
      <c r="C125" s="342"/>
      <c r="D125" s="342"/>
      <c r="E125" s="342"/>
      <c r="F125" s="342"/>
      <c r="G125" s="342"/>
      <c r="H125" s="3"/>
      <c r="I125" s="3"/>
      <c r="J125" s="3"/>
      <c r="K125" s="27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118"/>
      <c r="AU125" s="118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</row>
    <row r="126" spans="1:256" x14ac:dyDescent="0.25">
      <c r="A126" s="69"/>
      <c r="B126" s="10" t="s">
        <v>0</v>
      </c>
      <c r="C126" s="345" t="str">
        <f>CUSTOMERNAME</f>
        <v>Brainard Holdings LLC - Car Wash Café</v>
      </c>
      <c r="D126" s="346"/>
      <c r="E126" s="347"/>
      <c r="F126" s="7"/>
      <c r="G126" s="7"/>
      <c r="H126" s="3"/>
      <c r="I126" s="3"/>
      <c r="J126" s="3"/>
      <c r="K126" s="27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118"/>
      <c r="AU126" s="118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</row>
    <row r="127" spans="1:256" ht="13.8" thickBot="1" x14ac:dyDescent="0.3">
      <c r="A127" s="69"/>
      <c r="B127" s="10" t="s">
        <v>1</v>
      </c>
      <c r="C127" s="348" t="str">
        <f>ADDRESS</f>
        <v>3050 N University Dr., Sunrise, FL 33322</v>
      </c>
      <c r="D127" s="349"/>
      <c r="E127" s="350"/>
      <c r="F127" s="7"/>
      <c r="G127" s="7"/>
      <c r="H127" s="3"/>
      <c r="I127" s="3"/>
      <c r="J127" s="3"/>
      <c r="K127" s="27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118"/>
      <c r="AU127" s="118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</row>
    <row r="128" spans="1:256" x14ac:dyDescent="0.25">
      <c r="A128" s="69"/>
      <c r="B128" s="7"/>
      <c r="C128" s="7"/>
      <c r="D128" s="7"/>
      <c r="E128" s="7"/>
      <c r="F128" s="7"/>
      <c r="G128" s="12" t="s">
        <v>177</v>
      </c>
      <c r="H128" s="3"/>
      <c r="I128" s="3"/>
      <c r="J128" s="3"/>
      <c r="K128" s="27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118"/>
      <c r="AU128" s="118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</row>
    <row r="129" spans="1:256" ht="15" customHeight="1" thickBot="1" x14ac:dyDescent="0.3">
      <c r="A129" s="69"/>
      <c r="B129" s="13"/>
      <c r="C129" s="13"/>
      <c r="D129" s="13"/>
      <c r="E129" s="13"/>
      <c r="F129" s="13"/>
      <c r="G129" s="13"/>
      <c r="H129" s="3"/>
      <c r="I129" s="3"/>
      <c r="J129" s="256">
        <f>-0.5*(F113-3)</f>
        <v>0.30000000000000004</v>
      </c>
      <c r="K129" s="256">
        <v>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118"/>
      <c r="AU129" s="118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</row>
    <row r="130" spans="1:256" x14ac:dyDescent="0.25">
      <c r="A130" s="13"/>
      <c r="B130" s="106"/>
      <c r="C130" s="104"/>
      <c r="D130" s="104"/>
      <c r="E130" s="104"/>
      <c r="F130" s="27"/>
      <c r="G130" s="28"/>
      <c r="H130" s="3"/>
      <c r="I130" s="3"/>
      <c r="J130" s="256" t="s">
        <v>131</v>
      </c>
      <c r="K130" s="27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118"/>
      <c r="AU130" s="118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</row>
    <row r="131" spans="1:256" ht="13.8" thickBot="1" x14ac:dyDescent="0.3">
      <c r="A131" s="69"/>
      <c r="B131" s="365" t="s">
        <v>189</v>
      </c>
      <c r="C131" s="366"/>
      <c r="D131" s="366"/>
      <c r="E131" s="366"/>
      <c r="F131" s="366"/>
      <c r="G131" s="367"/>
      <c r="H131" s="3"/>
      <c r="I131" s="3"/>
      <c r="J131" s="3"/>
      <c r="K131" s="27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118"/>
      <c r="AU131" s="118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</row>
    <row r="132" spans="1:256" ht="13.8" thickBot="1" x14ac:dyDescent="0.3">
      <c r="A132" s="69"/>
      <c r="B132" s="63" t="s">
        <v>180</v>
      </c>
      <c r="C132" s="64"/>
      <c r="D132" s="64"/>
      <c r="E132" s="64"/>
      <c r="F132" s="43"/>
      <c r="G132" s="100">
        <v>29250</v>
      </c>
      <c r="H132" s="3"/>
      <c r="I132" s="3"/>
      <c r="J132" s="3"/>
      <c r="K132" s="27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118"/>
      <c r="AU132" s="118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</row>
    <row r="133" spans="1:256" x14ac:dyDescent="0.25">
      <c r="A133" s="7"/>
      <c r="B133" s="122" t="s">
        <v>178</v>
      </c>
      <c r="C133" s="104"/>
      <c r="D133" s="104"/>
      <c r="E133" s="104"/>
      <c r="F133" s="27"/>
      <c r="G133" s="28"/>
      <c r="H133" s="3"/>
      <c r="I133" s="3"/>
      <c r="J133" s="3"/>
      <c r="K133" s="27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118"/>
      <c r="AU133" s="118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</row>
    <row r="134" spans="1:256" x14ac:dyDescent="0.25">
      <c r="A134" s="7"/>
      <c r="B134" s="123" t="s">
        <v>182</v>
      </c>
      <c r="C134" s="69"/>
      <c r="D134" s="69"/>
      <c r="E134" s="69"/>
      <c r="F134" s="124"/>
      <c r="G134" s="31"/>
      <c r="H134" s="3"/>
      <c r="I134" s="3"/>
      <c r="J134" s="3"/>
      <c r="K134" s="27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118"/>
      <c r="AU134" s="118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</row>
    <row r="135" spans="1:256" ht="13.8" thickBot="1" x14ac:dyDescent="0.3">
      <c r="A135" s="7"/>
      <c r="B135" s="125" t="s">
        <v>179</v>
      </c>
      <c r="C135" s="72"/>
      <c r="D135" s="72"/>
      <c r="E135" s="72"/>
      <c r="F135" s="60"/>
      <c r="G135" s="102"/>
      <c r="H135" s="3"/>
      <c r="I135" s="3"/>
      <c r="J135" s="3"/>
      <c r="K135" s="27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118"/>
      <c r="AU135" s="118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</row>
    <row r="136" spans="1:256" ht="13.8" thickBot="1" x14ac:dyDescent="0.3">
      <c r="A136" s="7"/>
      <c r="B136" s="63" t="s">
        <v>183</v>
      </c>
      <c r="C136" s="64"/>
      <c r="D136" s="64"/>
      <c r="E136" s="45" t="s">
        <v>184</v>
      </c>
      <c r="F136" s="45" t="s">
        <v>185</v>
      </c>
      <c r="G136" s="126" t="s">
        <v>186</v>
      </c>
      <c r="H136" s="3"/>
      <c r="I136" s="3"/>
      <c r="J136" s="3"/>
      <c r="K136" s="27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118"/>
      <c r="AU136" s="118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 spans="1:256" ht="13.8" thickBot="1" x14ac:dyDescent="0.3">
      <c r="A137" s="7"/>
      <c r="B137" s="127" t="s">
        <v>187</v>
      </c>
      <c r="C137" s="69"/>
      <c r="D137" s="69"/>
      <c r="E137" s="128">
        <v>1</v>
      </c>
      <c r="F137" s="129">
        <v>1</v>
      </c>
      <c r="G137" s="130">
        <v>1</v>
      </c>
      <c r="H137" s="3"/>
      <c r="I137" s="3"/>
      <c r="J137" s="3"/>
      <c r="K137" s="27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118"/>
      <c r="AU137" s="118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</row>
    <row r="138" spans="1:256" ht="13.8" thickBot="1" x14ac:dyDescent="0.3">
      <c r="A138" s="7"/>
      <c r="B138" s="63" t="s">
        <v>188</v>
      </c>
      <c r="C138" s="64"/>
      <c r="D138" s="64"/>
      <c r="E138" s="131">
        <f>E137*G132</f>
        <v>29250</v>
      </c>
      <c r="F138" s="132">
        <f>F137*E138</f>
        <v>29250</v>
      </c>
      <c r="G138" s="133">
        <f>G137*F138</f>
        <v>29250</v>
      </c>
      <c r="H138" s="3"/>
      <c r="I138" s="3"/>
      <c r="J138" s="3"/>
      <c r="K138" s="27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118"/>
      <c r="AU138" s="118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</row>
    <row r="139" spans="1:256" ht="13.8" thickBot="1" x14ac:dyDescent="0.3">
      <c r="A139" s="7"/>
      <c r="B139" s="19" t="s">
        <v>192</v>
      </c>
      <c r="C139" s="64"/>
      <c r="D139" s="64"/>
      <c r="E139" s="131"/>
      <c r="F139" s="132"/>
      <c r="G139" s="133"/>
      <c r="H139" s="3"/>
      <c r="I139" s="3"/>
      <c r="J139" s="3"/>
      <c r="K139" s="27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118"/>
      <c r="AU139" s="118"/>
      <c r="AV139" s="5"/>
      <c r="AW139" s="5"/>
      <c r="AX139" s="5"/>
      <c r="AY139" s="5"/>
      <c r="AZ139" s="5"/>
      <c r="BA139" s="5"/>
      <c r="BB139" s="5"/>
      <c r="BC139" s="5"/>
    </row>
    <row r="140" spans="1:256" ht="13.8" thickBot="1" x14ac:dyDescent="0.3">
      <c r="A140" s="7"/>
      <c r="B140" s="59" t="s">
        <v>193</v>
      </c>
      <c r="C140" s="45" t="s">
        <v>190</v>
      </c>
      <c r="D140" s="45" t="s">
        <v>191</v>
      </c>
      <c r="E140" s="45" t="s">
        <v>184</v>
      </c>
      <c r="F140" s="45" t="s">
        <v>185</v>
      </c>
      <c r="G140" s="126" t="s">
        <v>186</v>
      </c>
      <c r="H140" s="3"/>
      <c r="I140" s="3"/>
      <c r="J140" s="3"/>
      <c r="K140" s="27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118"/>
      <c r="AU140" s="118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</row>
    <row r="141" spans="1:256" ht="13.8" thickBot="1" x14ac:dyDescent="0.3">
      <c r="A141" s="7"/>
      <c r="B141" s="127" t="s">
        <v>194</v>
      </c>
      <c r="C141" s="134">
        <f>(H120/85)*G132*300</f>
        <v>48857.332086397051</v>
      </c>
      <c r="D141" s="134">
        <f>(H121/92)*G132*300</f>
        <v>64485.609120244568</v>
      </c>
      <c r="E141" s="135">
        <f>(H121/85)*E138*300</f>
        <v>69796.188694852943</v>
      </c>
      <c r="F141" s="131">
        <f>(H121/82)*F138*300</f>
        <v>72349.707793445123</v>
      </c>
      <c r="G141" s="136">
        <f>(H121/76)*G138*300</f>
        <v>78061.526829769733</v>
      </c>
      <c r="H141" s="3"/>
      <c r="I141" s="3"/>
      <c r="J141" s="3"/>
      <c r="K141" s="27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118"/>
      <c r="AU141" s="118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</row>
    <row r="142" spans="1:256" ht="13.8" thickBot="1" x14ac:dyDescent="0.3">
      <c r="A142" s="7"/>
      <c r="B142" s="137" t="s">
        <v>106</v>
      </c>
      <c r="C142" s="134">
        <f>C141/12</f>
        <v>4071.4443405330876</v>
      </c>
      <c r="D142" s="134">
        <f>D141/12</f>
        <v>5373.8007600203809</v>
      </c>
      <c r="E142" s="134">
        <f>E141/12</f>
        <v>5816.3490579044119</v>
      </c>
      <c r="F142" s="134">
        <f>F141/12</f>
        <v>6029.1423161204266</v>
      </c>
      <c r="G142" s="134">
        <f>G141/12</f>
        <v>6505.1272358141441</v>
      </c>
      <c r="H142" s="3"/>
      <c r="I142" s="3"/>
      <c r="J142" s="3"/>
      <c r="K142" s="27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118"/>
      <c r="AU142" s="118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</row>
    <row r="143" spans="1:256" ht="13.8" thickBot="1" x14ac:dyDescent="0.3">
      <c r="A143" s="7"/>
      <c r="B143" s="63" t="s">
        <v>195</v>
      </c>
      <c r="C143" s="134">
        <f>(C142/4.5/7*3)</f>
        <v>387.75660386029404</v>
      </c>
      <c r="D143" s="134">
        <f>(D142/4.5/7*3)</f>
        <v>511.79054857336962</v>
      </c>
      <c r="E143" s="134">
        <f>(E142/4.5/7*3)</f>
        <v>553.93800551470599</v>
      </c>
      <c r="F143" s="134">
        <f>(F142/4.5/7*3)</f>
        <v>574.20403010670725</v>
      </c>
      <c r="G143" s="134">
        <f>(G142/4.5/7*3)</f>
        <v>619.53592722039457</v>
      </c>
      <c r="H143" s="3"/>
      <c r="I143" s="3"/>
      <c r="J143" s="3"/>
      <c r="K143" s="27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118"/>
      <c r="AU143" s="118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 spans="1:256" ht="13.8" thickBot="1" x14ac:dyDescent="0.3">
      <c r="A144" s="7"/>
      <c r="B144" s="63" t="s">
        <v>196</v>
      </c>
      <c r="C144" s="134">
        <f>(C143/E12)*1.3</f>
        <v>42.006965418198526</v>
      </c>
      <c r="D144" s="134">
        <f>(D143/E12)*1.3</f>
        <v>55.443976095448377</v>
      </c>
      <c r="E144" s="134">
        <f>(E143/E12)*1.3</f>
        <v>60.009950597426482</v>
      </c>
      <c r="F144" s="134">
        <f>(F143/E12)*1.3</f>
        <v>62.205436594893285</v>
      </c>
      <c r="G144" s="134">
        <f>(G143/E12)*1.3</f>
        <v>67.116392115542752</v>
      </c>
      <c r="H144" s="3"/>
      <c r="I144" s="3"/>
      <c r="J144" s="3"/>
      <c r="K144" s="27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118"/>
      <c r="AU144" s="118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</row>
    <row r="145" spans="1:256" x14ac:dyDescent="0.25">
      <c r="A145" s="7"/>
      <c r="B145" s="106"/>
      <c r="C145" s="138"/>
      <c r="D145" s="138"/>
      <c r="E145" s="138"/>
      <c r="F145" s="138"/>
      <c r="G145" s="139"/>
      <c r="H145" s="3"/>
      <c r="I145" s="3"/>
      <c r="J145" s="3"/>
      <c r="K145" s="27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118"/>
      <c r="AU145" s="118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</row>
    <row r="146" spans="1:256" ht="13.8" thickBot="1" x14ac:dyDescent="0.3">
      <c r="A146" s="7"/>
      <c r="B146" s="397" t="s">
        <v>88</v>
      </c>
      <c r="C146" s="398"/>
      <c r="D146" s="398"/>
      <c r="E146" s="398"/>
      <c r="F146" s="398"/>
      <c r="G146" s="399"/>
      <c r="H146" s="3"/>
      <c r="I146" s="3"/>
      <c r="J146" s="3"/>
      <c r="K146" s="27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118"/>
      <c r="AU146" s="118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</row>
    <row r="147" spans="1:256" x14ac:dyDescent="0.25">
      <c r="B147" s="26" t="s">
        <v>90</v>
      </c>
      <c r="C147" s="15" t="s">
        <v>93</v>
      </c>
      <c r="D147" s="15" t="s">
        <v>89</v>
      </c>
      <c r="E147" s="27" t="s">
        <v>91</v>
      </c>
      <c r="F147" s="15" t="s">
        <v>95</v>
      </c>
      <c r="G147" s="15" t="s">
        <v>96</v>
      </c>
      <c r="H147" s="3"/>
      <c r="I147" s="3"/>
      <c r="J147" s="3"/>
      <c r="K147" s="27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118"/>
      <c r="AU147" s="118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</row>
    <row r="148" spans="1:256" ht="13.8" thickBot="1" x14ac:dyDescent="0.3">
      <c r="A148" s="7"/>
      <c r="B148" s="59" t="s">
        <v>94</v>
      </c>
      <c r="C148" s="18" t="s">
        <v>90</v>
      </c>
      <c r="D148" s="18" t="s">
        <v>90</v>
      </c>
      <c r="E148" s="60" t="s">
        <v>92</v>
      </c>
      <c r="F148" s="18" t="s">
        <v>90</v>
      </c>
      <c r="G148" s="18" t="s">
        <v>93</v>
      </c>
      <c r="H148" s="3"/>
      <c r="I148" s="3"/>
      <c r="J148" s="3"/>
      <c r="K148" s="27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118"/>
      <c r="AU148" s="118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</row>
    <row r="149" spans="1:256" ht="13.8" thickBot="1" x14ac:dyDescent="0.3">
      <c r="A149" s="7"/>
      <c r="B149" s="137" t="s">
        <v>97</v>
      </c>
      <c r="C149" s="140"/>
      <c r="D149" s="141">
        <v>0.2</v>
      </c>
      <c r="E149" s="142">
        <f>1-D149</f>
        <v>0.8</v>
      </c>
      <c r="F149" s="143">
        <f>D149*C149</f>
        <v>0</v>
      </c>
      <c r="G149" s="143">
        <f>E149*C149</f>
        <v>0</v>
      </c>
      <c r="H149" s="3"/>
      <c r="I149" s="3"/>
      <c r="J149" s="3"/>
      <c r="K149" s="27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118"/>
      <c r="AU149" s="118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</row>
    <row r="150" spans="1:256" ht="13.8" thickBot="1" x14ac:dyDescent="0.3">
      <c r="A150" s="7"/>
      <c r="B150" s="137" t="s">
        <v>98</v>
      </c>
      <c r="C150" s="140"/>
      <c r="D150" s="141">
        <v>0.2</v>
      </c>
      <c r="E150" s="142">
        <f>1-D150</f>
        <v>0.8</v>
      </c>
      <c r="F150" s="143">
        <f>D150*C150</f>
        <v>0</v>
      </c>
      <c r="G150" s="143">
        <f>E150*C150</f>
        <v>0</v>
      </c>
      <c r="H150" s="3"/>
      <c r="I150" s="3"/>
      <c r="J150" s="3"/>
      <c r="K150" s="27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118"/>
      <c r="AU150" s="118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</row>
    <row r="151" spans="1:256" ht="13.8" thickBot="1" x14ac:dyDescent="0.3">
      <c r="A151" s="7"/>
      <c r="B151" s="137" t="s">
        <v>9</v>
      </c>
      <c r="C151" s="140"/>
      <c r="D151" s="141">
        <v>0.2</v>
      </c>
      <c r="E151" s="142">
        <f>1-D151</f>
        <v>0.8</v>
      </c>
      <c r="F151" s="143">
        <f>D151*C151</f>
        <v>0</v>
      </c>
      <c r="G151" s="143">
        <f>E151*C151</f>
        <v>0</v>
      </c>
      <c r="H151" s="3"/>
      <c r="I151" s="3"/>
      <c r="J151" s="3"/>
      <c r="K151" s="27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118"/>
      <c r="AU151" s="118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</row>
    <row r="152" spans="1:256" ht="13.8" thickBot="1" x14ac:dyDescent="0.3">
      <c r="A152" s="7"/>
      <c r="B152" s="137" t="s">
        <v>99</v>
      </c>
      <c r="C152" s="140"/>
      <c r="D152" s="141">
        <v>0.2</v>
      </c>
      <c r="E152" s="142">
        <f>1-D152</f>
        <v>0.8</v>
      </c>
      <c r="F152" s="143">
        <f>D152*C152</f>
        <v>0</v>
      </c>
      <c r="G152" s="143">
        <f>E152*C152</f>
        <v>0</v>
      </c>
      <c r="H152" s="3"/>
      <c r="I152" s="3"/>
      <c r="J152" s="3"/>
      <c r="K152" s="27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118"/>
      <c r="AU152" s="118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</row>
    <row r="153" spans="1:256" ht="13.8" thickBot="1" x14ac:dyDescent="0.3">
      <c r="A153" s="7"/>
      <c r="B153" s="137" t="s">
        <v>100</v>
      </c>
      <c r="C153" s="140"/>
      <c r="D153" s="141">
        <v>0.2</v>
      </c>
      <c r="E153" s="142">
        <f>1-D153</f>
        <v>0.8</v>
      </c>
      <c r="F153" s="143">
        <f>D153*C153</f>
        <v>0</v>
      </c>
      <c r="G153" s="143">
        <f>E153*C153</f>
        <v>0</v>
      </c>
      <c r="H153" s="3"/>
      <c r="I153" s="3"/>
      <c r="J153" s="3"/>
      <c r="K153" s="27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118"/>
      <c r="AU153" s="118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</row>
    <row r="154" spans="1:256" ht="13.8" thickBot="1" x14ac:dyDescent="0.3">
      <c r="A154" s="7"/>
      <c r="B154" s="137" t="s">
        <v>101</v>
      </c>
      <c r="C154" s="144">
        <f>SUM(C149:C153)</f>
        <v>0</v>
      </c>
      <c r="D154" s="145" t="e">
        <f>(F154+0.0000000000001)/(C154)</f>
        <v>#DIV/0!</v>
      </c>
      <c r="E154" s="142">
        <f>G154/(C154+0.0000000001)</f>
        <v>0</v>
      </c>
      <c r="F154" s="146">
        <f>SUM(F149:F153)</f>
        <v>0</v>
      </c>
      <c r="G154" s="146">
        <f>SUM(G149:G153)</f>
        <v>0</v>
      </c>
      <c r="H154" s="3"/>
      <c r="I154" s="3"/>
      <c r="J154" s="3"/>
      <c r="K154" s="27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118"/>
      <c r="AU154" s="118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</row>
    <row r="155" spans="1:256" x14ac:dyDescent="0.25">
      <c r="A155" s="7"/>
      <c r="B155" s="147"/>
      <c r="C155" s="148"/>
      <c r="D155" s="148"/>
      <c r="E155" s="148"/>
      <c r="F155" s="148"/>
      <c r="G155" s="149"/>
      <c r="H155" s="3"/>
      <c r="I155" s="3"/>
      <c r="J155" s="3"/>
      <c r="K155" s="27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118"/>
      <c r="AU155" s="118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</row>
    <row r="156" spans="1:256" ht="13.8" thickBot="1" x14ac:dyDescent="0.3">
      <c r="A156" s="7"/>
      <c r="B156" s="150" t="s">
        <v>102</v>
      </c>
      <c r="C156" s="151"/>
      <c r="D156" s="151"/>
      <c r="E156" s="120"/>
      <c r="F156" s="120"/>
      <c r="G156" s="121"/>
      <c r="H156" s="3"/>
      <c r="I156" s="3"/>
      <c r="J156" s="3"/>
      <c r="K156" s="27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118"/>
      <c r="AU156" s="118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</row>
    <row r="157" spans="1:256" x14ac:dyDescent="0.25">
      <c r="A157" s="7"/>
      <c r="B157" s="26" t="s">
        <v>90</v>
      </c>
      <c r="C157" s="15" t="s">
        <v>96</v>
      </c>
      <c r="D157" s="27" t="s">
        <v>103</v>
      </c>
      <c r="E157" s="15" t="s">
        <v>105</v>
      </c>
      <c r="F157" s="15"/>
      <c r="G157" s="15" t="s">
        <v>106</v>
      </c>
      <c r="H157" s="3"/>
      <c r="I157" s="3"/>
      <c r="J157" s="3"/>
      <c r="K157" s="27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118"/>
      <c r="AU157" s="118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</row>
    <row r="158" spans="1:256" ht="13.8" thickBot="1" x14ac:dyDescent="0.3">
      <c r="A158" s="7"/>
      <c r="B158" s="59" t="s">
        <v>94</v>
      </c>
      <c r="C158" s="18" t="s">
        <v>93</v>
      </c>
      <c r="D158" s="60" t="s">
        <v>104</v>
      </c>
      <c r="E158" s="152" t="s">
        <v>108</v>
      </c>
      <c r="F158" s="18"/>
      <c r="G158" s="18" t="s">
        <v>107</v>
      </c>
      <c r="H158" s="3"/>
      <c r="I158" s="3"/>
      <c r="J158" s="3"/>
      <c r="K158" s="27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118"/>
      <c r="AU158" s="118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</row>
    <row r="159" spans="1:256" ht="13.8" thickBot="1" x14ac:dyDescent="0.3">
      <c r="A159" s="7"/>
      <c r="B159" s="137" t="s">
        <v>97</v>
      </c>
      <c r="C159" s="143">
        <f>G149</f>
        <v>0</v>
      </c>
      <c r="D159" s="141">
        <v>0.05</v>
      </c>
      <c r="E159" s="153">
        <v>240</v>
      </c>
      <c r="F159" s="154"/>
      <c r="G159" s="155">
        <f>PMT(D159/12,(E159+0.00000001),C159)*-1</f>
        <v>0</v>
      </c>
      <c r="H159" s="3"/>
      <c r="I159" s="3"/>
      <c r="J159" s="3"/>
      <c r="K159" s="27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118"/>
      <c r="AU159" s="118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</row>
    <row r="160" spans="1:256" ht="13.8" thickBot="1" x14ac:dyDescent="0.3">
      <c r="A160" s="7"/>
      <c r="B160" s="137" t="s">
        <v>98</v>
      </c>
      <c r="C160" s="143">
        <f>G150</f>
        <v>0</v>
      </c>
      <c r="D160" s="141">
        <v>0.05</v>
      </c>
      <c r="E160" s="153">
        <v>240</v>
      </c>
      <c r="F160" s="154"/>
      <c r="G160" s="155">
        <f>PMT(D160/12,(E160+0.00000001),C160)*-1</f>
        <v>0</v>
      </c>
      <c r="H160" s="3"/>
      <c r="I160" s="3"/>
      <c r="J160" s="3"/>
      <c r="K160" s="27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118"/>
      <c r="AU160" s="118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</row>
    <row r="161" spans="1:256" ht="13.8" thickBot="1" x14ac:dyDescent="0.3">
      <c r="A161" s="7"/>
      <c r="B161" s="137" t="s">
        <v>9</v>
      </c>
      <c r="C161" s="143">
        <f>G151</f>
        <v>0</v>
      </c>
      <c r="D161" s="141">
        <v>0.05</v>
      </c>
      <c r="E161" s="153">
        <v>240</v>
      </c>
      <c r="F161" s="154"/>
      <c r="G161" s="155">
        <f>PMT(D161/12,(E161+0.00000001),C161)*-1</f>
        <v>0</v>
      </c>
      <c r="H161" s="3"/>
      <c r="I161" s="3"/>
      <c r="J161" s="3"/>
      <c r="K161" s="27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118"/>
      <c r="AU161" s="118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</row>
    <row r="162" spans="1:256" ht="13.8" thickBot="1" x14ac:dyDescent="0.3">
      <c r="A162" s="7"/>
      <c r="B162" s="137" t="s">
        <v>99</v>
      </c>
      <c r="C162" s="143">
        <f>G152</f>
        <v>0</v>
      </c>
      <c r="D162" s="141">
        <v>0.05</v>
      </c>
      <c r="E162" s="153">
        <v>240</v>
      </c>
      <c r="F162" s="154"/>
      <c r="G162" s="155">
        <f>PMT(D162/12,(E162+0.00000001),C162)*-1</f>
        <v>0</v>
      </c>
      <c r="H162" s="3"/>
      <c r="I162" s="3"/>
      <c r="J162" s="3"/>
      <c r="K162" s="27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118"/>
      <c r="AU162" s="118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</row>
    <row r="163" spans="1:256" ht="13.8" thickBot="1" x14ac:dyDescent="0.3">
      <c r="A163" s="7"/>
      <c r="B163" s="137" t="s">
        <v>100</v>
      </c>
      <c r="C163" s="143">
        <f>G153</f>
        <v>0</v>
      </c>
      <c r="D163" s="141">
        <v>0.05</v>
      </c>
      <c r="E163" s="153">
        <v>240</v>
      </c>
      <c r="F163" s="154"/>
      <c r="G163" s="155">
        <f>PMT(D163/12,(E163+0.00000001),C163)*-1</f>
        <v>0</v>
      </c>
      <c r="H163" s="3"/>
      <c r="I163" s="3"/>
      <c r="J163" s="3"/>
      <c r="K163" s="27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118"/>
      <c r="AU163" s="118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 spans="1:256" ht="13.8" thickBot="1" x14ac:dyDescent="0.3">
      <c r="A164" s="7"/>
      <c r="B164" s="137" t="s">
        <v>109</v>
      </c>
      <c r="C164" s="146">
        <f>SUM(C159:C163)</f>
        <v>0</v>
      </c>
      <c r="D164" s="318">
        <f>AVERAGE(D159:D163)</f>
        <v>0.05</v>
      </c>
      <c r="E164" s="156"/>
      <c r="F164" s="157"/>
      <c r="G164" s="157">
        <f>SUM(G159:G163)</f>
        <v>0</v>
      </c>
      <c r="H164" s="3"/>
      <c r="I164" s="3"/>
      <c r="J164" s="3"/>
      <c r="K164" s="27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118"/>
      <c r="AU164" s="118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</row>
    <row r="165" spans="1:256" x14ac:dyDescent="0.25">
      <c r="A165" s="7"/>
      <c r="B165" s="147"/>
      <c r="C165" s="148"/>
      <c r="D165" s="148"/>
      <c r="E165" s="148"/>
      <c r="F165" s="148"/>
      <c r="G165" s="149"/>
      <c r="H165" s="3"/>
      <c r="I165" s="3"/>
      <c r="J165" s="3"/>
      <c r="K165" s="27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118"/>
      <c r="AU165" s="118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</row>
    <row r="166" spans="1:256" ht="13.8" thickBot="1" x14ac:dyDescent="0.3">
      <c r="A166" s="7"/>
      <c r="B166" s="343" t="s">
        <v>110</v>
      </c>
      <c r="C166" s="344"/>
      <c r="D166" s="120"/>
      <c r="E166" s="120"/>
      <c r="F166" s="120"/>
      <c r="G166" s="121"/>
      <c r="H166" s="3"/>
      <c r="I166" s="3"/>
      <c r="J166" s="3"/>
      <c r="K166" s="27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118"/>
      <c r="AU166" s="118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</row>
    <row r="167" spans="1:256" x14ac:dyDescent="0.25">
      <c r="A167" s="7"/>
      <c r="B167" s="29"/>
      <c r="C167" s="30"/>
      <c r="D167" s="30"/>
      <c r="E167" s="30"/>
      <c r="F167" s="31"/>
      <c r="G167" s="19" t="s">
        <v>106</v>
      </c>
      <c r="H167" s="3"/>
      <c r="I167" s="3"/>
      <c r="J167" s="3"/>
      <c r="K167" s="27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118"/>
      <c r="AU167" s="118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</row>
    <row r="168" spans="1:256" ht="13.8" thickBot="1" x14ac:dyDescent="0.3">
      <c r="A168" s="7"/>
      <c r="B168" s="59" t="s">
        <v>119</v>
      </c>
      <c r="C168" s="60"/>
      <c r="D168" s="60"/>
      <c r="E168" s="91"/>
      <c r="F168" s="102"/>
      <c r="G168" s="18" t="s">
        <v>107</v>
      </c>
      <c r="H168" s="3"/>
      <c r="I168" s="3"/>
      <c r="J168" s="3"/>
      <c r="K168" s="27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118"/>
      <c r="AU168" s="118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</row>
    <row r="169" spans="1:256" ht="13.8" thickBot="1" x14ac:dyDescent="0.3">
      <c r="A169" s="7"/>
      <c r="B169" s="63" t="s">
        <v>97</v>
      </c>
      <c r="C169" s="158"/>
      <c r="D169" s="159"/>
      <c r="E169" s="160"/>
      <c r="F169" s="161"/>
      <c r="G169" s="162"/>
      <c r="H169" s="3"/>
      <c r="I169" s="3"/>
      <c r="J169" s="3"/>
      <c r="K169" s="27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118"/>
      <c r="AU169" s="118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</row>
    <row r="170" spans="1:256" ht="13.8" thickBot="1" x14ac:dyDescent="0.3">
      <c r="A170" s="7"/>
      <c r="B170" s="63" t="s">
        <v>98</v>
      </c>
      <c r="C170" s="158"/>
      <c r="D170" s="159"/>
      <c r="E170" s="160"/>
      <c r="F170" s="161"/>
      <c r="G170" s="162"/>
      <c r="H170" s="3"/>
      <c r="I170" s="3"/>
      <c r="J170" s="3"/>
      <c r="K170" s="27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118"/>
      <c r="AU170" s="118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</row>
    <row r="171" spans="1:256" ht="13.8" thickBot="1" x14ac:dyDescent="0.3">
      <c r="A171" s="7"/>
      <c r="B171" s="63" t="s">
        <v>100</v>
      </c>
      <c r="C171" s="158"/>
      <c r="D171" s="159"/>
      <c r="E171" s="160"/>
      <c r="F171" s="161"/>
      <c r="G171" s="162"/>
      <c r="H171" s="3"/>
      <c r="I171" s="3"/>
      <c r="J171" s="3"/>
      <c r="K171" s="27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118"/>
      <c r="AU171" s="118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</row>
    <row r="172" spans="1:256" ht="13.8" thickBot="1" x14ac:dyDescent="0.3">
      <c r="A172" s="7"/>
      <c r="B172" s="63" t="s">
        <v>111</v>
      </c>
      <c r="C172" s="163"/>
      <c r="D172" s="159"/>
      <c r="E172" s="160"/>
      <c r="F172" s="164"/>
      <c r="G172" s="157">
        <f>SUM(G169:G171)</f>
        <v>0</v>
      </c>
      <c r="H172" s="3"/>
      <c r="I172" s="3"/>
      <c r="J172" s="3"/>
      <c r="K172" s="27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118"/>
      <c r="AU172" s="118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</row>
    <row r="173" spans="1:256" x14ac:dyDescent="0.25">
      <c r="A173" s="7"/>
      <c r="B173" s="69"/>
      <c r="C173" s="138"/>
      <c r="D173" s="138"/>
      <c r="E173" s="138"/>
      <c r="F173" s="138"/>
      <c r="G173" s="138"/>
      <c r="H173" s="3"/>
      <c r="I173" s="3"/>
      <c r="J173" s="3"/>
      <c r="K173" s="27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118"/>
      <c r="AU173" s="118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</row>
    <row r="174" spans="1:256" x14ac:dyDescent="0.25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27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118"/>
      <c r="AU174" s="118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</row>
    <row r="175" spans="1:256" x14ac:dyDescent="0.25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27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118"/>
      <c r="AU175" s="118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</row>
    <row r="176" spans="1:256" x14ac:dyDescent="0.25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27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118"/>
      <c r="AU176" s="118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</row>
    <row r="177" spans="1:256" x14ac:dyDescent="0.25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27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118"/>
      <c r="AU177" s="118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</row>
    <row r="178" spans="1:256" x14ac:dyDescent="0.25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27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118"/>
      <c r="AU178" s="118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</row>
    <row r="179" spans="1:256" x14ac:dyDescent="0.25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27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118"/>
      <c r="AU179" s="118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</row>
    <row r="180" spans="1:256" x14ac:dyDescent="0.25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27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118"/>
      <c r="AU180" s="118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</row>
    <row r="181" spans="1:256" x14ac:dyDescent="0.25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27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118"/>
      <c r="AU181" s="118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</row>
    <row r="182" spans="1:256" x14ac:dyDescent="0.25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27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118"/>
      <c r="AU182" s="118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</row>
    <row r="183" spans="1:25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7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118"/>
      <c r="AU183" s="118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</row>
    <row r="184" spans="1:25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7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118"/>
      <c r="AU184" s="118"/>
      <c r="AV184" s="5"/>
      <c r="AW184" s="5"/>
      <c r="AX184" s="5"/>
      <c r="AY184" s="5"/>
      <c r="AZ184" s="5"/>
      <c r="BA184" s="5"/>
      <c r="BB184" s="5"/>
      <c r="BC184" s="5"/>
    </row>
    <row r="185" spans="1:25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7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118"/>
      <c r="AU185" s="118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</row>
    <row r="186" spans="1:256" ht="1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7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118"/>
      <c r="AU186" s="118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</row>
    <row r="187" spans="1:25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7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118"/>
      <c r="AU187" s="118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</row>
    <row r="188" spans="1:25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7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118"/>
      <c r="AU188" s="118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</row>
    <row r="189" spans="1:25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7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118"/>
      <c r="AU189" s="118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</row>
    <row r="190" spans="1:25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7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118"/>
      <c r="AU190" s="118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</row>
    <row r="191" spans="1:25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7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118"/>
      <c r="AU191" s="118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 spans="1:25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7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118"/>
      <c r="AU192" s="118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</row>
    <row r="193" spans="1:25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7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118"/>
      <c r="AU193" s="118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</row>
    <row r="194" spans="1:25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7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118"/>
      <c r="AU194" s="118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</row>
    <row r="195" spans="1:256" ht="17.399999999999999" x14ac:dyDescent="0.3">
      <c r="A195" s="3"/>
      <c r="B195" s="338" t="s">
        <v>121</v>
      </c>
      <c r="C195" s="338"/>
      <c r="D195" s="338"/>
      <c r="E195" s="338"/>
      <c r="F195" s="338"/>
      <c r="G195" s="338"/>
      <c r="H195" s="3"/>
      <c r="I195" s="3"/>
      <c r="J195" s="3"/>
      <c r="K195" s="27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118"/>
      <c r="AU195" s="118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</row>
    <row r="196" spans="1:256" ht="17.399999999999999" x14ac:dyDescent="0.3">
      <c r="A196" s="165"/>
      <c r="B196" s="282"/>
      <c r="C196" s="282"/>
      <c r="D196" s="282"/>
      <c r="E196" s="282"/>
      <c r="F196" s="282"/>
      <c r="G196" s="282"/>
      <c r="H196" s="3"/>
      <c r="I196" s="3"/>
      <c r="J196" s="3"/>
      <c r="K196" s="27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118"/>
      <c r="AU196" s="118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</row>
    <row r="197" spans="1:256" ht="17.399999999999999" x14ac:dyDescent="0.3">
      <c r="A197" s="282"/>
      <c r="B197" s="338" t="s">
        <v>118</v>
      </c>
      <c r="C197" s="338"/>
      <c r="D197" s="338"/>
      <c r="E197" s="338"/>
      <c r="F197" s="338"/>
      <c r="G197" s="338"/>
      <c r="H197" s="3"/>
      <c r="I197" s="3"/>
      <c r="J197" s="3"/>
      <c r="K197" s="27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118"/>
      <c r="AU197" s="118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</row>
    <row r="198" spans="1:256" ht="17.399999999999999" x14ac:dyDescent="0.3">
      <c r="A198" s="165"/>
      <c r="B198" s="3"/>
      <c r="C198" s="3"/>
      <c r="D198" s="3"/>
      <c r="E198" s="3"/>
      <c r="F198" s="3"/>
      <c r="G198" s="3"/>
      <c r="H198" s="3"/>
      <c r="I198" s="3"/>
      <c r="J198" s="3"/>
      <c r="K198" s="27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118"/>
      <c r="AU198" s="118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</row>
    <row r="199" spans="1:256" ht="24" customHeight="1" x14ac:dyDescent="0.3">
      <c r="A199" s="3"/>
      <c r="B199" s="341" t="str">
        <f>CUSTOMERNAME</f>
        <v>Brainard Holdings LLC - Car Wash Café</v>
      </c>
      <c r="C199" s="341"/>
      <c r="D199" s="341"/>
      <c r="E199" s="341"/>
      <c r="F199" s="341"/>
      <c r="G199" s="341"/>
      <c r="H199" s="3"/>
      <c r="I199" s="3"/>
      <c r="J199" s="3"/>
      <c r="K199" s="27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118"/>
      <c r="AU199" s="118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</row>
    <row r="200" spans="1:256" ht="15" customHeight="1" x14ac:dyDescent="0.3">
      <c r="A200" s="3"/>
      <c r="B200" s="3"/>
      <c r="C200" s="3"/>
      <c r="D200" s="166"/>
      <c r="E200" s="166"/>
      <c r="F200" s="3"/>
      <c r="G200" s="3"/>
      <c r="H200" s="3"/>
      <c r="I200" s="3"/>
      <c r="J200" s="3"/>
      <c r="K200" s="27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118"/>
      <c r="AU200" s="118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</row>
    <row r="201" spans="1:256" ht="17.399999999999999" x14ac:dyDescent="0.3">
      <c r="A201" s="3"/>
      <c r="B201" s="340" t="str">
        <f>ADDRESS</f>
        <v>3050 N University Dr., Sunrise, FL 33322</v>
      </c>
      <c r="C201" s="340"/>
      <c r="D201" s="340"/>
      <c r="E201" s="340"/>
      <c r="F201" s="340"/>
      <c r="G201" s="340"/>
      <c r="H201" s="3"/>
      <c r="I201" s="3"/>
      <c r="J201" s="3"/>
      <c r="K201" s="27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118"/>
      <c r="AU201" s="118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</row>
    <row r="202" spans="1:256" ht="17.399999999999999" x14ac:dyDescent="0.3">
      <c r="A202" s="3"/>
      <c r="B202" s="3"/>
      <c r="C202" s="3"/>
      <c r="D202" s="166"/>
      <c r="E202" s="166"/>
      <c r="F202" s="3"/>
      <c r="G202" s="3"/>
      <c r="H202" s="3"/>
      <c r="I202" s="3"/>
      <c r="J202" s="3"/>
      <c r="K202" s="27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118"/>
      <c r="AU202" s="118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</row>
    <row r="203" spans="1:256" ht="17.399999999999999" x14ac:dyDescent="0.3">
      <c r="A203" s="3"/>
      <c r="B203" s="3"/>
      <c r="C203" s="3"/>
      <c r="D203" s="166"/>
      <c r="E203" s="166"/>
      <c r="F203" s="3"/>
      <c r="G203" s="3"/>
      <c r="H203" s="3"/>
      <c r="I203" s="3"/>
      <c r="J203" s="3"/>
      <c r="K203" s="27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118"/>
      <c r="AU203" s="118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</row>
    <row r="204" spans="1:256" ht="17.399999999999999" x14ac:dyDescent="0.3">
      <c r="A204" s="3"/>
      <c r="B204" s="3"/>
      <c r="C204" s="3"/>
      <c r="D204" s="166"/>
      <c r="E204" s="166"/>
      <c r="F204" s="3"/>
      <c r="G204" s="3"/>
      <c r="H204" s="3"/>
      <c r="I204" s="3"/>
      <c r="J204" s="3"/>
      <c r="K204" s="27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118"/>
      <c r="AU204" s="118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</row>
    <row r="205" spans="1:256" ht="17.399999999999999" x14ac:dyDescent="0.3">
      <c r="A205" s="3"/>
      <c r="B205" s="3"/>
      <c r="C205" s="3"/>
      <c r="D205" s="166"/>
      <c r="E205" s="166"/>
      <c r="F205" s="3"/>
      <c r="G205" s="3"/>
      <c r="H205" s="3"/>
      <c r="I205" s="3"/>
      <c r="J205" s="3"/>
      <c r="K205" s="27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118"/>
      <c r="AU205" s="118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</row>
    <row r="206" spans="1:256" ht="17.399999999999999" x14ac:dyDescent="0.3">
      <c r="A206" s="3"/>
      <c r="B206" s="3"/>
      <c r="C206" s="3"/>
      <c r="D206" s="166"/>
      <c r="E206" s="166"/>
      <c r="F206" s="3"/>
      <c r="G206" s="3"/>
      <c r="H206" s="3"/>
      <c r="I206" s="3"/>
      <c r="J206" s="3"/>
      <c r="K206" s="27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118"/>
      <c r="AU206" s="118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</row>
    <row r="207" spans="1:256" ht="17.399999999999999" x14ac:dyDescent="0.3">
      <c r="A207" s="3"/>
      <c r="B207" s="3"/>
      <c r="C207" s="3"/>
      <c r="D207" s="166"/>
      <c r="E207" s="166"/>
      <c r="F207" s="3"/>
      <c r="G207" s="3"/>
      <c r="H207" s="3"/>
      <c r="I207" s="3"/>
      <c r="J207" s="3"/>
      <c r="K207" s="27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118"/>
      <c r="AU207" s="118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</row>
    <row r="208" spans="1:256" ht="17.399999999999999" x14ac:dyDescent="0.3">
      <c r="A208" s="3"/>
      <c r="B208" s="3"/>
      <c r="C208" s="3"/>
      <c r="D208" s="166"/>
      <c r="E208" s="166"/>
      <c r="F208" s="3"/>
      <c r="G208" s="3"/>
      <c r="H208" s="3"/>
      <c r="I208" s="3"/>
      <c r="J208" s="3"/>
      <c r="K208" s="27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"/>
      <c r="AU208" s="4"/>
      <c r="AV208" s="3"/>
      <c r="AW208" s="3"/>
      <c r="AX208" s="3"/>
      <c r="AY208" s="3"/>
      <c r="AZ208" s="3"/>
      <c r="BA208" s="3"/>
      <c r="BB208" s="3"/>
      <c r="BC208" s="3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</row>
    <row r="209" spans="1:256" ht="17.399999999999999" x14ac:dyDescent="0.3">
      <c r="A209" s="3"/>
      <c r="B209" s="3"/>
      <c r="C209" s="3"/>
      <c r="D209" s="166"/>
      <c r="E209" s="166"/>
      <c r="F209" s="3"/>
      <c r="G209" s="3"/>
      <c r="H209" s="3"/>
      <c r="I209" s="3"/>
      <c r="J209" s="3"/>
      <c r="K209" s="27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118"/>
      <c r="AU209" s="118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</row>
    <row r="210" spans="1:256" ht="17.399999999999999" x14ac:dyDescent="0.3">
      <c r="A210" s="3"/>
      <c r="B210" s="3"/>
      <c r="C210" s="3"/>
      <c r="D210" s="166"/>
      <c r="E210" s="166"/>
      <c r="F210" s="3"/>
      <c r="G210" s="3"/>
      <c r="H210" s="3"/>
      <c r="I210" s="3"/>
      <c r="J210" s="3"/>
      <c r="K210" s="27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118"/>
      <c r="AU210" s="118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</row>
    <row r="211" spans="1:25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7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118"/>
      <c r="AU211" s="118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</row>
    <row r="212" spans="1:25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7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118"/>
      <c r="AU212" s="118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</row>
    <row r="213" spans="1:25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7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118"/>
      <c r="AU213" s="118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</row>
    <row r="214" spans="1:256" ht="1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7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118"/>
      <c r="AU214" s="118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</row>
    <row r="215" spans="1:25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7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118"/>
      <c r="AU215" s="118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</row>
    <row r="216" spans="1:25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7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118"/>
      <c r="AU216" s="118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</row>
    <row r="217" spans="1:25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7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118"/>
      <c r="AU217" s="118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</row>
    <row r="218" spans="1:25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7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118"/>
      <c r="AU218" s="118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</row>
    <row r="219" spans="1:256" ht="13.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7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118"/>
      <c r="AU219" s="118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</row>
    <row r="220" spans="1:25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7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118"/>
      <c r="AT220" s="118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</row>
    <row r="221" spans="1:25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7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118"/>
      <c r="AT221" s="118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</row>
    <row r="222" spans="1:25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7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118"/>
      <c r="AT222" s="118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</row>
    <row r="223" spans="1:25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7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118"/>
      <c r="AT223" s="118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</row>
    <row r="224" spans="1:25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7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118"/>
      <c r="AT224" s="118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</row>
    <row r="225" spans="1:25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7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118"/>
      <c r="AT225" s="118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</row>
    <row r="226" spans="1:256" x14ac:dyDescent="0.25">
      <c r="A226" s="3"/>
      <c r="B226" s="3"/>
      <c r="C226" s="3"/>
      <c r="D226" s="3"/>
      <c r="E226" s="3"/>
      <c r="F226" s="3"/>
      <c r="G226" s="3"/>
      <c r="H226" s="5"/>
      <c r="I226" s="5"/>
      <c r="J226" s="3"/>
      <c r="K226" s="27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118"/>
      <c r="AU226" s="118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</row>
    <row r="227" spans="1:256" x14ac:dyDescent="0.25">
      <c r="A227" s="3"/>
      <c r="B227" s="3"/>
      <c r="C227" s="3"/>
      <c r="D227" s="3"/>
      <c r="E227" s="3"/>
      <c r="F227" s="3"/>
      <c r="G227" s="3"/>
      <c r="H227" s="5"/>
      <c r="I227" s="5"/>
      <c r="J227" s="3"/>
      <c r="K227" s="27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118"/>
      <c r="AU227" s="118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</row>
    <row r="228" spans="1:256" x14ac:dyDescent="0.25">
      <c r="A228" s="3"/>
      <c r="B228" s="3"/>
      <c r="C228" s="3"/>
      <c r="D228" s="12" t="s">
        <v>120</v>
      </c>
      <c r="E228" s="3"/>
      <c r="F228" s="3"/>
      <c r="G228" s="3"/>
      <c r="H228" s="5"/>
      <c r="I228" s="5"/>
      <c r="J228" s="3"/>
      <c r="K228" s="27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118"/>
      <c r="AU228" s="118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</row>
    <row r="229" spans="1:256" x14ac:dyDescent="0.25">
      <c r="A229" s="3"/>
      <c r="B229" s="3"/>
      <c r="C229" s="3"/>
      <c r="D229" s="12"/>
      <c r="E229" s="3"/>
      <c r="F229" s="3"/>
      <c r="G229" s="3"/>
      <c r="H229" s="5"/>
      <c r="I229" s="5"/>
      <c r="J229" s="3"/>
      <c r="K229" s="27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118"/>
      <c r="AU229" s="118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</row>
    <row r="230" spans="1:256" x14ac:dyDescent="0.25">
      <c r="A230" s="3"/>
      <c r="B230" s="3"/>
      <c r="C230" s="3"/>
      <c r="D230" s="12"/>
      <c r="E230" s="3"/>
      <c r="F230" s="3"/>
      <c r="G230" s="3"/>
      <c r="H230" s="5"/>
      <c r="I230" s="5"/>
      <c r="J230" s="3"/>
      <c r="K230" s="27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118"/>
      <c r="AU230" s="118"/>
      <c r="AV230" s="5"/>
      <c r="AW230" s="5"/>
      <c r="AX230" s="5"/>
      <c r="AY230" s="5"/>
      <c r="AZ230" s="5"/>
      <c r="BA230" s="5"/>
      <c r="BB230" s="5"/>
      <c r="BC230" s="5"/>
    </row>
    <row r="231" spans="1:256" x14ac:dyDescent="0.25">
      <c r="A231" s="3"/>
      <c r="B231" s="167"/>
      <c r="C231" s="167"/>
      <c r="D231" s="167"/>
      <c r="E231" s="167"/>
      <c r="F231" s="167"/>
      <c r="G231" s="167"/>
      <c r="H231" s="5"/>
      <c r="I231" s="5"/>
      <c r="J231" s="3"/>
      <c r="K231" s="271"/>
      <c r="L231" s="3"/>
      <c r="M231" s="3"/>
      <c r="N231" s="3"/>
      <c r="O231" s="3"/>
      <c r="P231" s="3"/>
      <c r="Q231" s="3"/>
      <c r="R231" s="3"/>
      <c r="S231" s="3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118"/>
      <c r="AU231" s="118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</row>
    <row r="232" spans="1:256" s="5" customFormat="1" ht="17.399999999999999" x14ac:dyDescent="0.3">
      <c r="A232" s="167"/>
      <c r="B232" s="337" t="s">
        <v>121</v>
      </c>
      <c r="C232" s="337"/>
      <c r="D232" s="337"/>
      <c r="E232" s="337"/>
      <c r="F232" s="337"/>
      <c r="G232" s="337"/>
      <c r="K232" s="272"/>
      <c r="AT232" s="118"/>
      <c r="AU232" s="118"/>
    </row>
    <row r="233" spans="1:256" s="5" customFormat="1" ht="18" thickBot="1" x14ac:dyDescent="0.35">
      <c r="A233" s="293" t="s">
        <v>325</v>
      </c>
      <c r="B233" s="168"/>
      <c r="C233" s="169"/>
      <c r="D233" s="169"/>
      <c r="E233" s="169"/>
      <c r="F233" s="169"/>
      <c r="G233" s="169"/>
      <c r="K233" s="272"/>
      <c r="AT233" s="118"/>
      <c r="AU233" s="118"/>
    </row>
    <row r="234" spans="1:256" s="5" customFormat="1" x14ac:dyDescent="0.25">
      <c r="A234" s="167"/>
      <c r="B234" s="170" t="s">
        <v>0</v>
      </c>
      <c r="C234" s="358" t="str">
        <f>CUSTOMERNAME</f>
        <v>Brainard Holdings LLC - Car Wash Café</v>
      </c>
      <c r="D234" s="359"/>
      <c r="E234" s="360"/>
      <c r="F234" s="167"/>
      <c r="G234" s="167"/>
      <c r="K234" s="272"/>
      <c r="AT234" s="118"/>
      <c r="AU234" s="118"/>
    </row>
    <row r="235" spans="1:256" s="5" customFormat="1" ht="13.8" thickBot="1" x14ac:dyDescent="0.3">
      <c r="A235" s="167"/>
      <c r="B235" s="170" t="s">
        <v>1</v>
      </c>
      <c r="C235" s="385" t="str">
        <f>ADDRESS</f>
        <v>3050 N University Dr., Sunrise, FL 33322</v>
      </c>
      <c r="D235" s="386"/>
      <c r="E235" s="387"/>
      <c r="F235" s="167"/>
      <c r="G235" s="167"/>
      <c r="K235" s="272"/>
      <c r="AT235" s="118"/>
      <c r="AU235" s="118"/>
    </row>
    <row r="236" spans="1:256" s="5" customFormat="1" x14ac:dyDescent="0.25">
      <c r="A236" s="167"/>
      <c r="B236" s="167"/>
      <c r="C236" s="167"/>
      <c r="D236" s="167"/>
      <c r="E236" s="167"/>
      <c r="F236" s="167"/>
      <c r="G236" s="171" t="s">
        <v>117</v>
      </c>
      <c r="K236" s="272"/>
      <c r="AT236" s="118"/>
      <c r="AU236" s="118"/>
    </row>
    <row r="237" spans="1:256" s="5" customFormat="1" ht="19.8" x14ac:dyDescent="0.3">
      <c r="A237" s="167"/>
      <c r="B237" s="281"/>
      <c r="C237" s="281"/>
      <c r="D237" s="281"/>
      <c r="E237" s="281"/>
      <c r="F237" s="281"/>
      <c r="G237" s="281"/>
      <c r="K237" s="272"/>
      <c r="AT237" s="118"/>
      <c r="AU237" s="118"/>
    </row>
    <row r="238" spans="1:256" s="5" customFormat="1" ht="20.399999999999999" thickBot="1" x14ac:dyDescent="0.3">
      <c r="A238" s="295" t="s">
        <v>313</v>
      </c>
      <c r="B238" s="167"/>
      <c r="C238" s="167"/>
      <c r="D238" s="167"/>
      <c r="E238" s="167"/>
      <c r="F238" s="167"/>
      <c r="G238" s="167"/>
      <c r="K238" s="272"/>
      <c r="AT238" s="118"/>
      <c r="AU238" s="118"/>
    </row>
    <row r="239" spans="1:256" s="5" customFormat="1" ht="13.8" thickBot="1" x14ac:dyDescent="0.3">
      <c r="A239" s="167"/>
      <c r="B239" s="172"/>
      <c r="C239" s="173"/>
      <c r="D239" s="173"/>
      <c r="E239" s="174"/>
      <c r="F239" s="175" t="s">
        <v>200</v>
      </c>
      <c r="G239" s="175" t="s">
        <v>190</v>
      </c>
      <c r="K239" s="272"/>
      <c r="AT239" s="118"/>
      <c r="AU239" s="118"/>
    </row>
    <row r="240" spans="1:256" s="5" customFormat="1" ht="13.8" thickBot="1" x14ac:dyDescent="0.3">
      <c r="A240" s="167"/>
      <c r="B240" s="176" t="s">
        <v>217</v>
      </c>
      <c r="C240" s="177"/>
      <c r="D240" s="177"/>
      <c r="E240" s="177"/>
      <c r="F240" s="178">
        <f>K267/(K269*(1-K265))</f>
        <v>2013.1270359398047</v>
      </c>
      <c r="G240" s="179">
        <f>C142</f>
        <v>4071.4443405330876</v>
      </c>
      <c r="K240" s="272"/>
      <c r="AT240" s="118"/>
      <c r="AU240" s="118"/>
    </row>
    <row r="241" spans="1:55" s="5" customFormat="1" ht="20.399999999999999" thickBot="1" x14ac:dyDescent="0.4">
      <c r="A241" s="167"/>
      <c r="B241" s="180" t="s">
        <v>62</v>
      </c>
      <c r="C241" s="181"/>
      <c r="D241" s="181"/>
      <c r="E241" s="181"/>
      <c r="F241" s="181"/>
      <c r="G241" s="182"/>
      <c r="I241" s="252" t="s">
        <v>206</v>
      </c>
      <c r="K241" s="272"/>
      <c r="AT241" s="118"/>
      <c r="AU241" s="118"/>
    </row>
    <row r="242" spans="1:55" s="5" customFormat="1" ht="13.8" thickBot="1" x14ac:dyDescent="0.3">
      <c r="A242" s="167"/>
      <c r="B242" s="392" t="s">
        <v>71</v>
      </c>
      <c r="C242" s="393"/>
      <c r="D242" s="184" t="s">
        <v>63</v>
      </c>
      <c r="E242" s="184" t="s">
        <v>65</v>
      </c>
      <c r="F242" s="388" t="s">
        <v>205</v>
      </c>
      <c r="G242" s="389"/>
      <c r="K242" s="272"/>
      <c r="AT242" s="118"/>
      <c r="AU242" s="118"/>
    </row>
    <row r="243" spans="1:55" s="5" customFormat="1" ht="13.8" thickBot="1" x14ac:dyDescent="0.3">
      <c r="A243" s="167"/>
      <c r="B243" s="390" t="s">
        <v>67</v>
      </c>
      <c r="C243" s="391"/>
      <c r="D243" s="187" t="s">
        <v>64</v>
      </c>
      <c r="E243" s="187" t="s">
        <v>66</v>
      </c>
      <c r="F243" s="175" t="s">
        <v>200</v>
      </c>
      <c r="G243" s="175" t="s">
        <v>190</v>
      </c>
      <c r="K243" s="272"/>
      <c r="AT243" s="118"/>
      <c r="AU243" s="118"/>
    </row>
    <row r="244" spans="1:55" s="5" customFormat="1" ht="13.8" thickBot="1" x14ac:dyDescent="0.3">
      <c r="A244" s="167"/>
      <c r="B244" s="188" t="s">
        <v>123</v>
      </c>
      <c r="C244" s="189"/>
      <c r="D244" s="1">
        <f t="shared" ref="D244:E248" si="6">F39</f>
        <v>6</v>
      </c>
      <c r="E244" s="145">
        <f t="shared" si="6"/>
        <v>0.5</v>
      </c>
      <c r="F244" s="1">
        <f>$F$240*E244*D244</f>
        <v>6039.381107819414</v>
      </c>
      <c r="G244" s="1">
        <f>$G$240*E244*D244</f>
        <v>12214.333021599263</v>
      </c>
      <c r="K244" s="272"/>
      <c r="AT244" s="118"/>
      <c r="AU244" s="118"/>
    </row>
    <row r="245" spans="1:55" s="5" customFormat="1" ht="13.8" thickBot="1" x14ac:dyDescent="0.3">
      <c r="A245" s="167"/>
      <c r="B245" s="188" t="s">
        <v>68</v>
      </c>
      <c r="C245" s="189"/>
      <c r="D245" s="1">
        <f t="shared" si="6"/>
        <v>10</v>
      </c>
      <c r="E245" s="145">
        <f t="shared" si="6"/>
        <v>0.15</v>
      </c>
      <c r="F245" s="1">
        <f>$F$240*E245*D245</f>
        <v>3019.690553909707</v>
      </c>
      <c r="G245" s="1">
        <f>$G$240*E245*D245</f>
        <v>6107.1665107996305</v>
      </c>
      <c r="K245" s="272"/>
      <c r="AT245" s="118"/>
      <c r="AU245" s="118"/>
    </row>
    <row r="246" spans="1:55" s="5" customFormat="1" ht="13.8" thickBot="1" x14ac:dyDescent="0.3">
      <c r="A246" s="167"/>
      <c r="B246" s="188" t="s">
        <v>69</v>
      </c>
      <c r="C246" s="189"/>
      <c r="D246" s="1">
        <f t="shared" si="6"/>
        <v>14</v>
      </c>
      <c r="E246" s="145">
        <f t="shared" si="6"/>
        <v>0.15</v>
      </c>
      <c r="F246" s="1">
        <f>$F$240*E246*D246</f>
        <v>4227.5667754735896</v>
      </c>
      <c r="G246" s="1">
        <f>$G$240*E246*D246</f>
        <v>8550.0331151194823</v>
      </c>
      <c r="K246" s="272"/>
      <c r="AT246" s="118"/>
      <c r="AU246" s="118"/>
    </row>
    <row r="247" spans="1:55" s="5" customFormat="1" ht="13.8" thickBot="1" x14ac:dyDescent="0.3">
      <c r="A247" s="167"/>
      <c r="B247" s="188" t="s">
        <v>70</v>
      </c>
      <c r="C247" s="189"/>
      <c r="D247" s="1">
        <f t="shared" si="6"/>
        <v>18</v>
      </c>
      <c r="E247" s="145">
        <f t="shared" si="6"/>
        <v>0.2</v>
      </c>
      <c r="F247" s="1">
        <f>$F$240*E247*D247</f>
        <v>7247.2573293832975</v>
      </c>
      <c r="G247" s="1">
        <f>$G$240*E247*D247</f>
        <v>14657.199625919116</v>
      </c>
      <c r="K247" s="272"/>
      <c r="AT247" s="118"/>
      <c r="AU247" s="118"/>
    </row>
    <row r="248" spans="1:55" s="5" customFormat="1" ht="13.8" thickBot="1" x14ac:dyDescent="0.3">
      <c r="A248" s="167"/>
      <c r="B248" s="188" t="s">
        <v>310</v>
      </c>
      <c r="C248" s="189"/>
      <c r="D248" s="1">
        <f t="shared" si="6"/>
        <v>0</v>
      </c>
      <c r="E248" s="145">
        <f t="shared" si="6"/>
        <v>0</v>
      </c>
      <c r="F248" s="1">
        <f>$F$240*E248*D248</f>
        <v>0</v>
      </c>
      <c r="G248" s="1">
        <f>$G$240*E248*D248</f>
        <v>0</v>
      </c>
      <c r="K248" s="272"/>
      <c r="AT248" s="118"/>
      <c r="AU248" s="118"/>
    </row>
    <row r="249" spans="1:55" s="5" customFormat="1" ht="13.8" thickBot="1" x14ac:dyDescent="0.3">
      <c r="A249" s="167"/>
      <c r="B249" s="188" t="s">
        <v>72</v>
      </c>
      <c r="C249" s="189"/>
      <c r="D249" s="189"/>
      <c r="E249" s="189"/>
      <c r="F249" s="190">
        <f>SUM(F244:F248)</f>
        <v>20533.895766586007</v>
      </c>
      <c r="G249" s="190">
        <f>SUM(G244:G248)</f>
        <v>41528.73227343749</v>
      </c>
      <c r="K249" s="272"/>
      <c r="AT249" s="118"/>
      <c r="AU249" s="118"/>
    </row>
    <row r="250" spans="1:55" s="5" customFormat="1" ht="13.8" thickBot="1" x14ac:dyDescent="0.3">
      <c r="A250" s="167"/>
      <c r="B250" s="188" t="s">
        <v>127</v>
      </c>
      <c r="C250" s="189"/>
      <c r="D250" s="191">
        <v>0.03</v>
      </c>
      <c r="E250" s="67">
        <v>0.6</v>
      </c>
      <c r="F250" s="1">
        <f>($F$249*E250*D250)*-1</f>
        <v>-369.6101237985481</v>
      </c>
      <c r="G250" s="1">
        <f>($G$249*E250*D250)*-1</f>
        <v>-747.5171809218748</v>
      </c>
      <c r="K250" s="272"/>
      <c r="AT250" s="118"/>
      <c r="AU250" s="118"/>
    </row>
    <row r="251" spans="1:55" s="5" customFormat="1" ht="13.8" thickBot="1" x14ac:dyDescent="0.3">
      <c r="A251" s="167"/>
      <c r="B251" s="188" t="s">
        <v>124</v>
      </c>
      <c r="C251" s="189"/>
      <c r="D251" s="189"/>
      <c r="E251" s="189"/>
      <c r="F251" s="190">
        <f>SUM(F249:F250)</f>
        <v>20164.285642787458</v>
      </c>
      <c r="G251" s="190">
        <f>SUM(G249:G250)</f>
        <v>40781.215092515617</v>
      </c>
      <c r="K251" s="272"/>
      <c r="AT251" s="118"/>
      <c r="AU251" s="118"/>
    </row>
    <row r="252" spans="1:55" s="5" customFormat="1" ht="13.8" thickBot="1" x14ac:dyDescent="0.3">
      <c r="A252" s="167"/>
      <c r="B252" s="188" t="s">
        <v>125</v>
      </c>
      <c r="C252" s="189"/>
      <c r="D252" s="189"/>
      <c r="E252" s="189"/>
      <c r="F252" s="1">
        <f>F251/($F240+0.00000001)</f>
        <v>10.016399999950243</v>
      </c>
      <c r="G252" s="1">
        <f>G251/($G$240+0.000000001)</f>
        <v>10.016399999997539</v>
      </c>
      <c r="K252" s="272"/>
      <c r="AT252" s="118"/>
      <c r="AU252" s="118"/>
    </row>
    <row r="253" spans="1:55" s="5" customFormat="1" ht="13.8" thickBot="1" x14ac:dyDescent="0.3">
      <c r="A253" s="167"/>
      <c r="B253" s="188" t="s">
        <v>73</v>
      </c>
      <c r="C253" s="189"/>
      <c r="D253" s="189"/>
      <c r="E253" s="189"/>
      <c r="F253" s="190">
        <f>F251</f>
        <v>20164.285642787458</v>
      </c>
      <c r="G253" s="190">
        <f>G251</f>
        <v>40781.215092515617</v>
      </c>
      <c r="K253" s="272"/>
      <c r="AT253" s="118"/>
      <c r="AU253" s="118"/>
    </row>
    <row r="254" spans="1:55" s="5" customFormat="1" ht="16.8" thickBot="1" x14ac:dyDescent="0.35">
      <c r="A254" s="167"/>
      <c r="B254" s="394" t="s">
        <v>76</v>
      </c>
      <c r="C254" s="395"/>
      <c r="D254" s="395"/>
      <c r="E254" s="395"/>
      <c r="F254" s="395"/>
      <c r="G254" s="396"/>
      <c r="K254" s="272"/>
      <c r="AT254" s="118"/>
      <c r="AU254" s="118"/>
    </row>
    <row r="255" spans="1:55" s="5" customFormat="1" ht="13.8" thickBot="1" x14ac:dyDescent="0.3">
      <c r="B255" s="188" t="s">
        <v>77</v>
      </c>
      <c r="C255" s="189"/>
      <c r="D255" s="189"/>
      <c r="E255" s="192" t="s">
        <v>78</v>
      </c>
      <c r="F255" s="175" t="s">
        <v>200</v>
      </c>
      <c r="G255" s="175" t="s">
        <v>190</v>
      </c>
      <c r="K255" s="272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4"/>
      <c r="AU255" s="4"/>
      <c r="AV255" s="3"/>
      <c r="AW255" s="3"/>
      <c r="AX255" s="3"/>
      <c r="AY255" s="3"/>
      <c r="AZ255" s="3"/>
      <c r="BA255" s="3"/>
      <c r="BB255" s="3"/>
      <c r="BC255" s="3"/>
    </row>
    <row r="256" spans="1:55" s="5" customFormat="1" ht="13.8" thickBot="1" x14ac:dyDescent="0.3">
      <c r="A256" s="167"/>
      <c r="B256" s="188" t="s">
        <v>208</v>
      </c>
      <c r="C256" s="189"/>
      <c r="D256" s="189"/>
      <c r="E256" s="193">
        <f>+F256/F253</f>
        <v>0.21043145664412594</v>
      </c>
      <c r="F256" s="190">
        <f>(G25*G32)*52/12</f>
        <v>4243.2</v>
      </c>
      <c r="G256" s="194">
        <f>(G25*G32)*52/12</f>
        <v>4243.2</v>
      </c>
      <c r="K256" s="272"/>
      <c r="AT256" s="118"/>
      <c r="AU256" s="118"/>
    </row>
    <row r="257" spans="1:47" s="5" customFormat="1" ht="13.8" thickBot="1" x14ac:dyDescent="0.3">
      <c r="A257" s="167"/>
      <c r="B257" s="188" t="s">
        <v>241</v>
      </c>
      <c r="C257" s="189"/>
      <c r="D257" s="189"/>
      <c r="E257" s="193">
        <f>K258/G253</f>
        <v>6.7089972445189897E-2</v>
      </c>
      <c r="F257" s="190">
        <f>E257*$F$251</f>
        <v>1352.8213681515488</v>
      </c>
      <c r="G257" s="190">
        <f>K258</f>
        <v>2736.010596838235</v>
      </c>
      <c r="K257" s="272"/>
      <c r="AT257" s="118"/>
      <c r="AU257" s="118"/>
    </row>
    <row r="258" spans="1:47" s="5" customFormat="1" ht="13.8" thickBot="1" x14ac:dyDescent="0.3">
      <c r="A258" s="167"/>
      <c r="B258" s="188" t="s">
        <v>305</v>
      </c>
      <c r="C258" s="189"/>
      <c r="D258" s="189"/>
      <c r="E258" s="195">
        <v>0.06</v>
      </c>
      <c r="F258" s="190">
        <f>E258*$F$251</f>
        <v>1209.8571385672474</v>
      </c>
      <c r="G258" s="190">
        <f>E258*$G$251</f>
        <v>2446.872905550937</v>
      </c>
      <c r="J258" s="252"/>
      <c r="K258" s="253">
        <f>(G240*$G$39*C$60)+(G240*$G$40*C$61)+(G240*$G$41*C$62)+(G240*$G$42*C$63)+(G240*$G$43*C$65)</f>
        <v>2736.010596838235</v>
      </c>
      <c r="AT258" s="118"/>
      <c r="AU258" s="118"/>
    </row>
    <row r="259" spans="1:47" s="5" customFormat="1" ht="13.8" thickBot="1" x14ac:dyDescent="0.3">
      <c r="A259" s="167"/>
      <c r="B259" s="188" t="s">
        <v>74</v>
      </c>
      <c r="C259" s="189"/>
      <c r="D259" s="189"/>
      <c r="E259" s="195">
        <v>0.03</v>
      </c>
      <c r="F259" s="190">
        <f>E259*$F$253</f>
        <v>604.92856928362369</v>
      </c>
      <c r="G259" s="190">
        <f>E259*$G$253</f>
        <v>1223.4364527754685</v>
      </c>
      <c r="H259" s="252"/>
      <c r="I259" s="252"/>
      <c r="J259" s="252"/>
      <c r="K259" s="252"/>
      <c r="AT259" s="118"/>
      <c r="AU259" s="118"/>
    </row>
    <row r="260" spans="1:47" s="5" customFormat="1" ht="13.8" thickBot="1" x14ac:dyDescent="0.3">
      <c r="A260" s="167"/>
      <c r="B260" s="188" t="s">
        <v>80</v>
      </c>
      <c r="C260" s="189"/>
      <c r="D260" s="189"/>
      <c r="E260" s="195">
        <v>0.01</v>
      </c>
      <c r="F260" s="190">
        <f>E260*$F$253</f>
        <v>201.64285642787459</v>
      </c>
      <c r="G260" s="190">
        <f>E260*$G$253</f>
        <v>407.81215092515617</v>
      </c>
      <c r="H260" s="252"/>
      <c r="I260" s="252"/>
      <c r="J260" s="252"/>
      <c r="K260" s="252"/>
      <c r="AT260" s="118"/>
      <c r="AU260" s="118"/>
    </row>
    <row r="261" spans="1:47" s="5" customFormat="1" ht="13.8" thickBot="1" x14ac:dyDescent="0.3">
      <c r="A261" s="167"/>
      <c r="B261" s="188" t="s">
        <v>86</v>
      </c>
      <c r="C261" s="189"/>
      <c r="D261" s="189"/>
      <c r="E261" s="195">
        <v>0.01</v>
      </c>
      <c r="F261" s="190">
        <f>E261*$F$253</f>
        <v>201.64285642787459</v>
      </c>
      <c r="G261" s="190">
        <f>E261*$G$253</f>
        <v>407.81215092515617</v>
      </c>
      <c r="H261" s="252"/>
      <c r="I261" s="252"/>
      <c r="J261" s="252"/>
      <c r="K261" s="252"/>
      <c r="AT261" s="118"/>
      <c r="AU261" s="118"/>
    </row>
    <row r="262" spans="1:47" s="5" customFormat="1" ht="13.8" thickBot="1" x14ac:dyDescent="0.3">
      <c r="A262" s="167"/>
      <c r="B262" s="188" t="s">
        <v>81</v>
      </c>
      <c r="C262" s="189"/>
      <c r="D262" s="189"/>
      <c r="E262" s="195">
        <v>0.01</v>
      </c>
      <c r="F262" s="190">
        <f>E262*$F$253</f>
        <v>201.64285642787459</v>
      </c>
      <c r="G262" s="194">
        <f>E262*$G$253</f>
        <v>407.81215092515617</v>
      </c>
      <c r="H262" s="252"/>
      <c r="I262" s="252"/>
      <c r="J262" s="252"/>
      <c r="K262" s="252"/>
      <c r="AT262" s="118"/>
      <c r="AU262" s="118"/>
    </row>
    <row r="263" spans="1:47" s="5" customFormat="1" ht="13.5" customHeight="1" thickBot="1" x14ac:dyDescent="0.3">
      <c r="A263" s="167"/>
      <c r="B263" s="188" t="s">
        <v>207</v>
      </c>
      <c r="C263" s="189"/>
      <c r="D263" s="189"/>
      <c r="E263" s="193">
        <f>+F263/F253</f>
        <v>0.31951541027214708</v>
      </c>
      <c r="F263" s="1">
        <f>((G18*G30)+(G22*G31))*52/12</f>
        <v>6442.7999999999993</v>
      </c>
      <c r="G263" s="197">
        <f>((G18*G30)+(G22*G31))*52/12</f>
        <v>6442.7999999999993</v>
      </c>
      <c r="H263" s="252"/>
      <c r="I263" s="252"/>
      <c r="J263" s="252"/>
      <c r="K263" s="255">
        <f>SUM(E257:E262)</f>
        <v>0.18708997244518991</v>
      </c>
      <c r="AT263" s="118"/>
      <c r="AU263" s="118"/>
    </row>
    <row r="264" spans="1:47" s="5" customFormat="1" ht="13.8" hidden="1" thickBot="1" x14ac:dyDescent="0.3">
      <c r="A264" s="167"/>
      <c r="B264" s="188" t="s">
        <v>132</v>
      </c>
      <c r="C264" s="189"/>
      <c r="D264" s="189"/>
      <c r="E264" s="195">
        <v>0</v>
      </c>
      <c r="F264" s="190">
        <f t="shared" ref="F264:F269" si="7">E264*$F$253</f>
        <v>0</v>
      </c>
      <c r="G264" s="190">
        <f t="shared" ref="G264:G269" si="8">E264*$G$253</f>
        <v>0</v>
      </c>
      <c r="H264" s="252"/>
      <c r="I264" s="252"/>
      <c r="J264" s="252"/>
      <c r="K264" s="254">
        <f>SUM(E264:E266)+E269</f>
        <v>3.5000000000000003E-2</v>
      </c>
      <c r="AT264" s="118"/>
      <c r="AU264" s="118"/>
    </row>
    <row r="265" spans="1:47" s="5" customFormat="1" ht="13.8" thickBot="1" x14ac:dyDescent="0.3">
      <c r="A265" s="167"/>
      <c r="B265" s="188" t="s">
        <v>82</v>
      </c>
      <c r="C265" s="189"/>
      <c r="D265" s="189"/>
      <c r="E265" s="195">
        <v>0.01</v>
      </c>
      <c r="F265" s="190">
        <f t="shared" si="7"/>
        <v>201.64285642787459</v>
      </c>
      <c r="G265" s="190">
        <f t="shared" si="8"/>
        <v>407.81215092515617</v>
      </c>
      <c r="H265" s="252"/>
      <c r="I265" s="252"/>
      <c r="J265" s="252" t="s">
        <v>212</v>
      </c>
      <c r="K265" s="254">
        <f>SUM(K263:K264)</f>
        <v>0.22208997244518991</v>
      </c>
      <c r="AT265" s="118"/>
      <c r="AU265" s="118"/>
    </row>
    <row r="266" spans="1:47" s="5" customFormat="1" ht="13.8" thickBot="1" x14ac:dyDescent="0.3">
      <c r="A266" s="167"/>
      <c r="B266" s="188" t="s">
        <v>83</v>
      </c>
      <c r="C266" s="189"/>
      <c r="D266" s="189"/>
      <c r="E266" s="195">
        <v>1.4999999999999999E-2</v>
      </c>
      <c r="F266" s="190">
        <f t="shared" si="7"/>
        <v>302.46428464181184</v>
      </c>
      <c r="G266" s="190">
        <f t="shared" si="8"/>
        <v>611.71822638773426</v>
      </c>
      <c r="H266" s="252"/>
      <c r="I266" s="252"/>
      <c r="J266" s="252"/>
      <c r="K266" s="252"/>
      <c r="AT266" s="118"/>
      <c r="AU266" s="118"/>
    </row>
    <row r="267" spans="1:47" s="5" customFormat="1" ht="13.8" thickBot="1" x14ac:dyDescent="0.3">
      <c r="A267" s="167"/>
      <c r="B267" s="188" t="s">
        <v>75</v>
      </c>
      <c r="C267" s="189"/>
      <c r="D267" s="189"/>
      <c r="E267" s="276">
        <f>+F267/F253</f>
        <v>9.9185264255338398E-2</v>
      </c>
      <c r="F267" s="275">
        <v>2000</v>
      </c>
      <c r="G267" s="194">
        <f>F267</f>
        <v>2000</v>
      </c>
      <c r="H267" s="252"/>
      <c r="I267" s="252"/>
      <c r="J267" s="252" t="s">
        <v>213</v>
      </c>
      <c r="K267" s="253">
        <f>(G256+G263)+G300+G308+G267+G268</f>
        <v>15686</v>
      </c>
      <c r="AS267" s="118"/>
      <c r="AT267" s="118"/>
    </row>
    <row r="268" spans="1:47" s="5" customFormat="1" ht="13.8" thickBot="1" x14ac:dyDescent="0.3">
      <c r="A268" s="167"/>
      <c r="B268" s="188" t="s">
        <v>84</v>
      </c>
      <c r="C268" s="189"/>
      <c r="D268" s="189"/>
      <c r="E268" s="276">
        <f>+F268/F253</f>
        <v>0.14877789638300759</v>
      </c>
      <c r="F268" s="275">
        <v>3000</v>
      </c>
      <c r="G268" s="194">
        <f>F268</f>
        <v>3000</v>
      </c>
      <c r="H268" s="253">
        <f>+F267/F253</f>
        <v>9.9185264255338398E-2</v>
      </c>
      <c r="I268" s="252"/>
      <c r="J268" s="252"/>
      <c r="K268" s="252"/>
      <c r="AS268" s="118"/>
      <c r="AT268" s="118"/>
    </row>
    <row r="269" spans="1:47" s="5" customFormat="1" ht="13.8" thickBot="1" x14ac:dyDescent="0.3">
      <c r="A269" s="167"/>
      <c r="B269" s="188" t="s">
        <v>85</v>
      </c>
      <c r="C269" s="189"/>
      <c r="D269" s="189"/>
      <c r="E269" s="195">
        <v>0.01</v>
      </c>
      <c r="F269" s="190">
        <f t="shared" si="7"/>
        <v>201.64285642787459</v>
      </c>
      <c r="G269" s="190">
        <f t="shared" si="8"/>
        <v>407.81215092515617</v>
      </c>
      <c r="H269" s="252"/>
      <c r="I269" s="252"/>
      <c r="J269" s="252" t="s">
        <v>214</v>
      </c>
      <c r="K269" s="253">
        <f>G252</f>
        <v>10.016399999997539</v>
      </c>
      <c r="AS269" s="118"/>
      <c r="AT269" s="118"/>
    </row>
    <row r="270" spans="1:47" s="5" customFormat="1" ht="13.8" thickBot="1" x14ac:dyDescent="0.3">
      <c r="A270" s="167"/>
      <c r="B270" s="188" t="s">
        <v>87</v>
      </c>
      <c r="C270" s="189"/>
      <c r="D270" s="189"/>
      <c r="E270" s="198"/>
      <c r="F270" s="190">
        <f>SUM(F256:F269)</f>
        <v>20164.285642783605</v>
      </c>
      <c r="G270" s="190">
        <f>SUM(G256:G269)</f>
        <v>24743.098936178154</v>
      </c>
      <c r="H270" s="252"/>
      <c r="I270" s="252"/>
      <c r="K270" s="272"/>
      <c r="AS270" s="118"/>
      <c r="AT270" s="118"/>
    </row>
    <row r="271" spans="1:47" s="5" customFormat="1" x14ac:dyDescent="0.25">
      <c r="A271" s="167"/>
      <c r="B271" s="172"/>
      <c r="C271" s="173"/>
      <c r="D271" s="173"/>
      <c r="E271" s="173"/>
      <c r="F271" s="199"/>
      <c r="G271" s="199"/>
      <c r="J271" s="196"/>
      <c r="K271" s="272"/>
      <c r="AS271" s="118"/>
      <c r="AT271" s="118"/>
    </row>
    <row r="272" spans="1:47" s="5" customFormat="1" ht="13.8" thickBot="1" x14ac:dyDescent="0.3">
      <c r="A272" s="167"/>
      <c r="B272" s="176" t="s">
        <v>201</v>
      </c>
      <c r="C272" s="177"/>
      <c r="D272" s="177"/>
      <c r="E272" s="177"/>
      <c r="F272" s="200">
        <f>F253-F270</f>
        <v>3.852619556710124E-9</v>
      </c>
      <c r="G272" s="200">
        <f>G253-G270</f>
        <v>16038.116156337463</v>
      </c>
      <c r="K272" s="272"/>
      <c r="AS272" s="118"/>
      <c r="AT272" s="118"/>
    </row>
    <row r="273" spans="1:256" s="5" customFormat="1" x14ac:dyDescent="0.25">
      <c r="A273" s="167"/>
      <c r="B273" s="201"/>
      <c r="C273" s="201"/>
      <c r="D273" s="201"/>
      <c r="E273" s="201"/>
      <c r="F273" s="202"/>
      <c r="G273" s="202"/>
      <c r="K273" s="272"/>
      <c r="AT273" s="118"/>
      <c r="AU273" s="118"/>
    </row>
    <row r="274" spans="1:256" s="5" customFormat="1" x14ac:dyDescent="0.25">
      <c r="A274" s="167"/>
      <c r="B274" s="201"/>
      <c r="C274" s="201"/>
      <c r="D274" s="201"/>
      <c r="E274" s="201"/>
      <c r="F274" s="202"/>
      <c r="G274" s="202"/>
      <c r="K274" s="272"/>
      <c r="AT274" s="118"/>
      <c r="AU274" s="118"/>
    </row>
    <row r="275" spans="1:256" s="5" customFormat="1" x14ac:dyDescent="0.25">
      <c r="A275" s="167"/>
      <c r="B275" s="167"/>
      <c r="C275" s="167"/>
      <c r="D275" s="167"/>
      <c r="E275" s="167"/>
      <c r="F275" s="167"/>
      <c r="G275" s="167"/>
      <c r="K275" s="272"/>
      <c r="AT275" s="118"/>
      <c r="AU275" s="118"/>
    </row>
    <row r="276" spans="1:256" s="5" customFormat="1" ht="17.399999999999999" x14ac:dyDescent="0.25">
      <c r="A276" s="311"/>
      <c r="B276" s="339" t="s">
        <v>121</v>
      </c>
      <c r="C276" s="339"/>
      <c r="D276" s="339"/>
      <c r="E276" s="339"/>
      <c r="F276" s="339"/>
      <c r="G276" s="339"/>
      <c r="K276" s="272"/>
      <c r="AT276" s="118"/>
      <c r="AU276" s="118"/>
    </row>
    <row r="277" spans="1:256" s="5" customFormat="1" ht="18.75" customHeight="1" thickBot="1" x14ac:dyDescent="0.3">
      <c r="A277" s="311"/>
      <c r="B277" s="311"/>
      <c r="C277" s="311"/>
      <c r="D277" s="311"/>
      <c r="E277" s="311"/>
      <c r="F277" s="311"/>
      <c r="G277" s="169"/>
      <c r="K277" s="272"/>
      <c r="AT277" s="118"/>
      <c r="AU277" s="118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</row>
    <row r="278" spans="1:256" s="5" customFormat="1" x14ac:dyDescent="0.25">
      <c r="A278" s="167"/>
      <c r="B278" s="170" t="s">
        <v>0</v>
      </c>
      <c r="C278" s="358" t="str">
        <f>CUSTOMERNAME</f>
        <v>Brainard Holdings LLC - Car Wash Café</v>
      </c>
      <c r="D278" s="359"/>
      <c r="E278" s="360"/>
      <c r="F278" s="167"/>
      <c r="G278" s="167"/>
      <c r="K278" s="272"/>
      <c r="AT278" s="118"/>
      <c r="AU278" s="118"/>
    </row>
    <row r="279" spans="1:256" s="5" customFormat="1" ht="13.8" thickBot="1" x14ac:dyDescent="0.3">
      <c r="A279" s="167"/>
      <c r="B279" s="170" t="s">
        <v>1</v>
      </c>
      <c r="C279" s="385" t="str">
        <f>ADDRESS</f>
        <v>3050 N University Dr., Sunrise, FL 33322</v>
      </c>
      <c r="D279" s="386"/>
      <c r="E279" s="387"/>
      <c r="F279" s="167"/>
      <c r="G279" s="167"/>
      <c r="K279" s="272"/>
      <c r="AT279" s="118"/>
      <c r="AU279" s="118"/>
    </row>
    <row r="280" spans="1:256" s="5" customFormat="1" x14ac:dyDescent="0.25">
      <c r="A280" s="167"/>
      <c r="B280" s="167"/>
      <c r="C280" s="167"/>
      <c r="D280" s="167"/>
      <c r="E280" s="167"/>
      <c r="F280" s="167"/>
      <c r="G280" s="171" t="s">
        <v>216</v>
      </c>
      <c r="K280" s="272"/>
      <c r="AT280" s="118"/>
      <c r="AU280" s="118"/>
    </row>
    <row r="281" spans="1:256" s="5" customFormat="1" ht="19.8" x14ac:dyDescent="0.3">
      <c r="A281" s="167"/>
      <c r="B281" s="281"/>
      <c r="C281" s="281"/>
      <c r="D281" s="281"/>
      <c r="E281" s="281"/>
      <c r="F281" s="281"/>
      <c r="G281" s="281"/>
      <c r="K281" s="273"/>
      <c r="AT281" s="118"/>
      <c r="AU281" s="118"/>
    </row>
    <row r="282" spans="1:256" s="5" customFormat="1" ht="20.399999999999999" thickBot="1" x14ac:dyDescent="0.35">
      <c r="A282" s="294" t="s">
        <v>314</v>
      </c>
      <c r="B282" s="203"/>
      <c r="C282" s="203"/>
      <c r="D282" s="203"/>
      <c r="E282" s="203"/>
      <c r="F282" s="203"/>
      <c r="G282" s="167"/>
      <c r="K282" s="272"/>
      <c r="AT282" s="118"/>
      <c r="AU282" s="118"/>
    </row>
    <row r="283" spans="1:256" s="5" customFormat="1" x14ac:dyDescent="0.25">
      <c r="A283" s="167"/>
      <c r="B283" s="183" t="s">
        <v>90</v>
      </c>
      <c r="C283" s="184" t="s">
        <v>93</v>
      </c>
      <c r="D283" s="184" t="s">
        <v>89</v>
      </c>
      <c r="E283" s="184" t="s">
        <v>91</v>
      </c>
      <c r="F283" s="184" t="s">
        <v>95</v>
      </c>
      <c r="G283" s="184" t="s">
        <v>96</v>
      </c>
      <c r="K283" s="272"/>
      <c r="AT283" s="118"/>
      <c r="AU283" s="118"/>
    </row>
    <row r="284" spans="1:256" s="5" customFormat="1" ht="13.8" thickBot="1" x14ac:dyDescent="0.3">
      <c r="A284" s="167"/>
      <c r="B284" s="185" t="s">
        <v>94</v>
      </c>
      <c r="C284" s="187" t="s">
        <v>90</v>
      </c>
      <c r="D284" s="187" t="s">
        <v>90</v>
      </c>
      <c r="E284" s="187" t="s">
        <v>92</v>
      </c>
      <c r="F284" s="187" t="s">
        <v>90</v>
      </c>
      <c r="G284" s="187" t="s">
        <v>93</v>
      </c>
      <c r="K284" s="272"/>
      <c r="AT284" s="118"/>
      <c r="AU284" s="118"/>
    </row>
    <row r="285" spans="1:256" s="5" customFormat="1" ht="13.8" thickBot="1" x14ac:dyDescent="0.3">
      <c r="A285" s="167"/>
      <c r="B285" s="204" t="s">
        <v>97</v>
      </c>
      <c r="C285" s="205">
        <f t="shared" ref="C285:D289" si="9">C149</f>
        <v>0</v>
      </c>
      <c r="D285" s="145">
        <f t="shared" si="9"/>
        <v>0.2</v>
      </c>
      <c r="E285" s="145">
        <f>1-D285</f>
        <v>0.8</v>
      </c>
      <c r="F285" s="205">
        <f>D285*C285</f>
        <v>0</v>
      </c>
      <c r="G285" s="205">
        <f>E285*C285</f>
        <v>0</v>
      </c>
      <c r="K285" s="272"/>
      <c r="AT285" s="118"/>
      <c r="AU285" s="118"/>
    </row>
    <row r="286" spans="1:256" s="5" customFormat="1" ht="13.8" thickBot="1" x14ac:dyDescent="0.3">
      <c r="A286" s="167"/>
      <c r="B286" s="204" t="s">
        <v>98</v>
      </c>
      <c r="C286" s="205">
        <f t="shared" si="9"/>
        <v>0</v>
      </c>
      <c r="D286" s="145">
        <f t="shared" si="9"/>
        <v>0.2</v>
      </c>
      <c r="E286" s="145">
        <f>1-D286</f>
        <v>0.8</v>
      </c>
      <c r="F286" s="205">
        <f>D286*C286</f>
        <v>0</v>
      </c>
      <c r="G286" s="205">
        <f>E286*C286</f>
        <v>0</v>
      </c>
      <c r="K286" s="272"/>
      <c r="AT286" s="118"/>
      <c r="AU286" s="118"/>
    </row>
    <row r="287" spans="1:256" s="5" customFormat="1" ht="13.8" thickBot="1" x14ac:dyDescent="0.3">
      <c r="A287" s="167"/>
      <c r="B287" s="204" t="s">
        <v>9</v>
      </c>
      <c r="C287" s="205">
        <f t="shared" si="9"/>
        <v>0</v>
      </c>
      <c r="D287" s="145">
        <f t="shared" si="9"/>
        <v>0.2</v>
      </c>
      <c r="E287" s="145">
        <f>1-D287</f>
        <v>0.8</v>
      </c>
      <c r="F287" s="205">
        <f>D287*C287</f>
        <v>0</v>
      </c>
      <c r="G287" s="205">
        <f>E287*C287</f>
        <v>0</v>
      </c>
      <c r="K287" s="272"/>
      <c r="AT287" s="118"/>
      <c r="AU287" s="118"/>
    </row>
    <row r="288" spans="1:256" s="5" customFormat="1" ht="13.8" thickBot="1" x14ac:dyDescent="0.3">
      <c r="A288" s="167"/>
      <c r="B288" s="204" t="s">
        <v>99</v>
      </c>
      <c r="C288" s="205">
        <f t="shared" si="9"/>
        <v>0</v>
      </c>
      <c r="D288" s="145">
        <f t="shared" si="9"/>
        <v>0.2</v>
      </c>
      <c r="E288" s="145">
        <f>1-D288</f>
        <v>0.8</v>
      </c>
      <c r="F288" s="205">
        <f>D288*C288</f>
        <v>0</v>
      </c>
      <c r="G288" s="205">
        <f>E288*C288</f>
        <v>0</v>
      </c>
      <c r="K288" s="272"/>
      <c r="AT288" s="118"/>
      <c r="AU288" s="118"/>
    </row>
    <row r="289" spans="1:55" s="5" customFormat="1" ht="13.8" thickBot="1" x14ac:dyDescent="0.3">
      <c r="A289" s="167"/>
      <c r="B289" s="204" t="s">
        <v>100</v>
      </c>
      <c r="C289" s="205">
        <f t="shared" si="9"/>
        <v>0</v>
      </c>
      <c r="D289" s="145">
        <f t="shared" si="9"/>
        <v>0.2</v>
      </c>
      <c r="E289" s="145">
        <f>1-D289</f>
        <v>0.8</v>
      </c>
      <c r="F289" s="205">
        <f>D289*C289</f>
        <v>0</v>
      </c>
      <c r="G289" s="205">
        <f>E289*C289</f>
        <v>0</v>
      </c>
      <c r="K289" s="272"/>
      <c r="AT289" s="118"/>
      <c r="AU289" s="118"/>
    </row>
    <row r="290" spans="1:55" s="5" customFormat="1" ht="13.8" thickBot="1" x14ac:dyDescent="0.3">
      <c r="A290" s="167"/>
      <c r="B290" s="204" t="s">
        <v>101</v>
      </c>
      <c r="C290" s="144">
        <f>SUM(C285:C289)</f>
        <v>0</v>
      </c>
      <c r="D290" s="145" t="e">
        <f>D154</f>
        <v>#DIV/0!</v>
      </c>
      <c r="E290" s="145">
        <f>G290/(C290+0.0000000001)</f>
        <v>0</v>
      </c>
      <c r="F290" s="144">
        <f>SUM(F285:F289)</f>
        <v>0</v>
      </c>
      <c r="G290" s="144">
        <f>SUM(G285:G289)</f>
        <v>0</v>
      </c>
      <c r="K290" s="272"/>
      <c r="AT290" s="118"/>
      <c r="AU290" s="118"/>
    </row>
    <row r="291" spans="1:55" s="5" customFormat="1" x14ac:dyDescent="0.25">
      <c r="A291" s="167"/>
      <c r="B291" s="206"/>
      <c r="C291" s="207"/>
      <c r="D291" s="207"/>
      <c r="E291" s="207"/>
      <c r="F291" s="207"/>
      <c r="G291" s="174"/>
      <c r="J291" s="196"/>
      <c r="K291" s="272"/>
      <c r="AT291" s="118"/>
      <c r="AU291" s="118"/>
    </row>
    <row r="292" spans="1:55" s="5" customFormat="1" ht="13.8" thickBot="1" x14ac:dyDescent="0.3">
      <c r="A292" s="167"/>
      <c r="B292" s="208" t="s">
        <v>102</v>
      </c>
      <c r="C292" s="209"/>
      <c r="D292" s="209"/>
      <c r="E292" s="210"/>
      <c r="F292" s="210"/>
      <c r="G292" s="211"/>
      <c r="K292" s="272"/>
      <c r="AT292" s="118"/>
      <c r="AU292" s="118"/>
    </row>
    <row r="293" spans="1:55" s="5" customFormat="1" x14ac:dyDescent="0.25">
      <c r="A293" s="167"/>
      <c r="B293" s="183" t="s">
        <v>90</v>
      </c>
      <c r="C293" s="184" t="s">
        <v>96</v>
      </c>
      <c r="D293" s="184" t="s">
        <v>103</v>
      </c>
      <c r="E293" s="212" t="s">
        <v>105</v>
      </c>
      <c r="F293" s="184"/>
      <c r="G293" s="184" t="s">
        <v>106</v>
      </c>
      <c r="K293" s="272"/>
      <c r="AT293" s="118"/>
      <c r="AU293" s="118"/>
    </row>
    <row r="294" spans="1:55" s="5" customFormat="1" ht="13.8" thickBot="1" x14ac:dyDescent="0.3">
      <c r="A294" s="167"/>
      <c r="B294" s="185" t="s">
        <v>94</v>
      </c>
      <c r="C294" s="187" t="s">
        <v>93</v>
      </c>
      <c r="D294" s="187" t="s">
        <v>104</v>
      </c>
      <c r="E294" s="213" t="s">
        <v>108</v>
      </c>
      <c r="F294" s="187"/>
      <c r="G294" s="187" t="s">
        <v>107</v>
      </c>
      <c r="K294" s="272"/>
      <c r="AT294" s="118"/>
      <c r="AU294" s="118"/>
    </row>
    <row r="295" spans="1:55" s="5" customFormat="1" ht="13.8" thickBot="1" x14ac:dyDescent="0.3">
      <c r="A295" s="167"/>
      <c r="B295" s="204" t="s">
        <v>97</v>
      </c>
      <c r="C295" s="205">
        <f>G285</f>
        <v>0</v>
      </c>
      <c r="D295" s="145">
        <f t="shared" ref="D295:E299" si="10">D159</f>
        <v>0.05</v>
      </c>
      <c r="E295" s="214">
        <f t="shared" si="10"/>
        <v>240</v>
      </c>
      <c r="F295" s="1"/>
      <c r="G295" s="215">
        <f>PMT(D295/12,(E295+0.00000001),C295)*-1</f>
        <v>0</v>
      </c>
      <c r="K295" s="272"/>
      <c r="AT295" s="118"/>
      <c r="AU295" s="118"/>
    </row>
    <row r="296" spans="1:55" s="5" customFormat="1" ht="13.8" thickBot="1" x14ac:dyDescent="0.3">
      <c r="A296" s="167"/>
      <c r="B296" s="204" t="s">
        <v>98</v>
      </c>
      <c r="C296" s="205">
        <f>G286</f>
        <v>0</v>
      </c>
      <c r="D296" s="145">
        <f t="shared" si="10"/>
        <v>0.05</v>
      </c>
      <c r="E296" s="214">
        <f t="shared" si="10"/>
        <v>240</v>
      </c>
      <c r="F296" s="1"/>
      <c r="G296" s="215">
        <f>PMT(D296/12,(E296+0.00000001),C296)*-1</f>
        <v>0</v>
      </c>
      <c r="K296" s="272"/>
      <c r="AT296" s="118"/>
      <c r="AU296" s="118"/>
    </row>
    <row r="297" spans="1:55" s="5" customFormat="1" ht="20.100000000000001" customHeight="1" thickBot="1" x14ac:dyDescent="0.3">
      <c r="A297" s="167"/>
      <c r="B297" s="204" t="s">
        <v>9</v>
      </c>
      <c r="C297" s="205">
        <f>G287</f>
        <v>0</v>
      </c>
      <c r="D297" s="145">
        <f t="shared" si="10"/>
        <v>0.05</v>
      </c>
      <c r="E297" s="214">
        <f t="shared" si="10"/>
        <v>240</v>
      </c>
      <c r="F297" s="1"/>
      <c r="G297" s="215">
        <f>PMT(D297/12,(E297+0.00000001),C297)*-1</f>
        <v>0</v>
      </c>
      <c r="K297" s="272"/>
      <c r="AT297" s="118"/>
      <c r="AU297" s="118"/>
    </row>
    <row r="298" spans="1:55" s="5" customFormat="1" ht="20.100000000000001" customHeight="1" thickBot="1" x14ac:dyDescent="0.3">
      <c r="A298" s="167"/>
      <c r="B298" s="204" t="s">
        <v>99</v>
      </c>
      <c r="C298" s="205">
        <f>G288</f>
        <v>0</v>
      </c>
      <c r="D298" s="145">
        <f t="shared" si="10"/>
        <v>0.05</v>
      </c>
      <c r="E298" s="214">
        <f t="shared" si="10"/>
        <v>240</v>
      </c>
      <c r="F298" s="1"/>
      <c r="G298" s="215">
        <f>PMT(D298/12,(E298+0.00000001),C298)*-1</f>
        <v>0</v>
      </c>
      <c r="K298" s="272"/>
      <c r="AT298" s="118"/>
      <c r="AU298" s="118"/>
    </row>
    <row r="299" spans="1:55" s="5" customFormat="1" ht="20.100000000000001" customHeight="1" thickBot="1" x14ac:dyDescent="0.3">
      <c r="A299" s="167"/>
      <c r="B299" s="204" t="s">
        <v>100</v>
      </c>
      <c r="C299" s="205">
        <f>G289</f>
        <v>0</v>
      </c>
      <c r="D299" s="145">
        <f t="shared" si="10"/>
        <v>0.05</v>
      </c>
      <c r="E299" s="214">
        <f t="shared" si="10"/>
        <v>240</v>
      </c>
      <c r="F299" s="1"/>
      <c r="G299" s="215">
        <f>PMT(D299/12,(E299+0.00000001),C299)*-1</f>
        <v>0</v>
      </c>
      <c r="K299" s="272"/>
      <c r="AT299" s="118"/>
      <c r="AU299" s="118"/>
    </row>
    <row r="300" spans="1:55" s="5" customFormat="1" ht="20.100000000000001" customHeight="1" thickBot="1" x14ac:dyDescent="0.3">
      <c r="A300" s="167"/>
      <c r="B300" s="204" t="s">
        <v>109</v>
      </c>
      <c r="C300" s="144">
        <f>SUM(C295:C299)</f>
        <v>0</v>
      </c>
      <c r="D300" s="145"/>
      <c r="E300" s="214"/>
      <c r="F300" s="190"/>
      <c r="G300" s="190">
        <f>SUM(G295:G299)</f>
        <v>0</v>
      </c>
      <c r="K300" s="272"/>
      <c r="AT300" s="118"/>
      <c r="AU300" s="118"/>
    </row>
    <row r="301" spans="1:55" s="5" customFormat="1" ht="20.100000000000001" customHeight="1" x14ac:dyDescent="0.25">
      <c r="A301" s="167"/>
      <c r="B301" s="206"/>
      <c r="C301" s="207"/>
      <c r="D301" s="207"/>
      <c r="E301" s="207"/>
      <c r="F301" s="207"/>
      <c r="G301" s="174"/>
      <c r="K301" s="272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4"/>
      <c r="AU301" s="4"/>
      <c r="AV301" s="3"/>
      <c r="AW301" s="3"/>
      <c r="AX301" s="3"/>
      <c r="AY301" s="3"/>
      <c r="AZ301" s="3"/>
      <c r="BA301" s="3"/>
      <c r="BB301" s="3"/>
      <c r="BC301" s="3"/>
    </row>
    <row r="302" spans="1:55" s="5" customFormat="1" ht="13.8" thickBot="1" x14ac:dyDescent="0.3">
      <c r="A302" s="167"/>
      <c r="B302" s="383" t="s">
        <v>110</v>
      </c>
      <c r="C302" s="384"/>
      <c r="D302" s="210"/>
      <c r="E302" s="210"/>
      <c r="F302" s="210"/>
      <c r="G302" s="211"/>
      <c r="K302" s="272"/>
      <c r="AT302" s="118"/>
      <c r="AU302" s="118"/>
    </row>
    <row r="303" spans="1:55" s="5" customFormat="1" ht="18" customHeight="1" x14ac:dyDescent="0.25">
      <c r="A303" s="167"/>
      <c r="B303" s="217"/>
      <c r="C303" s="218"/>
      <c r="D303" s="218"/>
      <c r="E303" s="218"/>
      <c r="F303" s="219"/>
      <c r="G303" s="220" t="s">
        <v>106</v>
      </c>
      <c r="K303" s="272"/>
      <c r="AT303" s="118"/>
      <c r="AU303" s="118"/>
    </row>
    <row r="304" spans="1:55" s="5" customFormat="1" ht="13.8" thickBot="1" x14ac:dyDescent="0.3">
      <c r="A304" s="167"/>
      <c r="B304" s="185" t="s">
        <v>119</v>
      </c>
      <c r="C304" s="221"/>
      <c r="D304" s="221"/>
      <c r="E304" s="222"/>
      <c r="F304" s="186"/>
      <c r="G304" s="187" t="s">
        <v>107</v>
      </c>
      <c r="K304" s="272"/>
      <c r="AT304" s="118"/>
      <c r="AU304" s="118"/>
    </row>
    <row r="305" spans="1:47" s="5" customFormat="1" ht="13.8" thickBot="1" x14ac:dyDescent="0.3">
      <c r="A305" s="167"/>
      <c r="B305" s="188" t="s">
        <v>97</v>
      </c>
      <c r="C305" s="223"/>
      <c r="D305" s="224"/>
      <c r="E305" s="225"/>
      <c r="F305" s="226"/>
      <c r="G305" s="215">
        <f>G169</f>
        <v>0</v>
      </c>
      <c r="K305" s="272"/>
      <c r="AT305" s="118"/>
      <c r="AU305" s="118"/>
    </row>
    <row r="306" spans="1:47" s="5" customFormat="1" ht="13.8" thickBot="1" x14ac:dyDescent="0.3">
      <c r="A306" s="167"/>
      <c r="B306" s="188" t="s">
        <v>98</v>
      </c>
      <c r="C306" s="223"/>
      <c r="D306" s="224"/>
      <c r="E306" s="225"/>
      <c r="F306" s="226"/>
      <c r="G306" s="215">
        <f>G170</f>
        <v>0</v>
      </c>
      <c r="K306" s="272"/>
      <c r="AT306" s="118"/>
      <c r="AU306" s="118"/>
    </row>
    <row r="307" spans="1:47" s="5" customFormat="1" ht="13.8" thickBot="1" x14ac:dyDescent="0.3">
      <c r="A307" s="167"/>
      <c r="B307" s="188" t="s">
        <v>100</v>
      </c>
      <c r="C307" s="223"/>
      <c r="D307" s="224"/>
      <c r="E307" s="225"/>
      <c r="F307" s="226"/>
      <c r="G307" s="215">
        <f>G171</f>
        <v>0</v>
      </c>
      <c r="K307" s="272"/>
      <c r="AT307" s="118"/>
      <c r="AU307" s="118"/>
    </row>
    <row r="308" spans="1:47" s="5" customFormat="1" ht="13.8" thickBot="1" x14ac:dyDescent="0.3">
      <c r="A308" s="167"/>
      <c r="B308" s="188" t="s">
        <v>111</v>
      </c>
      <c r="C308" s="227"/>
      <c r="D308" s="224"/>
      <c r="E308" s="225"/>
      <c r="F308" s="228"/>
      <c r="G308" s="190">
        <f>SUM(G305:G307)</f>
        <v>0</v>
      </c>
      <c r="K308" s="272"/>
      <c r="AT308" s="118"/>
      <c r="AU308" s="118"/>
    </row>
    <row r="309" spans="1:47" s="5" customFormat="1" x14ac:dyDescent="0.25">
      <c r="A309" s="167"/>
      <c r="B309" s="206"/>
      <c r="C309" s="207"/>
      <c r="D309" s="207"/>
      <c r="E309" s="207"/>
      <c r="F309" s="207"/>
      <c r="G309" s="174"/>
      <c r="K309" s="272"/>
      <c r="AT309" s="118"/>
      <c r="AU309" s="118"/>
    </row>
    <row r="310" spans="1:47" s="5" customFormat="1" ht="13.8" thickBot="1" x14ac:dyDescent="0.3">
      <c r="A310" s="167"/>
      <c r="B310" s="11" t="s">
        <v>112</v>
      </c>
      <c r="C310" s="216"/>
      <c r="D310" s="210"/>
      <c r="E310" s="210"/>
      <c r="F310" s="210"/>
      <c r="G310" s="211"/>
      <c r="K310" s="272"/>
      <c r="AT310" s="118"/>
      <c r="AU310" s="118"/>
    </row>
    <row r="311" spans="1:47" s="5" customFormat="1" ht="13.8" thickBot="1" x14ac:dyDescent="0.3">
      <c r="A311" s="167"/>
      <c r="B311" s="188" t="s">
        <v>73</v>
      </c>
      <c r="C311" s="189"/>
      <c r="D311" s="189"/>
      <c r="E311" s="189"/>
      <c r="F311" s="190">
        <f>F253</f>
        <v>20164.285642787458</v>
      </c>
      <c r="G311" s="190">
        <f>G253</f>
        <v>40781.215092515617</v>
      </c>
      <c r="K311" s="272"/>
      <c r="AT311" s="118"/>
      <c r="AU311" s="118"/>
    </row>
    <row r="312" spans="1:47" s="5" customFormat="1" ht="13.8" thickBot="1" x14ac:dyDescent="0.3">
      <c r="A312" s="167"/>
      <c r="B312" s="188" t="s">
        <v>87</v>
      </c>
      <c r="C312" s="189"/>
      <c r="D312" s="189"/>
      <c r="E312" s="198"/>
      <c r="F312" s="190">
        <f>F270</f>
        <v>20164.285642783605</v>
      </c>
      <c r="G312" s="190">
        <f>G270</f>
        <v>24743.098936178154</v>
      </c>
      <c r="K312" s="272"/>
      <c r="AT312" s="118"/>
      <c r="AU312" s="118"/>
    </row>
    <row r="313" spans="1:47" s="5" customFormat="1" ht="13.8" thickBot="1" x14ac:dyDescent="0.3">
      <c r="A313" s="167"/>
      <c r="B313" s="176" t="s">
        <v>201</v>
      </c>
      <c r="C313" s="177"/>
      <c r="D313" s="177"/>
      <c r="E313" s="177"/>
      <c r="F313" s="200">
        <f>F311-F312</f>
        <v>3.852619556710124E-9</v>
      </c>
      <c r="G313" s="200">
        <f>G311-G312</f>
        <v>16038.116156337463</v>
      </c>
      <c r="K313" s="272"/>
      <c r="AS313" s="118"/>
      <c r="AT313" s="118"/>
    </row>
    <row r="314" spans="1:47" s="5" customFormat="1" ht="13.8" thickBot="1" x14ac:dyDescent="0.3">
      <c r="A314" s="167"/>
      <c r="B314" s="188" t="s">
        <v>113</v>
      </c>
      <c r="C314" s="189"/>
      <c r="D314" s="189"/>
      <c r="E314" s="189"/>
      <c r="F314" s="190">
        <f>G300</f>
        <v>0</v>
      </c>
      <c r="G314" s="190">
        <f>G300</f>
        <v>0</v>
      </c>
      <c r="K314" s="272"/>
      <c r="AS314" s="118"/>
      <c r="AT314" s="118"/>
    </row>
    <row r="315" spans="1:47" s="5" customFormat="1" ht="13.8" thickBot="1" x14ac:dyDescent="0.3">
      <c r="A315" s="167"/>
      <c r="B315" s="188" t="s">
        <v>114</v>
      </c>
      <c r="C315" s="189"/>
      <c r="D315" s="189"/>
      <c r="E315" s="189"/>
      <c r="F315" s="190">
        <f>G308</f>
        <v>0</v>
      </c>
      <c r="G315" s="190">
        <f>G308</f>
        <v>0</v>
      </c>
      <c r="K315" s="272"/>
      <c r="AS315" s="118"/>
      <c r="AT315" s="118"/>
    </row>
    <row r="316" spans="1:47" s="5" customFormat="1" x14ac:dyDescent="0.25">
      <c r="A316" s="167"/>
      <c r="B316" s="172"/>
      <c r="C316" s="173"/>
      <c r="D316" s="173"/>
      <c r="E316" s="173"/>
      <c r="F316" s="199"/>
      <c r="G316" s="199"/>
      <c r="K316" s="272"/>
      <c r="AS316" s="118"/>
      <c r="AT316" s="118"/>
    </row>
    <row r="317" spans="1:47" s="5" customFormat="1" ht="13.8" thickBot="1" x14ac:dyDescent="0.3">
      <c r="A317" s="167"/>
      <c r="B317" s="176" t="s">
        <v>115</v>
      </c>
      <c r="C317" s="177"/>
      <c r="D317" s="177"/>
      <c r="E317" s="177"/>
      <c r="F317" s="200">
        <f>F313-F314-F315</f>
        <v>3.852619556710124E-9</v>
      </c>
      <c r="G317" s="200">
        <f>G313-G314-G315</f>
        <v>16038.116156337463</v>
      </c>
      <c r="K317" s="272"/>
      <c r="AS317" s="118"/>
      <c r="AT317" s="118"/>
    </row>
    <row r="318" spans="1:47" s="5" customFormat="1" x14ac:dyDescent="0.25">
      <c r="A318" s="167"/>
      <c r="B318" s="201"/>
      <c r="C318" s="201"/>
      <c r="D318" s="201"/>
      <c r="E318" s="201"/>
      <c r="F318" s="202"/>
      <c r="G318" s="202"/>
      <c r="K318" s="272"/>
      <c r="AS318" s="118"/>
      <c r="AT318" s="118"/>
    </row>
    <row r="319" spans="1:47" s="5" customFormat="1" x14ac:dyDescent="0.25">
      <c r="A319" s="167"/>
      <c r="B319" s="167"/>
      <c r="C319" s="167"/>
      <c r="D319" s="167"/>
      <c r="E319" s="167"/>
      <c r="F319" s="167"/>
      <c r="G319" s="167"/>
      <c r="K319" s="272"/>
      <c r="AT319" s="118"/>
      <c r="AU319" s="118"/>
    </row>
    <row r="320" spans="1:47" s="5" customFormat="1" x14ac:dyDescent="0.25">
      <c r="A320" s="167"/>
      <c r="B320" s="3"/>
      <c r="C320" s="3"/>
      <c r="D320" s="12"/>
      <c r="E320" s="3"/>
      <c r="F320" s="3"/>
      <c r="G320" s="3"/>
      <c r="K320" s="272"/>
      <c r="T320" s="3"/>
      <c r="U320" s="3"/>
      <c r="AT320" s="118"/>
      <c r="AU320" s="118"/>
    </row>
    <row r="321" spans="1:256" x14ac:dyDescent="0.25">
      <c r="A321" s="3"/>
      <c r="B321" s="167"/>
      <c r="C321" s="167"/>
      <c r="D321" s="167"/>
      <c r="E321" s="167"/>
      <c r="F321" s="167"/>
      <c r="G321" s="167"/>
      <c r="H321" s="5"/>
      <c r="I321" s="5"/>
      <c r="J321" s="3"/>
      <c r="K321" s="271"/>
      <c r="L321" s="3"/>
      <c r="M321" s="3"/>
      <c r="N321" s="3"/>
      <c r="O321" s="3"/>
      <c r="P321" s="3"/>
      <c r="Q321" s="3"/>
      <c r="R321" s="3"/>
      <c r="S321" s="3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118"/>
      <c r="AU321" s="118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</row>
    <row r="322" spans="1:256" s="5" customFormat="1" ht="17.399999999999999" x14ac:dyDescent="0.3">
      <c r="A322" s="168" t="s">
        <v>326</v>
      </c>
      <c r="B322" s="337" t="s">
        <v>121</v>
      </c>
      <c r="C322" s="337"/>
      <c r="D322" s="337"/>
      <c r="E322" s="337"/>
      <c r="F322" s="337"/>
      <c r="G322" s="337"/>
      <c r="K322" s="272"/>
      <c r="AT322" s="118"/>
      <c r="AU322" s="118"/>
    </row>
    <row r="323" spans="1:256" s="5" customFormat="1" ht="18.75" customHeight="1" thickBot="1" x14ac:dyDescent="0.35">
      <c r="A323" s="168"/>
      <c r="B323" s="168"/>
      <c r="C323" s="168"/>
      <c r="D323" s="168"/>
      <c r="E323" s="168"/>
      <c r="F323" s="168"/>
      <c r="G323" s="169"/>
      <c r="K323" s="272"/>
      <c r="AT323" s="118"/>
      <c r="AU323" s="118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  <c r="IT323" s="6"/>
      <c r="IU323" s="6"/>
      <c r="IV323" s="6"/>
    </row>
    <row r="324" spans="1:256" s="5" customFormat="1" x14ac:dyDescent="0.25">
      <c r="A324" s="167"/>
      <c r="B324" s="170" t="s">
        <v>0</v>
      </c>
      <c r="C324" s="358" t="str">
        <f>CUSTOMERNAME</f>
        <v>Brainard Holdings LLC - Car Wash Café</v>
      </c>
      <c r="D324" s="359"/>
      <c r="E324" s="360"/>
      <c r="F324" s="167"/>
      <c r="G324" s="167"/>
      <c r="K324" s="272"/>
      <c r="AT324" s="118"/>
      <c r="AU324" s="118"/>
    </row>
    <row r="325" spans="1:256" s="5" customFormat="1" ht="13.8" thickBot="1" x14ac:dyDescent="0.3">
      <c r="A325" s="167"/>
      <c r="B325" s="170" t="s">
        <v>1</v>
      </c>
      <c r="C325" s="385" t="str">
        <f>ADDRESS</f>
        <v>3050 N University Dr., Sunrise, FL 33322</v>
      </c>
      <c r="D325" s="386"/>
      <c r="E325" s="387"/>
      <c r="F325" s="167"/>
      <c r="G325" s="167"/>
      <c r="K325" s="272"/>
      <c r="AT325" s="118"/>
      <c r="AU325" s="118"/>
    </row>
    <row r="326" spans="1:256" s="5" customFormat="1" x14ac:dyDescent="0.25">
      <c r="A326" s="167"/>
      <c r="B326" s="167"/>
      <c r="C326" s="167"/>
      <c r="D326" s="167"/>
      <c r="E326" s="167"/>
      <c r="F326" s="167"/>
      <c r="G326" s="171" t="s">
        <v>227</v>
      </c>
      <c r="K326" s="272"/>
      <c r="AT326" s="118"/>
      <c r="AU326" s="118"/>
    </row>
    <row r="327" spans="1:256" s="5" customFormat="1" ht="19.8" x14ac:dyDescent="0.3">
      <c r="A327" s="167"/>
      <c r="B327" s="281"/>
      <c r="C327" s="281"/>
      <c r="D327" s="281"/>
      <c r="E327" s="281"/>
      <c r="F327" s="281"/>
      <c r="G327" s="281"/>
      <c r="K327" s="272"/>
      <c r="AT327" s="118"/>
      <c r="AU327" s="118"/>
    </row>
    <row r="328" spans="1:256" s="5" customFormat="1" ht="20.399999999999999" thickBot="1" x14ac:dyDescent="0.35">
      <c r="A328" s="332" t="s">
        <v>231</v>
      </c>
      <c r="B328" s="332"/>
      <c r="C328" s="332"/>
      <c r="D328" s="332"/>
      <c r="E328" s="332"/>
      <c r="F328" s="332"/>
      <c r="G328" s="332"/>
      <c r="K328" s="272"/>
      <c r="AT328" s="118"/>
      <c r="AU328" s="118"/>
    </row>
    <row r="329" spans="1:256" s="5" customFormat="1" ht="13.8" thickBot="1" x14ac:dyDescent="0.3">
      <c r="A329" s="167"/>
      <c r="B329" s="172"/>
      <c r="C329" s="173"/>
      <c r="D329" s="173"/>
      <c r="E329" s="174"/>
      <c r="F329" s="175" t="s">
        <v>190</v>
      </c>
      <c r="G329" s="229" t="s">
        <v>219</v>
      </c>
      <c r="K329" s="272"/>
      <c r="AT329" s="118"/>
      <c r="AU329" s="118"/>
    </row>
    <row r="330" spans="1:256" s="5" customFormat="1" ht="13.8" thickBot="1" x14ac:dyDescent="0.3">
      <c r="A330" s="167"/>
      <c r="B330" s="176" t="s">
        <v>218</v>
      </c>
      <c r="C330" s="177"/>
      <c r="D330" s="177"/>
      <c r="E330" s="177"/>
      <c r="F330" s="178">
        <f>C141</f>
        <v>48857.332086397051</v>
      </c>
      <c r="G330" s="230" t="s">
        <v>62</v>
      </c>
      <c r="K330" s="272"/>
      <c r="AT330" s="118"/>
      <c r="AU330" s="118"/>
    </row>
    <row r="331" spans="1:256" s="5" customFormat="1" ht="20.399999999999999" thickBot="1" x14ac:dyDescent="0.4">
      <c r="A331" s="167"/>
      <c r="B331" s="180" t="s">
        <v>62</v>
      </c>
      <c r="C331" s="181"/>
      <c r="D331" s="181"/>
      <c r="E331" s="181"/>
      <c r="F331" s="231"/>
      <c r="G331" s="232"/>
      <c r="I331" s="252" t="s">
        <v>206</v>
      </c>
      <c r="K331" s="272"/>
      <c r="AT331" s="118"/>
      <c r="AU331" s="118"/>
    </row>
    <row r="332" spans="1:256" s="5" customFormat="1" x14ac:dyDescent="0.25">
      <c r="A332" s="167"/>
      <c r="B332" s="373" t="s">
        <v>220</v>
      </c>
      <c r="C332" s="374"/>
      <c r="D332" s="15" t="s">
        <v>63</v>
      </c>
      <c r="E332" s="15" t="s">
        <v>65</v>
      </c>
      <c r="F332" s="233"/>
      <c r="G332" s="234"/>
      <c r="K332" s="272"/>
      <c r="AT332" s="118"/>
      <c r="AU332" s="118"/>
    </row>
    <row r="333" spans="1:256" s="5" customFormat="1" ht="13.8" thickBot="1" x14ac:dyDescent="0.3">
      <c r="B333" s="375" t="s">
        <v>221</v>
      </c>
      <c r="C333" s="376"/>
      <c r="D333" s="18" t="s">
        <v>64</v>
      </c>
      <c r="E333" s="18" t="s">
        <v>66</v>
      </c>
      <c r="F333" s="235"/>
      <c r="G333" s="236"/>
      <c r="K333" s="272"/>
      <c r="AT333" s="118"/>
      <c r="AU333" s="118"/>
    </row>
    <row r="334" spans="1:256" s="5" customFormat="1" ht="13.8" thickBot="1" x14ac:dyDescent="0.3">
      <c r="B334" s="63" t="s">
        <v>123</v>
      </c>
      <c r="C334" s="64"/>
      <c r="D334" s="1">
        <f>F39</f>
        <v>6</v>
      </c>
      <c r="E334" s="192">
        <f>$G$39</f>
        <v>0.5</v>
      </c>
      <c r="F334" s="237">
        <f>F330*D334*E334</f>
        <v>146571.99625919116</v>
      </c>
      <c r="G334" s="238">
        <f>F334/F339</f>
        <v>0.29411764705882354</v>
      </c>
      <c r="K334" s="272"/>
      <c r="AT334" s="118"/>
      <c r="AU334" s="118"/>
    </row>
    <row r="335" spans="1:256" s="5" customFormat="1" ht="13.8" thickBot="1" x14ac:dyDescent="0.3">
      <c r="B335" s="63" t="s">
        <v>68</v>
      </c>
      <c r="C335" s="64"/>
      <c r="D335" s="1">
        <f>F40</f>
        <v>10</v>
      </c>
      <c r="E335" s="192">
        <f>$G$40</f>
        <v>0.15</v>
      </c>
      <c r="F335" s="237">
        <f>F330*D335*E335</f>
        <v>73285.998129595566</v>
      </c>
      <c r="G335" s="238">
        <f>F335/F339</f>
        <v>0.14705882352941174</v>
      </c>
      <c r="K335" s="272"/>
      <c r="AT335" s="118"/>
      <c r="AU335" s="118"/>
    </row>
    <row r="336" spans="1:256" s="5" customFormat="1" ht="13.8" thickBot="1" x14ac:dyDescent="0.3">
      <c r="B336" s="63" t="s">
        <v>69</v>
      </c>
      <c r="C336" s="64"/>
      <c r="D336" s="1">
        <f>F41</f>
        <v>14</v>
      </c>
      <c r="E336" s="192">
        <f>$G$41</f>
        <v>0.15</v>
      </c>
      <c r="F336" s="237">
        <f>F330*D336*E336</f>
        <v>102600.39738143381</v>
      </c>
      <c r="G336" s="238">
        <f>F336/F339</f>
        <v>0.20588235294117646</v>
      </c>
      <c r="K336" s="272"/>
      <c r="AT336" s="118"/>
      <c r="AU336" s="118"/>
    </row>
    <row r="337" spans="2:55" s="5" customFormat="1" ht="13.8" thickBot="1" x14ac:dyDescent="0.3">
      <c r="B337" s="63" t="s">
        <v>70</v>
      </c>
      <c r="C337" s="64"/>
      <c r="D337" s="1">
        <f>F42</f>
        <v>18</v>
      </c>
      <c r="E337" s="192">
        <f>$G$42</f>
        <v>0.2</v>
      </c>
      <c r="F337" s="237">
        <f>F330*D337*E337</f>
        <v>175886.3955110294</v>
      </c>
      <c r="G337" s="238">
        <f>F337/F339</f>
        <v>0.35294117647058826</v>
      </c>
      <c r="K337" s="272"/>
      <c r="AT337" s="118"/>
      <c r="AU337" s="118"/>
    </row>
    <row r="338" spans="2:55" s="5" customFormat="1" ht="13.8" thickBot="1" x14ac:dyDescent="0.3">
      <c r="B338" s="63" t="s">
        <v>310</v>
      </c>
      <c r="C338" s="64"/>
      <c r="D338" s="1">
        <f>F43</f>
        <v>0</v>
      </c>
      <c r="E338" s="192">
        <f>$G$43</f>
        <v>0</v>
      </c>
      <c r="F338" s="237">
        <f>F330*D338*E338</f>
        <v>0</v>
      </c>
      <c r="G338" s="238">
        <f>F338/F339</f>
        <v>0</v>
      </c>
      <c r="K338" s="272"/>
      <c r="AT338" s="118"/>
      <c r="AU338" s="118"/>
    </row>
    <row r="339" spans="2:55" s="5" customFormat="1" ht="13.8" thickBot="1" x14ac:dyDescent="0.3">
      <c r="B339" s="239" t="s">
        <v>308</v>
      </c>
      <c r="C339" s="240"/>
      <c r="D339" s="240"/>
      <c r="E339" s="240"/>
      <c r="F339" s="237">
        <f>SUM(F334:F338)</f>
        <v>498344.78728124994</v>
      </c>
      <c r="G339" s="238">
        <f>SUM(G334:G337)</f>
        <v>1</v>
      </c>
      <c r="K339" s="272"/>
      <c r="AT339" s="118"/>
      <c r="AU339" s="118"/>
    </row>
    <row r="340" spans="2:55" s="5" customFormat="1" ht="13.8" thickBot="1" x14ac:dyDescent="0.3">
      <c r="B340" s="188" t="s">
        <v>127</v>
      </c>
      <c r="C340" s="189"/>
      <c r="D340" s="241">
        <f>D250</f>
        <v>0.03</v>
      </c>
      <c r="E340" s="192">
        <f>E250</f>
        <v>0.6</v>
      </c>
      <c r="F340" s="1">
        <f>F339*D340*E340*-1</f>
        <v>-8970.2061710624985</v>
      </c>
      <c r="G340" s="241">
        <f>F340/F341</f>
        <v>-1.8329938900203666E-2</v>
      </c>
      <c r="K340" s="272"/>
      <c r="AT340" s="118"/>
      <c r="AU340" s="118"/>
    </row>
    <row r="341" spans="2:55" s="5" customFormat="1" ht="13.8" thickBot="1" x14ac:dyDescent="0.3">
      <c r="B341" s="188" t="s">
        <v>73</v>
      </c>
      <c r="C341" s="189"/>
      <c r="D341" s="189"/>
      <c r="E341" s="189"/>
      <c r="F341" s="190">
        <f>F339+F340</f>
        <v>489374.58111018746</v>
      </c>
      <c r="G341" s="242">
        <f>F341/F339</f>
        <v>0.98199999999999998</v>
      </c>
      <c r="K341" s="272"/>
      <c r="AT341" s="118"/>
      <c r="AU341" s="118"/>
    </row>
    <row r="342" spans="2:55" s="5" customFormat="1" ht="16.8" thickBot="1" x14ac:dyDescent="0.35">
      <c r="B342" s="394" t="s">
        <v>76</v>
      </c>
      <c r="C342" s="395"/>
      <c r="D342" s="395"/>
      <c r="E342" s="395"/>
      <c r="F342" s="395"/>
      <c r="G342" s="396"/>
      <c r="I342" s="196"/>
      <c r="K342" s="272"/>
      <c r="AT342" s="118"/>
      <c r="AU342" s="118"/>
    </row>
    <row r="343" spans="2:55" s="5" customFormat="1" ht="13.8" thickBot="1" x14ac:dyDescent="0.3">
      <c r="B343" s="188" t="s">
        <v>208</v>
      </c>
      <c r="C343" s="240"/>
      <c r="D343" s="240"/>
      <c r="E343" s="243"/>
      <c r="F343" s="237">
        <f>$F$256*12</f>
        <v>50918.399999999994</v>
      </c>
      <c r="G343" s="244">
        <f>F343/$F$341</f>
        <v>0.10404790515373176</v>
      </c>
      <c r="K343" s="272"/>
      <c r="AT343" s="118"/>
      <c r="AU343" s="118"/>
    </row>
    <row r="344" spans="2:55" s="5" customFormat="1" ht="13.8" thickBot="1" x14ac:dyDescent="0.3">
      <c r="B344" s="188" t="s">
        <v>241</v>
      </c>
      <c r="C344" s="240"/>
      <c r="D344" s="240"/>
      <c r="E344" s="243"/>
      <c r="F344" s="237">
        <f>K345</f>
        <v>32832.127162058823</v>
      </c>
      <c r="G344" s="244">
        <f t="shared" ref="G344:G356" si="11">F344/$F$341</f>
        <v>6.7089972445189897E-2</v>
      </c>
      <c r="I344" s="196"/>
      <c r="K344" s="272"/>
      <c r="AT344" s="118"/>
      <c r="AU344" s="118"/>
    </row>
    <row r="345" spans="2:55" s="5" customFormat="1" ht="13.8" thickBot="1" x14ac:dyDescent="0.3">
      <c r="B345" s="188" t="s">
        <v>79</v>
      </c>
      <c r="C345" s="240"/>
      <c r="D345" s="240"/>
      <c r="E345" s="243"/>
      <c r="F345" s="237">
        <f>$E$258*F341</f>
        <v>29362.474866611246</v>
      </c>
      <c r="G345" s="244">
        <f t="shared" si="11"/>
        <v>0.06</v>
      </c>
      <c r="I345" s="196"/>
      <c r="K345" s="253">
        <f>(F330*$G$39*C$60)+(F330*$G$40*C$61)+(F330*$G$41*C$62)+(F330*$G$42*C$63)+(F330*$G$43*C$64)</f>
        <v>32832.127162058823</v>
      </c>
      <c r="AT345" s="118"/>
      <c r="AU345" s="118"/>
    </row>
    <row r="346" spans="2:55" s="5" customFormat="1" ht="13.8" thickBot="1" x14ac:dyDescent="0.3">
      <c r="B346" s="188" t="s">
        <v>74</v>
      </c>
      <c r="C346" s="240"/>
      <c r="D346" s="240"/>
      <c r="E346" s="243"/>
      <c r="F346" s="237">
        <f>$E$259*F341</f>
        <v>14681.237433305623</v>
      </c>
      <c r="G346" s="244">
        <f t="shared" si="11"/>
        <v>0.03</v>
      </c>
      <c r="I346" s="196"/>
      <c r="K346" s="272"/>
      <c r="AT346" s="118"/>
      <c r="AU346" s="118"/>
    </row>
    <row r="347" spans="2:55" s="5" customFormat="1" ht="13.8" thickBot="1" x14ac:dyDescent="0.3">
      <c r="B347" s="188" t="s">
        <v>80</v>
      </c>
      <c r="C347" s="240"/>
      <c r="D347" s="240"/>
      <c r="E347" s="243"/>
      <c r="F347" s="237">
        <f>$E$260*F341</f>
        <v>4893.745811101875</v>
      </c>
      <c r="G347" s="244">
        <f t="shared" si="11"/>
        <v>0.01</v>
      </c>
      <c r="I347" s="196"/>
      <c r="K347" s="272"/>
      <c r="AT347" s="118"/>
      <c r="AU347" s="118"/>
    </row>
    <row r="348" spans="2:55" s="5" customFormat="1" ht="13.8" thickBot="1" x14ac:dyDescent="0.3">
      <c r="B348" s="188" t="s">
        <v>86</v>
      </c>
      <c r="C348" s="240"/>
      <c r="D348" s="240"/>
      <c r="E348" s="243"/>
      <c r="F348" s="237">
        <f>$E$261*F341</f>
        <v>4893.745811101875</v>
      </c>
      <c r="G348" s="244">
        <f t="shared" si="11"/>
        <v>0.01</v>
      </c>
      <c r="I348" s="196"/>
      <c r="K348" s="272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4"/>
      <c r="AU348" s="4"/>
      <c r="AV348" s="3"/>
      <c r="AW348" s="3"/>
      <c r="AX348" s="3"/>
      <c r="AY348" s="3"/>
      <c r="AZ348" s="3"/>
      <c r="BA348" s="3"/>
      <c r="BB348" s="3"/>
      <c r="BC348" s="3"/>
    </row>
    <row r="349" spans="2:55" s="5" customFormat="1" ht="13.8" thickBot="1" x14ac:dyDescent="0.3">
      <c r="B349" s="188" t="s">
        <v>81</v>
      </c>
      <c r="C349" s="240"/>
      <c r="D349" s="240"/>
      <c r="E349" s="243"/>
      <c r="F349" s="237">
        <f>$E$262*F341</f>
        <v>4893.745811101875</v>
      </c>
      <c r="G349" s="244">
        <f t="shared" si="11"/>
        <v>0.01</v>
      </c>
      <c r="I349" s="196"/>
      <c r="K349" s="272"/>
      <c r="AT349" s="118"/>
      <c r="AU349" s="118"/>
    </row>
    <row r="350" spans="2:55" s="5" customFormat="1" ht="13.8" thickBot="1" x14ac:dyDescent="0.3">
      <c r="B350" s="188" t="s">
        <v>207</v>
      </c>
      <c r="C350" s="240"/>
      <c r="D350" s="240"/>
      <c r="E350" s="243"/>
      <c r="F350" s="237">
        <f>$F$263*12</f>
        <v>77313.599999999991</v>
      </c>
      <c r="G350" s="244">
        <f t="shared" si="11"/>
        <v>0.1579845030459236</v>
      </c>
      <c r="I350" s="196"/>
      <c r="K350" s="272"/>
      <c r="AT350" s="118"/>
      <c r="AU350" s="118"/>
    </row>
    <row r="351" spans="2:55" s="5" customFormat="1" ht="13.8" hidden="1" thickBot="1" x14ac:dyDescent="0.3">
      <c r="B351" s="188" t="s">
        <v>132</v>
      </c>
      <c r="C351" s="240"/>
      <c r="D351" s="240"/>
      <c r="E351" s="243"/>
      <c r="F351" s="237">
        <f>$E$264*F341</f>
        <v>0</v>
      </c>
      <c r="G351" s="244">
        <f t="shared" si="11"/>
        <v>0</v>
      </c>
      <c r="I351" s="196"/>
      <c r="K351" s="272"/>
      <c r="AT351" s="118"/>
      <c r="AU351" s="118"/>
    </row>
    <row r="352" spans="2:55" s="5" customFormat="1" ht="13.8" thickBot="1" x14ac:dyDescent="0.3">
      <c r="B352" s="188" t="s">
        <v>82</v>
      </c>
      <c r="C352" s="240"/>
      <c r="D352" s="240"/>
      <c r="E352" s="243"/>
      <c r="F352" s="237">
        <f>$E$265*F341</f>
        <v>4893.745811101875</v>
      </c>
      <c r="G352" s="244">
        <f t="shared" si="11"/>
        <v>0.01</v>
      </c>
      <c r="I352" s="196"/>
      <c r="K352" s="272"/>
      <c r="AT352" s="118"/>
      <c r="AU352" s="118"/>
    </row>
    <row r="353" spans="1:256" s="5" customFormat="1" ht="13.8" thickBot="1" x14ac:dyDescent="0.3">
      <c r="B353" s="188" t="s">
        <v>83</v>
      </c>
      <c r="C353" s="240"/>
      <c r="D353" s="240"/>
      <c r="E353" s="243"/>
      <c r="F353" s="237">
        <f>$E$266*F341</f>
        <v>7340.6187166528116</v>
      </c>
      <c r="G353" s="244">
        <f t="shared" si="11"/>
        <v>1.4999999999999999E-2</v>
      </c>
      <c r="I353" s="196"/>
      <c r="K353" s="272"/>
      <c r="AT353" s="118"/>
      <c r="AU353" s="118"/>
    </row>
    <row r="354" spans="1:256" s="5" customFormat="1" ht="13.8" thickBot="1" x14ac:dyDescent="0.3">
      <c r="B354" s="188" t="s">
        <v>75</v>
      </c>
      <c r="C354" s="240"/>
      <c r="D354" s="240"/>
      <c r="E354" s="243"/>
      <c r="F354" s="237">
        <f>$F$267*12</f>
        <v>24000</v>
      </c>
      <c r="G354" s="244">
        <f t="shared" si="11"/>
        <v>4.9042187572460302E-2</v>
      </c>
      <c r="I354" s="196"/>
      <c r="K354" s="272"/>
      <c r="AT354" s="118"/>
      <c r="AU354" s="118"/>
    </row>
    <row r="355" spans="1:256" s="5" customFormat="1" ht="13.8" thickBot="1" x14ac:dyDescent="0.3">
      <c r="B355" s="188" t="s">
        <v>84</v>
      </c>
      <c r="C355" s="240"/>
      <c r="D355" s="240"/>
      <c r="E355" s="243"/>
      <c r="F355" s="237">
        <f>$F$268*12</f>
        <v>36000</v>
      </c>
      <c r="G355" s="244">
        <f t="shared" si="11"/>
        <v>7.3563281358690447E-2</v>
      </c>
      <c r="I355" s="196"/>
      <c r="K355" s="272"/>
      <c r="AT355" s="118"/>
      <c r="AU355" s="118"/>
    </row>
    <row r="356" spans="1:256" s="5" customFormat="1" ht="13.8" thickBot="1" x14ac:dyDescent="0.3">
      <c r="B356" s="188" t="s">
        <v>85</v>
      </c>
      <c r="C356" s="240"/>
      <c r="D356" s="240"/>
      <c r="E356" s="243"/>
      <c r="F356" s="237">
        <f>$E$269*F341</f>
        <v>4893.745811101875</v>
      </c>
      <c r="G356" s="244">
        <f t="shared" si="11"/>
        <v>0.01</v>
      </c>
      <c r="I356" s="196"/>
      <c r="K356" s="272"/>
      <c r="AT356" s="118"/>
      <c r="AU356" s="118"/>
    </row>
    <row r="357" spans="1:256" s="5" customFormat="1" ht="13.8" thickBot="1" x14ac:dyDescent="0.3">
      <c r="B357" s="188" t="s">
        <v>87</v>
      </c>
      <c r="C357" s="240"/>
      <c r="D357" s="240"/>
      <c r="E357" s="243"/>
      <c r="F357" s="237">
        <f>SUM(F343:F356)</f>
        <v>296917.18723413779</v>
      </c>
      <c r="G357" s="244">
        <f>F357/F341</f>
        <v>0.60672784957599579</v>
      </c>
      <c r="I357" s="196"/>
      <c r="K357" s="272"/>
      <c r="AT357" s="118"/>
      <c r="AU357" s="118"/>
    </row>
    <row r="358" spans="1:256" s="5" customFormat="1" ht="13.8" thickBot="1" x14ac:dyDescent="0.3">
      <c r="B358" s="188"/>
      <c r="C358" s="240"/>
      <c r="D358" s="240"/>
      <c r="E358" s="243"/>
      <c r="F358" s="245"/>
      <c r="G358" s="244"/>
      <c r="I358" s="196"/>
      <c r="K358" s="272"/>
      <c r="AT358" s="118"/>
      <c r="AU358" s="118"/>
    </row>
    <row r="359" spans="1:256" s="5" customFormat="1" ht="13.8" thickBot="1" x14ac:dyDescent="0.3">
      <c r="B359" s="176" t="s">
        <v>232</v>
      </c>
      <c r="C359" s="240"/>
      <c r="D359" s="240"/>
      <c r="E359" s="243"/>
      <c r="F359" s="237">
        <f>F341-F357</f>
        <v>192457.39387604967</v>
      </c>
      <c r="G359" s="244">
        <f>F359/F341</f>
        <v>0.39327215042400415</v>
      </c>
      <c r="K359" s="272"/>
      <c r="AT359" s="118"/>
      <c r="AU359" s="118"/>
    </row>
    <row r="360" spans="1:256" s="5" customFormat="1" ht="16.8" thickBot="1" x14ac:dyDescent="0.35">
      <c r="B360" s="394" t="s">
        <v>223</v>
      </c>
      <c r="C360" s="395"/>
      <c r="D360" s="395"/>
      <c r="E360" s="395"/>
      <c r="F360" s="395"/>
      <c r="G360" s="396"/>
      <c r="K360" s="272"/>
      <c r="AS360" s="118"/>
      <c r="AT360" s="118"/>
    </row>
    <row r="361" spans="1:256" s="5" customFormat="1" ht="13.8" thickBot="1" x14ac:dyDescent="0.3">
      <c r="B361" s="188" t="s">
        <v>224</v>
      </c>
      <c r="C361" s="246"/>
      <c r="D361" s="224"/>
      <c r="E361" s="225"/>
      <c r="F361" s="247">
        <f>$G$300*12</f>
        <v>0</v>
      </c>
      <c r="G361" s="242">
        <f>F361/F341</f>
        <v>0</v>
      </c>
      <c r="K361" s="272"/>
      <c r="AS361" s="118"/>
      <c r="AT361" s="118"/>
    </row>
    <row r="362" spans="1:256" s="5" customFormat="1" ht="13.8" thickBot="1" x14ac:dyDescent="0.3">
      <c r="B362" s="188" t="s">
        <v>111</v>
      </c>
      <c r="C362" s="246"/>
      <c r="D362" s="224"/>
      <c r="E362" s="225"/>
      <c r="F362" s="247">
        <f>$G$308*12</f>
        <v>0</v>
      </c>
      <c r="G362" s="242">
        <f>F362/F341</f>
        <v>0</v>
      </c>
      <c r="K362" s="272"/>
      <c r="AS362" s="118"/>
      <c r="AT362" s="118"/>
    </row>
    <row r="363" spans="1:256" s="5" customFormat="1" ht="13.8" thickBot="1" x14ac:dyDescent="0.3">
      <c r="B363" s="188" t="s">
        <v>225</v>
      </c>
      <c r="C363" s="240"/>
      <c r="D363" s="240"/>
      <c r="E363" s="243"/>
      <c r="F363" s="237">
        <f>SUM(F361:F362)</f>
        <v>0</v>
      </c>
      <c r="G363" s="244">
        <f>SUM(G361:G362)</f>
        <v>0</v>
      </c>
      <c r="K363" s="272"/>
      <c r="AS363" s="118"/>
      <c r="AT363" s="118"/>
    </row>
    <row r="364" spans="1:256" s="5" customFormat="1" x14ac:dyDescent="0.25">
      <c r="B364" s="172"/>
      <c r="C364" s="173"/>
      <c r="D364" s="173"/>
      <c r="E364" s="173"/>
      <c r="F364" s="199"/>
      <c r="G364" s="199"/>
      <c r="K364" s="272"/>
      <c r="AS364" s="118"/>
      <c r="AT364" s="118"/>
    </row>
    <row r="365" spans="1:256" s="5" customFormat="1" ht="13.8" thickBot="1" x14ac:dyDescent="0.3">
      <c r="B365" s="176" t="s">
        <v>226</v>
      </c>
      <c r="C365" s="177"/>
      <c r="D365" s="177"/>
      <c r="E365" s="177"/>
      <c r="F365" s="200">
        <f>F359-F363</f>
        <v>192457.39387604967</v>
      </c>
      <c r="G365" s="248">
        <f>F365/F341</f>
        <v>0.39327215042400415</v>
      </c>
      <c r="K365" s="272"/>
      <c r="AS365" s="118"/>
      <c r="AT365" s="118"/>
    </row>
    <row r="366" spans="1:256" s="5" customFormat="1" x14ac:dyDescent="0.25">
      <c r="J366" s="196"/>
      <c r="K366" s="272"/>
      <c r="AT366" s="118"/>
      <c r="AU366" s="118"/>
    </row>
    <row r="367" spans="1:256" s="5" customFormat="1" x14ac:dyDescent="0.25">
      <c r="B367" s="3"/>
      <c r="C367" s="3"/>
      <c r="D367" s="12"/>
      <c r="E367" s="3"/>
      <c r="F367" s="3"/>
      <c r="G367" s="3"/>
      <c r="K367" s="272"/>
      <c r="T367" s="3"/>
      <c r="U367" s="3"/>
      <c r="AT367" s="118"/>
      <c r="AU367" s="118"/>
    </row>
    <row r="368" spans="1:256" x14ac:dyDescent="0.25">
      <c r="A368" s="3"/>
      <c r="B368" s="167"/>
      <c r="C368" s="167"/>
      <c r="D368" s="167"/>
      <c r="E368" s="167"/>
      <c r="F368" s="167"/>
      <c r="G368" s="167"/>
      <c r="H368" s="5"/>
      <c r="I368" s="5"/>
      <c r="J368" s="3"/>
      <c r="K368" s="271"/>
      <c r="L368" s="3"/>
      <c r="M368" s="3"/>
      <c r="N368" s="3"/>
      <c r="O368" s="3"/>
      <c r="P368" s="3"/>
      <c r="Q368" s="3"/>
      <c r="R368" s="3"/>
      <c r="S368" s="3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118"/>
      <c r="AU368" s="118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</row>
    <row r="369" spans="1:47" s="5" customFormat="1" ht="17.399999999999999" x14ac:dyDescent="0.3">
      <c r="A369" s="167"/>
      <c r="B369" s="337" t="s">
        <v>121</v>
      </c>
      <c r="C369" s="337"/>
      <c r="D369" s="337"/>
      <c r="E369" s="337"/>
      <c r="F369" s="337"/>
      <c r="G369" s="337"/>
      <c r="K369" s="272"/>
      <c r="AT369" s="118"/>
      <c r="AU369" s="118"/>
    </row>
    <row r="370" spans="1:47" s="333" customFormat="1" ht="18" thickBot="1" x14ac:dyDescent="0.35"/>
    <row r="371" spans="1:47" s="5" customFormat="1" x14ac:dyDescent="0.25">
      <c r="A371" s="167"/>
      <c r="B371" s="170" t="s">
        <v>0</v>
      </c>
      <c r="C371" s="358" t="str">
        <f>CUSTOMERNAME</f>
        <v>Brainard Holdings LLC - Car Wash Café</v>
      </c>
      <c r="D371" s="359"/>
      <c r="E371" s="360"/>
      <c r="F371" s="167"/>
      <c r="G371" s="167"/>
      <c r="K371" s="272"/>
      <c r="AT371" s="118"/>
      <c r="AU371" s="118"/>
    </row>
    <row r="372" spans="1:47" s="5" customFormat="1" ht="13.8" thickBot="1" x14ac:dyDescent="0.3">
      <c r="A372" s="167"/>
      <c r="B372" s="170" t="s">
        <v>1</v>
      </c>
      <c r="C372" s="385" t="str">
        <f>ADDRESS</f>
        <v>3050 N University Dr., Sunrise, FL 33322</v>
      </c>
      <c r="D372" s="386"/>
      <c r="E372" s="387"/>
      <c r="F372" s="167"/>
      <c r="G372" s="167"/>
      <c r="K372" s="272"/>
      <c r="AT372" s="118"/>
      <c r="AU372" s="118"/>
    </row>
    <row r="373" spans="1:47" s="5" customFormat="1" x14ac:dyDescent="0.25">
      <c r="A373" s="167"/>
      <c r="B373" s="167"/>
      <c r="C373" s="167"/>
      <c r="D373" s="167"/>
      <c r="E373" s="167"/>
      <c r="F373" s="167"/>
      <c r="G373" s="171" t="s">
        <v>228</v>
      </c>
      <c r="K373" s="272"/>
      <c r="AT373" s="118"/>
      <c r="AU373" s="118"/>
    </row>
    <row r="374" spans="1:47" s="5" customFormat="1" ht="19.8" x14ac:dyDescent="0.3">
      <c r="A374" s="167"/>
      <c r="B374" s="281"/>
      <c r="C374" s="281"/>
      <c r="D374" s="281"/>
      <c r="E374" s="281"/>
      <c r="F374" s="281"/>
      <c r="G374" s="281"/>
      <c r="K374" s="272"/>
      <c r="AT374" s="118"/>
      <c r="AU374" s="118"/>
    </row>
    <row r="375" spans="1:47" s="5" customFormat="1" ht="20.399999999999999" thickBot="1" x14ac:dyDescent="0.35">
      <c r="A375" s="332" t="s">
        <v>231</v>
      </c>
      <c r="B375" s="332"/>
      <c r="C375" s="332"/>
      <c r="D375" s="332"/>
      <c r="E375" s="332"/>
      <c r="F375" s="332"/>
      <c r="G375" s="332"/>
      <c r="K375" s="272"/>
      <c r="AT375" s="118"/>
      <c r="AU375" s="118"/>
    </row>
    <row r="376" spans="1:47" s="5" customFormat="1" ht="13.8" thickBot="1" x14ac:dyDescent="0.3">
      <c r="A376" s="167"/>
      <c r="B376" s="172"/>
      <c r="C376" s="173"/>
      <c r="D376" s="173"/>
      <c r="E376" s="174"/>
      <c r="F376" s="175" t="s">
        <v>191</v>
      </c>
      <c r="G376" s="229" t="s">
        <v>219</v>
      </c>
      <c r="K376" s="272"/>
      <c r="AT376" s="118"/>
      <c r="AU376" s="118"/>
    </row>
    <row r="377" spans="1:47" s="5" customFormat="1" ht="13.8" thickBot="1" x14ac:dyDescent="0.3">
      <c r="A377" s="167"/>
      <c r="B377" s="176" t="s">
        <v>218</v>
      </c>
      <c r="C377" s="177"/>
      <c r="D377" s="177"/>
      <c r="E377" s="177"/>
      <c r="F377" s="178">
        <f>D141</f>
        <v>64485.609120244568</v>
      </c>
      <c r="G377" s="230" t="s">
        <v>62</v>
      </c>
      <c r="K377" s="272"/>
      <c r="AT377" s="118"/>
      <c r="AU377" s="118"/>
    </row>
    <row r="378" spans="1:47" s="5" customFormat="1" ht="20.399999999999999" thickBot="1" x14ac:dyDescent="0.4">
      <c r="A378" s="167"/>
      <c r="B378" s="180" t="s">
        <v>62</v>
      </c>
      <c r="C378" s="181"/>
      <c r="D378" s="181"/>
      <c r="E378" s="181"/>
      <c r="F378" s="231"/>
      <c r="G378" s="232"/>
      <c r="I378" s="252" t="s">
        <v>206</v>
      </c>
      <c r="K378" s="272"/>
      <c r="AT378" s="118"/>
      <c r="AU378" s="118"/>
    </row>
    <row r="379" spans="1:47" s="5" customFormat="1" x14ac:dyDescent="0.25">
      <c r="A379" s="167"/>
      <c r="B379" s="373" t="s">
        <v>220</v>
      </c>
      <c r="C379" s="374"/>
      <c r="D379" s="15" t="s">
        <v>63</v>
      </c>
      <c r="E379" s="15" t="s">
        <v>65</v>
      </c>
      <c r="F379" s="233"/>
      <c r="G379" s="234"/>
      <c r="K379" s="272"/>
      <c r="AT379" s="118"/>
      <c r="AU379" s="118"/>
    </row>
    <row r="380" spans="1:47" s="5" customFormat="1" ht="13.8" thickBot="1" x14ac:dyDescent="0.3">
      <c r="B380" s="375" t="s">
        <v>221</v>
      </c>
      <c r="C380" s="376"/>
      <c r="D380" s="18" t="s">
        <v>64</v>
      </c>
      <c r="E380" s="18" t="s">
        <v>66</v>
      </c>
      <c r="F380" s="235"/>
      <c r="G380" s="236"/>
      <c r="K380" s="272"/>
      <c r="AT380" s="118"/>
      <c r="AU380" s="118"/>
    </row>
    <row r="381" spans="1:47" s="5" customFormat="1" ht="13.8" thickBot="1" x14ac:dyDescent="0.3">
      <c r="B381" s="63" t="s">
        <v>123</v>
      </c>
      <c r="C381" s="64"/>
      <c r="D381" s="1">
        <f>D50</f>
        <v>6</v>
      </c>
      <c r="E381" s="192">
        <f>$G$39</f>
        <v>0.5</v>
      </c>
      <c r="F381" s="237">
        <f>F377*D381*E381</f>
        <v>193456.8273607337</v>
      </c>
      <c r="G381" s="238">
        <f>F381/F386</f>
        <v>0.29411764705882348</v>
      </c>
      <c r="K381" s="272"/>
      <c r="AT381" s="118"/>
      <c r="AU381" s="118"/>
    </row>
    <row r="382" spans="1:47" s="5" customFormat="1" ht="13.8" thickBot="1" x14ac:dyDescent="0.3">
      <c r="B382" s="63" t="s">
        <v>68</v>
      </c>
      <c r="C382" s="64"/>
      <c r="D382" s="1">
        <f>D51</f>
        <v>10</v>
      </c>
      <c r="E382" s="192">
        <f>$G$40</f>
        <v>0.15</v>
      </c>
      <c r="F382" s="237">
        <f>F377*D382*E382</f>
        <v>96728.413680366852</v>
      </c>
      <c r="G382" s="238">
        <f>F382/F386</f>
        <v>0.14705882352941174</v>
      </c>
      <c r="K382" s="272"/>
      <c r="AT382" s="118"/>
      <c r="AU382" s="118"/>
    </row>
    <row r="383" spans="1:47" s="5" customFormat="1" ht="13.8" thickBot="1" x14ac:dyDescent="0.3">
      <c r="B383" s="63" t="s">
        <v>69</v>
      </c>
      <c r="C383" s="64"/>
      <c r="D383" s="1">
        <f>D52</f>
        <v>14</v>
      </c>
      <c r="E383" s="192">
        <f>$G$41</f>
        <v>0.15</v>
      </c>
      <c r="F383" s="237">
        <f>F377*D383*E383</f>
        <v>135419.7791525136</v>
      </c>
      <c r="G383" s="238">
        <f>F383/F386</f>
        <v>0.20588235294117643</v>
      </c>
      <c r="K383" s="272"/>
      <c r="AT383" s="118"/>
      <c r="AU383" s="118"/>
    </row>
    <row r="384" spans="1:47" s="5" customFormat="1" ht="13.8" thickBot="1" x14ac:dyDescent="0.3">
      <c r="B384" s="63" t="s">
        <v>70</v>
      </c>
      <c r="C384" s="64"/>
      <c r="D384" s="1">
        <f>D53</f>
        <v>18</v>
      </c>
      <c r="E384" s="192">
        <f>$G$42</f>
        <v>0.2</v>
      </c>
      <c r="F384" s="237">
        <f>F377*D384*E384</f>
        <v>232148.19283288048</v>
      </c>
      <c r="G384" s="238">
        <f>F384/F386</f>
        <v>0.3529411764705882</v>
      </c>
      <c r="K384" s="272"/>
      <c r="AT384" s="118"/>
      <c r="AU384" s="118"/>
    </row>
    <row r="385" spans="2:55" s="5" customFormat="1" ht="13.8" thickBot="1" x14ac:dyDescent="0.3">
      <c r="B385" s="63" t="s">
        <v>310</v>
      </c>
      <c r="C385" s="64"/>
      <c r="D385" s="1">
        <f>D54</f>
        <v>0</v>
      </c>
      <c r="E385" s="192">
        <f>$G$43</f>
        <v>0</v>
      </c>
      <c r="F385" s="237">
        <f>F377*D385*E385</f>
        <v>0</v>
      </c>
      <c r="G385" s="238">
        <f>F385/F386</f>
        <v>0</v>
      </c>
      <c r="K385" s="272"/>
      <c r="AT385" s="118"/>
      <c r="AU385" s="118"/>
    </row>
    <row r="386" spans="2:55" s="5" customFormat="1" ht="13.8" thickBot="1" x14ac:dyDescent="0.3">
      <c r="B386" s="239" t="s">
        <v>222</v>
      </c>
      <c r="C386" s="240"/>
      <c r="D386" s="240"/>
      <c r="E386" s="240"/>
      <c r="F386" s="237">
        <f>SUM(F381:F385)</f>
        <v>657753.21302649472</v>
      </c>
      <c r="G386" s="238">
        <f>SUM(G381:G384)</f>
        <v>0.99999999999999989</v>
      </c>
      <c r="K386" s="272"/>
      <c r="AT386" s="118"/>
      <c r="AU386" s="118"/>
    </row>
    <row r="387" spans="2:55" s="5" customFormat="1" ht="13.8" thickBot="1" x14ac:dyDescent="0.3">
      <c r="B387" s="188" t="s">
        <v>127</v>
      </c>
      <c r="C387" s="189"/>
      <c r="D387" s="241">
        <f>D250</f>
        <v>0.03</v>
      </c>
      <c r="E387" s="192">
        <f>E250</f>
        <v>0.6</v>
      </c>
      <c r="F387" s="1">
        <f>F386*D387*E387*-1</f>
        <v>-11839.557834476906</v>
      </c>
      <c r="G387" s="241">
        <f>F387/F388</f>
        <v>-1.8329938900203669E-2</v>
      </c>
      <c r="K387" s="272"/>
      <c r="AT387" s="118"/>
      <c r="AU387" s="118"/>
    </row>
    <row r="388" spans="2:55" s="5" customFormat="1" ht="13.8" thickBot="1" x14ac:dyDescent="0.3">
      <c r="B388" s="188" t="s">
        <v>73</v>
      </c>
      <c r="C388" s="189"/>
      <c r="D388" s="189"/>
      <c r="E388" s="189"/>
      <c r="F388" s="190">
        <f>F386+F387</f>
        <v>645913.65519201779</v>
      </c>
      <c r="G388" s="242">
        <f>F388/F386</f>
        <v>0.98199999999999998</v>
      </c>
      <c r="K388" s="272"/>
      <c r="AT388" s="118"/>
      <c r="AU388" s="118"/>
    </row>
    <row r="389" spans="2:55" s="5" customFormat="1" ht="16.8" thickBot="1" x14ac:dyDescent="0.35">
      <c r="B389" s="394" t="s">
        <v>76</v>
      </c>
      <c r="C389" s="395"/>
      <c r="D389" s="395"/>
      <c r="E389" s="395"/>
      <c r="F389" s="395"/>
      <c r="G389" s="396"/>
      <c r="I389" s="196"/>
      <c r="K389" s="272"/>
      <c r="AT389" s="118"/>
      <c r="AU389" s="118"/>
    </row>
    <row r="390" spans="2:55" s="5" customFormat="1" ht="13.8" thickBot="1" x14ac:dyDescent="0.3">
      <c r="B390" s="188" t="s">
        <v>208</v>
      </c>
      <c r="C390" s="240"/>
      <c r="D390" s="240"/>
      <c r="E390" s="243"/>
      <c r="F390" s="279">
        <f>($F$256*12)*(1+G33)</f>
        <v>52445.951999999997</v>
      </c>
      <c r="G390" s="244">
        <f>F390/$F$388</f>
        <v>8.1196536995968627E-2</v>
      </c>
      <c r="K390" s="272"/>
      <c r="AT390" s="118"/>
      <c r="AU390" s="118"/>
    </row>
    <row r="391" spans="2:55" s="5" customFormat="1" ht="13.8" thickBot="1" x14ac:dyDescent="0.3">
      <c r="B391" s="188" t="s">
        <v>241</v>
      </c>
      <c r="C391" s="240"/>
      <c r="D391" s="240"/>
      <c r="E391" s="243"/>
      <c r="F391" s="237">
        <f>K392-1000</f>
        <v>43201.015915380442</v>
      </c>
      <c r="G391" s="244">
        <f t="shared" ref="G391:G403" si="12">F391/$F$388</f>
        <v>6.6883577345237588E-2</v>
      </c>
      <c r="H391" s="196"/>
      <c r="I391" s="196"/>
      <c r="K391" s="272"/>
      <c r="AT391" s="118"/>
      <c r="AU391" s="118"/>
    </row>
    <row r="392" spans="2:55" s="5" customFormat="1" ht="13.8" thickBot="1" x14ac:dyDescent="0.3">
      <c r="B392" s="188" t="s">
        <v>79</v>
      </c>
      <c r="C392" s="240"/>
      <c r="D392" s="240"/>
      <c r="E392" s="243"/>
      <c r="F392" s="237">
        <f>$E$258*F388-2700</f>
        <v>36054.819311521067</v>
      </c>
      <c r="G392" s="244">
        <f>F392/$F$388</f>
        <v>5.5819874718088532E-2</v>
      </c>
      <c r="I392" s="196"/>
      <c r="K392" s="253">
        <f>(F377*$G$39*D$60)+(F377*$G$40*D$61)+(F377*$G$41*D$62)+(F377*$G$42*D$63)+(F377*$G$43*D$64)</f>
        <v>44201.015915380442</v>
      </c>
      <c r="AT392" s="118"/>
      <c r="AU392" s="118"/>
    </row>
    <row r="393" spans="2:55" s="5" customFormat="1" ht="13.8" thickBot="1" x14ac:dyDescent="0.3">
      <c r="B393" s="188" t="s">
        <v>74</v>
      </c>
      <c r="C393" s="240"/>
      <c r="D393" s="240"/>
      <c r="E393" s="243"/>
      <c r="F393" s="237">
        <f>$E$259*F388</f>
        <v>19377.409655760533</v>
      </c>
      <c r="G393" s="244">
        <f t="shared" si="12"/>
        <v>0.03</v>
      </c>
      <c r="I393" s="196"/>
      <c r="K393" s="272"/>
      <c r="AT393" s="118"/>
      <c r="AU393" s="118"/>
    </row>
    <row r="394" spans="2:55" s="5" customFormat="1" ht="13.8" thickBot="1" x14ac:dyDescent="0.3">
      <c r="B394" s="188" t="s">
        <v>80</v>
      </c>
      <c r="C394" s="240"/>
      <c r="D394" s="240"/>
      <c r="E394" s="243"/>
      <c r="F394" s="237">
        <f>$E$260*F388</f>
        <v>6459.1365519201781</v>
      </c>
      <c r="G394" s="244">
        <f t="shared" si="12"/>
        <v>0.01</v>
      </c>
      <c r="I394" s="196"/>
      <c r="K394" s="272"/>
      <c r="AT394" s="118"/>
      <c r="AU394" s="118"/>
    </row>
    <row r="395" spans="2:55" s="5" customFormat="1" ht="13.8" thickBot="1" x14ac:dyDescent="0.3">
      <c r="B395" s="188" t="s">
        <v>86</v>
      </c>
      <c r="C395" s="240"/>
      <c r="D395" s="240"/>
      <c r="E395" s="243"/>
      <c r="F395" s="237">
        <f>$E$261*F388</f>
        <v>6459.1365519201781</v>
      </c>
      <c r="G395" s="244">
        <f t="shared" si="12"/>
        <v>0.01</v>
      </c>
      <c r="I395" s="196"/>
      <c r="K395" s="272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4"/>
      <c r="AU395" s="4"/>
      <c r="AV395" s="3"/>
      <c r="AW395" s="3"/>
      <c r="AX395" s="3"/>
      <c r="AY395" s="3"/>
      <c r="AZ395" s="3"/>
      <c r="BA395" s="3"/>
      <c r="BB395" s="3"/>
      <c r="BC395" s="3"/>
    </row>
    <row r="396" spans="2:55" s="5" customFormat="1" ht="13.8" thickBot="1" x14ac:dyDescent="0.3">
      <c r="B396" s="188" t="s">
        <v>81</v>
      </c>
      <c r="C396" s="240"/>
      <c r="D396" s="240"/>
      <c r="E396" s="243"/>
      <c r="F396" s="237">
        <f>$E$262*F388</f>
        <v>6459.1365519201781</v>
      </c>
      <c r="G396" s="244">
        <f t="shared" si="12"/>
        <v>0.01</v>
      </c>
      <c r="I396" s="196"/>
      <c r="K396" s="272"/>
      <c r="AT396" s="118"/>
      <c r="AU396" s="118"/>
    </row>
    <row r="397" spans="2:55" s="5" customFormat="1" ht="13.8" thickBot="1" x14ac:dyDescent="0.3">
      <c r="B397" s="188" t="s">
        <v>207</v>
      </c>
      <c r="C397" s="240"/>
      <c r="D397" s="240"/>
      <c r="E397" s="243"/>
      <c r="F397" s="279">
        <f>($F$263*12)*(1+G33)</f>
        <v>79633.007999999987</v>
      </c>
      <c r="G397" s="244">
        <f t="shared" si="12"/>
        <v>0.12328738889461412</v>
      </c>
      <c r="I397" s="196"/>
      <c r="K397" s="272"/>
      <c r="AT397" s="118"/>
      <c r="AU397" s="118"/>
    </row>
    <row r="398" spans="2:55" s="5" customFormat="1" ht="13.8" hidden="1" thickBot="1" x14ac:dyDescent="0.3">
      <c r="B398" s="188" t="s">
        <v>132</v>
      </c>
      <c r="C398" s="240"/>
      <c r="D398" s="240"/>
      <c r="E398" s="243"/>
      <c r="F398" s="237">
        <f>$E$264*F388</f>
        <v>0</v>
      </c>
      <c r="G398" s="244">
        <f t="shared" si="12"/>
        <v>0</v>
      </c>
      <c r="I398" s="196"/>
      <c r="K398" s="272"/>
      <c r="AT398" s="118"/>
      <c r="AU398" s="118"/>
    </row>
    <row r="399" spans="2:55" s="5" customFormat="1" ht="13.8" thickBot="1" x14ac:dyDescent="0.3">
      <c r="B399" s="188" t="s">
        <v>82</v>
      </c>
      <c r="C399" s="240"/>
      <c r="D399" s="240"/>
      <c r="E399" s="243"/>
      <c r="F399" s="237">
        <f>$E$265*F388</f>
        <v>6459.1365519201781</v>
      </c>
      <c r="G399" s="244">
        <f t="shared" si="12"/>
        <v>0.01</v>
      </c>
      <c r="I399" s="196"/>
      <c r="K399" s="272"/>
      <c r="AT399" s="118"/>
      <c r="AU399" s="118"/>
    </row>
    <row r="400" spans="2:55" s="5" customFormat="1" ht="13.8" thickBot="1" x14ac:dyDescent="0.3">
      <c r="B400" s="188" t="s">
        <v>83</v>
      </c>
      <c r="C400" s="240"/>
      <c r="D400" s="240"/>
      <c r="E400" s="243"/>
      <c r="F400" s="237">
        <f>$E$266*F388</f>
        <v>9688.7048278802667</v>
      </c>
      <c r="G400" s="244">
        <f t="shared" si="12"/>
        <v>1.4999999999999999E-2</v>
      </c>
      <c r="I400" s="196"/>
      <c r="K400" s="272"/>
      <c r="AT400" s="118"/>
      <c r="AU400" s="118"/>
    </row>
    <row r="401" spans="1:256" s="5" customFormat="1" ht="13.8" thickBot="1" x14ac:dyDescent="0.3">
      <c r="B401" s="188" t="s">
        <v>75</v>
      </c>
      <c r="C401" s="240"/>
      <c r="D401" s="240"/>
      <c r="E401" s="243"/>
      <c r="F401" s="237">
        <f>$F$267*12</f>
        <v>24000</v>
      </c>
      <c r="G401" s="244">
        <f t="shared" si="12"/>
        <v>3.7156669172546383E-2</v>
      </c>
      <c r="I401" s="196"/>
      <c r="K401" s="272"/>
      <c r="AT401" s="118"/>
      <c r="AU401" s="118"/>
    </row>
    <row r="402" spans="1:256" s="5" customFormat="1" ht="13.8" thickBot="1" x14ac:dyDescent="0.3">
      <c r="B402" s="188" t="s">
        <v>84</v>
      </c>
      <c r="C402" s="240"/>
      <c r="D402" s="240"/>
      <c r="E402" s="243"/>
      <c r="F402" s="237">
        <f>$F$268*12</f>
        <v>36000</v>
      </c>
      <c r="G402" s="244">
        <f t="shared" si="12"/>
        <v>5.5735003758819575E-2</v>
      </c>
      <c r="I402" s="196"/>
      <c r="K402" s="272"/>
      <c r="AT402" s="118"/>
      <c r="AU402" s="118"/>
    </row>
    <row r="403" spans="1:256" s="5" customFormat="1" ht="13.8" thickBot="1" x14ac:dyDescent="0.3">
      <c r="B403" s="188" t="s">
        <v>85</v>
      </c>
      <c r="C403" s="240"/>
      <c r="D403" s="240"/>
      <c r="E403" s="243"/>
      <c r="F403" s="237">
        <f>$E$269*F388</f>
        <v>6459.1365519201781</v>
      </c>
      <c r="G403" s="244">
        <f t="shared" si="12"/>
        <v>0.01</v>
      </c>
      <c r="I403" s="196"/>
      <c r="K403" s="272"/>
      <c r="AT403" s="118"/>
      <c r="AU403" s="118"/>
    </row>
    <row r="404" spans="1:256" s="5" customFormat="1" ht="13.8" thickBot="1" x14ac:dyDescent="0.3">
      <c r="B404" s="188" t="s">
        <v>87</v>
      </c>
      <c r="C404" s="240"/>
      <c r="D404" s="240"/>
      <c r="E404" s="243"/>
      <c r="F404" s="237">
        <f>SUM(F390:F403)</f>
        <v>332696.59247014316</v>
      </c>
      <c r="G404" s="244">
        <f>F404/F388</f>
        <v>0.51507905088527484</v>
      </c>
      <c r="I404" s="196"/>
      <c r="K404" s="272"/>
      <c r="AT404" s="118"/>
      <c r="AU404" s="118"/>
    </row>
    <row r="405" spans="1:256" s="5" customFormat="1" ht="13.8" thickBot="1" x14ac:dyDescent="0.3">
      <c r="B405" s="188"/>
      <c r="C405" s="240"/>
      <c r="D405" s="240"/>
      <c r="E405" s="243"/>
      <c r="F405" s="245"/>
      <c r="G405" s="244"/>
      <c r="I405" s="196"/>
      <c r="K405" s="272"/>
      <c r="AT405" s="118"/>
      <c r="AU405" s="118"/>
    </row>
    <row r="406" spans="1:256" s="5" customFormat="1" ht="13.8" thickBot="1" x14ac:dyDescent="0.3">
      <c r="B406" s="176" t="s">
        <v>232</v>
      </c>
      <c r="C406" s="240"/>
      <c r="D406" s="240"/>
      <c r="E406" s="243"/>
      <c r="F406" s="237">
        <f>F388-F404</f>
        <v>313217.06272187462</v>
      </c>
      <c r="G406" s="244">
        <f>F406/F388</f>
        <v>0.48492094911472522</v>
      </c>
      <c r="K406" s="272"/>
      <c r="AT406" s="118"/>
      <c r="AU406" s="118"/>
    </row>
    <row r="407" spans="1:256" s="5" customFormat="1" ht="16.8" thickBot="1" x14ac:dyDescent="0.35">
      <c r="B407" s="394" t="s">
        <v>223</v>
      </c>
      <c r="C407" s="395"/>
      <c r="D407" s="395"/>
      <c r="E407" s="395"/>
      <c r="F407" s="395"/>
      <c r="G407" s="396"/>
      <c r="K407" s="272"/>
      <c r="AS407" s="118"/>
      <c r="AT407" s="118"/>
    </row>
    <row r="408" spans="1:256" s="5" customFormat="1" ht="13.8" thickBot="1" x14ac:dyDescent="0.3">
      <c r="B408" s="188" t="s">
        <v>224</v>
      </c>
      <c r="C408" s="246"/>
      <c r="D408" s="224"/>
      <c r="E408" s="225"/>
      <c r="F408" s="247">
        <f>$G$300*12</f>
        <v>0</v>
      </c>
      <c r="G408" s="249">
        <f>F408/F388</f>
        <v>0</v>
      </c>
      <c r="K408" s="272"/>
      <c r="AS408" s="118"/>
      <c r="AT408" s="118"/>
    </row>
    <row r="409" spans="1:256" s="5" customFormat="1" ht="13.8" thickBot="1" x14ac:dyDescent="0.3">
      <c r="B409" s="188" t="s">
        <v>111</v>
      </c>
      <c r="C409" s="246"/>
      <c r="D409" s="224"/>
      <c r="E409" s="225"/>
      <c r="F409" s="247">
        <f>$G$308*12</f>
        <v>0</v>
      </c>
      <c r="G409" s="242">
        <f>F409/F388</f>
        <v>0</v>
      </c>
      <c r="K409" s="272"/>
      <c r="AS409" s="118"/>
      <c r="AT409" s="118"/>
    </row>
    <row r="410" spans="1:256" s="5" customFormat="1" ht="13.8" thickBot="1" x14ac:dyDescent="0.3">
      <c r="B410" s="188" t="s">
        <v>225</v>
      </c>
      <c r="C410" s="240"/>
      <c r="D410" s="240"/>
      <c r="E410" s="243"/>
      <c r="F410" s="237">
        <f>SUM(F408:F409)</f>
        <v>0</v>
      </c>
      <c r="G410" s="244">
        <f>SUM(G408:G409)</f>
        <v>0</v>
      </c>
      <c r="K410" s="272"/>
      <c r="AS410" s="118"/>
      <c r="AT410" s="118"/>
    </row>
    <row r="411" spans="1:256" s="5" customFormat="1" x14ac:dyDescent="0.25">
      <c r="B411" s="172"/>
      <c r="C411" s="173"/>
      <c r="D411" s="173"/>
      <c r="E411" s="173"/>
      <c r="F411" s="199"/>
      <c r="G411" s="199"/>
      <c r="K411" s="272"/>
      <c r="AS411" s="118"/>
      <c r="AT411" s="118"/>
    </row>
    <row r="412" spans="1:256" s="5" customFormat="1" ht="13.8" thickBot="1" x14ac:dyDescent="0.3">
      <c r="B412" s="176" t="s">
        <v>226</v>
      </c>
      <c r="C412" s="177"/>
      <c r="D412" s="177"/>
      <c r="E412" s="177"/>
      <c r="F412" s="200">
        <f>F406-F410</f>
        <v>313217.06272187462</v>
      </c>
      <c r="G412" s="248">
        <f>F412/F388</f>
        <v>0.48492094911472522</v>
      </c>
      <c r="K412" s="272"/>
      <c r="AS412" s="118"/>
      <c r="AT412" s="118"/>
    </row>
    <row r="413" spans="1:256" s="5" customFormat="1" x14ac:dyDescent="0.25">
      <c r="J413" s="196"/>
      <c r="K413" s="272"/>
      <c r="AT413" s="118"/>
      <c r="AU413" s="118"/>
    </row>
    <row r="414" spans="1:256" s="5" customFormat="1" x14ac:dyDescent="0.25">
      <c r="B414" s="3"/>
      <c r="C414" s="3"/>
      <c r="D414" s="12"/>
      <c r="E414" s="3"/>
      <c r="F414" s="3"/>
      <c r="G414" s="3"/>
      <c r="K414" s="272"/>
      <c r="T414" s="3"/>
      <c r="U414" s="3"/>
      <c r="AT414" s="118"/>
      <c r="AU414" s="118"/>
    </row>
    <row r="415" spans="1:256" x14ac:dyDescent="0.25">
      <c r="A415" s="3"/>
      <c r="B415" s="167"/>
      <c r="C415" s="167"/>
      <c r="D415" s="167"/>
      <c r="E415" s="167"/>
      <c r="F415" s="167"/>
      <c r="G415" s="167"/>
      <c r="H415" s="5"/>
      <c r="I415" s="5"/>
      <c r="J415" s="3"/>
      <c r="K415" s="271"/>
      <c r="L415" s="3"/>
      <c r="M415" s="3"/>
      <c r="N415" s="3"/>
      <c r="O415" s="3"/>
      <c r="P415" s="3"/>
      <c r="Q415" s="3"/>
      <c r="R415" s="3"/>
      <c r="S415" s="3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118"/>
      <c r="AU415" s="118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</row>
    <row r="416" spans="1:256" s="5" customFormat="1" ht="17.399999999999999" x14ac:dyDescent="0.3">
      <c r="A416" s="167"/>
      <c r="B416" s="337" t="s">
        <v>121</v>
      </c>
      <c r="C416" s="337"/>
      <c r="D416" s="337"/>
      <c r="E416" s="337"/>
      <c r="F416" s="337"/>
      <c r="G416" s="337"/>
      <c r="K416" s="272"/>
      <c r="AT416" s="118"/>
      <c r="AU416" s="118"/>
    </row>
    <row r="417" spans="1:47" s="5" customFormat="1" ht="18" customHeight="1" thickBot="1" x14ac:dyDescent="0.35">
      <c r="A417" s="337"/>
      <c r="B417" s="337"/>
      <c r="C417" s="337"/>
      <c r="D417" s="337"/>
      <c r="E417" s="337"/>
      <c r="F417" s="337"/>
      <c r="G417" s="337"/>
      <c r="K417" s="272"/>
      <c r="AT417" s="118"/>
      <c r="AU417" s="118"/>
    </row>
    <row r="418" spans="1:47" s="5" customFormat="1" x14ac:dyDescent="0.25">
      <c r="A418" s="167"/>
      <c r="B418" s="170" t="s">
        <v>0</v>
      </c>
      <c r="C418" s="296" t="str">
        <f>CUSTOMERNAME</f>
        <v>Brainard Holdings LLC - Car Wash Café</v>
      </c>
      <c r="D418" s="297"/>
      <c r="E418" s="298"/>
      <c r="F418" s="167"/>
      <c r="G418" s="167"/>
      <c r="K418" s="272"/>
      <c r="AT418" s="118"/>
      <c r="AU418" s="118"/>
    </row>
    <row r="419" spans="1:47" s="5" customFormat="1" ht="13.8" thickBot="1" x14ac:dyDescent="0.3">
      <c r="A419" s="167"/>
      <c r="B419" s="170" t="s">
        <v>1</v>
      </c>
      <c r="C419" s="385" t="str">
        <f>ADDRESS</f>
        <v>3050 N University Dr., Sunrise, FL 33322</v>
      </c>
      <c r="D419" s="386"/>
      <c r="E419" s="387"/>
      <c r="F419" s="167"/>
      <c r="G419" s="167"/>
      <c r="K419" s="272"/>
      <c r="AT419" s="118"/>
      <c r="AU419" s="118"/>
    </row>
    <row r="420" spans="1:47" s="5" customFormat="1" x14ac:dyDescent="0.25">
      <c r="A420" s="167"/>
      <c r="B420" s="167"/>
      <c r="C420" s="167"/>
      <c r="D420" s="167"/>
      <c r="E420" s="167"/>
      <c r="F420" s="167"/>
      <c r="G420" s="171" t="s">
        <v>229</v>
      </c>
      <c r="K420" s="272"/>
      <c r="AT420" s="118"/>
      <c r="AU420" s="118"/>
    </row>
    <row r="421" spans="1:47" s="5" customFormat="1" ht="19.5" customHeight="1" x14ac:dyDescent="0.25">
      <c r="A421" s="332" t="s">
        <v>231</v>
      </c>
      <c r="B421" s="332"/>
      <c r="C421" s="332"/>
      <c r="D421" s="332"/>
      <c r="E421" s="332"/>
      <c r="F421" s="332"/>
      <c r="G421" s="332"/>
      <c r="K421" s="272"/>
      <c r="AT421" s="118"/>
      <c r="AU421" s="118"/>
    </row>
    <row r="422" spans="1:47" s="5" customFormat="1" ht="13.8" thickBot="1" x14ac:dyDescent="0.3">
      <c r="A422" s="332"/>
      <c r="B422" s="332"/>
      <c r="C422" s="332"/>
      <c r="D422" s="332"/>
      <c r="E422" s="332"/>
      <c r="F422" s="332"/>
      <c r="G422" s="332"/>
      <c r="K422" s="272"/>
      <c r="AT422" s="118"/>
      <c r="AU422" s="118"/>
    </row>
    <row r="423" spans="1:47" s="5" customFormat="1" ht="13.8" thickBot="1" x14ac:dyDescent="0.3">
      <c r="A423" s="167"/>
      <c r="B423" s="172"/>
      <c r="C423" s="173"/>
      <c r="D423" s="173"/>
      <c r="E423" s="174"/>
      <c r="F423" s="175" t="s">
        <v>184</v>
      </c>
      <c r="G423" s="229" t="s">
        <v>219</v>
      </c>
      <c r="K423" s="272"/>
      <c r="AT423" s="118"/>
      <c r="AU423" s="118"/>
    </row>
    <row r="424" spans="1:47" s="5" customFormat="1" ht="13.8" thickBot="1" x14ac:dyDescent="0.3">
      <c r="A424" s="167"/>
      <c r="B424" s="176" t="s">
        <v>218</v>
      </c>
      <c r="C424" s="177"/>
      <c r="D424" s="177"/>
      <c r="E424" s="177"/>
      <c r="F424" s="178">
        <f>E141</f>
        <v>69796.188694852943</v>
      </c>
      <c r="G424" s="230" t="s">
        <v>62</v>
      </c>
      <c r="K424" s="272"/>
      <c r="AT424" s="118"/>
      <c r="AU424" s="118"/>
    </row>
    <row r="425" spans="1:47" s="5" customFormat="1" ht="20.399999999999999" thickBot="1" x14ac:dyDescent="0.4">
      <c r="A425" s="167"/>
      <c r="B425" s="180" t="s">
        <v>62</v>
      </c>
      <c r="C425" s="181"/>
      <c r="D425" s="181"/>
      <c r="E425" s="181"/>
      <c r="F425" s="231"/>
      <c r="G425" s="232"/>
      <c r="I425" s="252" t="s">
        <v>206</v>
      </c>
      <c r="K425" s="272"/>
      <c r="AT425" s="118"/>
      <c r="AU425" s="118"/>
    </row>
    <row r="426" spans="1:47" s="5" customFormat="1" x14ac:dyDescent="0.25">
      <c r="A426" s="167"/>
      <c r="B426" s="373" t="s">
        <v>220</v>
      </c>
      <c r="C426" s="374"/>
      <c r="D426" s="15" t="s">
        <v>63</v>
      </c>
      <c r="E426" s="15" t="s">
        <v>65</v>
      </c>
      <c r="F426" s="233"/>
      <c r="G426" s="234"/>
      <c r="K426" s="272"/>
      <c r="AT426" s="118"/>
      <c r="AU426" s="118"/>
    </row>
    <row r="427" spans="1:47" s="5" customFormat="1" ht="13.8" thickBot="1" x14ac:dyDescent="0.3">
      <c r="B427" s="375" t="s">
        <v>221</v>
      </c>
      <c r="C427" s="376"/>
      <c r="D427" s="18" t="s">
        <v>64</v>
      </c>
      <c r="E427" s="18" t="s">
        <v>66</v>
      </c>
      <c r="F427" s="235"/>
      <c r="G427" s="236"/>
      <c r="K427" s="272"/>
      <c r="AT427" s="118"/>
      <c r="AU427" s="118"/>
    </row>
    <row r="428" spans="1:47" s="5" customFormat="1" ht="13.8" thickBot="1" x14ac:dyDescent="0.3">
      <c r="B428" s="63" t="s">
        <v>123</v>
      </c>
      <c r="C428" s="64"/>
      <c r="D428" s="1">
        <f>E50</f>
        <v>6</v>
      </c>
      <c r="E428" s="192">
        <f>$G$39</f>
        <v>0.5</v>
      </c>
      <c r="F428" s="237">
        <f>F424*D428*E428</f>
        <v>209388.56608455884</v>
      </c>
      <c r="G428" s="238">
        <f>F428/F433</f>
        <v>0.29411764705882354</v>
      </c>
      <c r="K428" s="272"/>
      <c r="AT428" s="118"/>
      <c r="AU428" s="118"/>
    </row>
    <row r="429" spans="1:47" s="5" customFormat="1" ht="13.8" thickBot="1" x14ac:dyDescent="0.3">
      <c r="B429" s="63" t="s">
        <v>68</v>
      </c>
      <c r="C429" s="64"/>
      <c r="D429" s="1">
        <f>E51</f>
        <v>10</v>
      </c>
      <c r="E429" s="192">
        <f>$G$40</f>
        <v>0.15</v>
      </c>
      <c r="F429" s="237">
        <f>F424*D429*E429</f>
        <v>104694.28304227941</v>
      </c>
      <c r="G429" s="238">
        <f>F429/F433</f>
        <v>0.14705882352941174</v>
      </c>
      <c r="K429" s="272"/>
      <c r="AT429" s="118"/>
      <c r="AU429" s="118"/>
    </row>
    <row r="430" spans="1:47" s="5" customFormat="1" ht="13.8" thickBot="1" x14ac:dyDescent="0.3">
      <c r="B430" s="63" t="s">
        <v>69</v>
      </c>
      <c r="C430" s="64"/>
      <c r="D430" s="1">
        <f>E52</f>
        <v>14</v>
      </c>
      <c r="E430" s="192">
        <f>$G$41</f>
        <v>0.15</v>
      </c>
      <c r="F430" s="237">
        <f>F424*D430*E430</f>
        <v>146571.99625919119</v>
      </c>
      <c r="G430" s="238">
        <f>F430/F433</f>
        <v>0.20588235294117646</v>
      </c>
      <c r="K430" s="272"/>
      <c r="AT430" s="118"/>
      <c r="AU430" s="118"/>
    </row>
    <row r="431" spans="1:47" s="5" customFormat="1" ht="13.8" thickBot="1" x14ac:dyDescent="0.3">
      <c r="B431" s="63" t="s">
        <v>70</v>
      </c>
      <c r="C431" s="64"/>
      <c r="D431" s="1">
        <f>E53</f>
        <v>18</v>
      </c>
      <c r="E431" s="192">
        <f>$G$42</f>
        <v>0.2</v>
      </c>
      <c r="F431" s="237">
        <f>F424*D431*E431</f>
        <v>251266.27930147061</v>
      </c>
      <c r="G431" s="238">
        <f>F431/F433</f>
        <v>0.35294117647058826</v>
      </c>
      <c r="K431" s="272"/>
      <c r="AT431" s="118"/>
      <c r="AU431" s="118"/>
    </row>
    <row r="432" spans="1:47" s="5" customFormat="1" ht="13.8" thickBot="1" x14ac:dyDescent="0.3">
      <c r="B432" s="63" t="s">
        <v>310</v>
      </c>
      <c r="C432" s="64"/>
      <c r="D432" s="1">
        <f>E54</f>
        <v>0</v>
      </c>
      <c r="E432" s="192">
        <f>$G$43</f>
        <v>0</v>
      </c>
      <c r="F432" s="237">
        <f>F424*D432*E432</f>
        <v>0</v>
      </c>
      <c r="G432" s="238">
        <f>F432/F433</f>
        <v>0</v>
      </c>
      <c r="K432" s="272"/>
      <c r="AT432" s="118"/>
      <c r="AU432" s="118"/>
    </row>
    <row r="433" spans="2:55" s="5" customFormat="1" ht="13.8" thickBot="1" x14ac:dyDescent="0.3">
      <c r="B433" s="239" t="s">
        <v>222</v>
      </c>
      <c r="C433" s="240"/>
      <c r="D433" s="240"/>
      <c r="E433" s="240"/>
      <c r="F433" s="237">
        <f>SUM(F428:F432)</f>
        <v>711921.12468750007</v>
      </c>
      <c r="G433" s="238">
        <f>SUM(G428:G431)</f>
        <v>1</v>
      </c>
      <c r="K433" s="272"/>
      <c r="AT433" s="118"/>
      <c r="AU433" s="118"/>
    </row>
    <row r="434" spans="2:55" s="5" customFormat="1" ht="13.8" thickBot="1" x14ac:dyDescent="0.3">
      <c r="B434" s="188" t="s">
        <v>127</v>
      </c>
      <c r="C434" s="189"/>
      <c r="D434" s="241">
        <f>D250</f>
        <v>0.03</v>
      </c>
      <c r="E434" s="192">
        <f>E250</f>
        <v>0.6</v>
      </c>
      <c r="F434" s="1">
        <f>F433*D434*E434*-1</f>
        <v>-12814.580244375002</v>
      </c>
      <c r="G434" s="241">
        <f>F434/F435</f>
        <v>-1.8329938900203669E-2</v>
      </c>
      <c r="K434" s="272"/>
      <c r="AT434" s="118"/>
      <c r="AU434" s="118"/>
    </row>
    <row r="435" spans="2:55" s="5" customFormat="1" ht="13.8" thickBot="1" x14ac:dyDescent="0.3">
      <c r="B435" s="188" t="s">
        <v>73</v>
      </c>
      <c r="C435" s="189"/>
      <c r="D435" s="189"/>
      <c r="E435" s="189"/>
      <c r="F435" s="190">
        <f>F433+F434</f>
        <v>699106.54444312502</v>
      </c>
      <c r="G435" s="242">
        <f>F435/F433</f>
        <v>0.98199999999999998</v>
      </c>
      <c r="K435" s="272"/>
      <c r="AT435" s="118"/>
      <c r="AU435" s="118"/>
    </row>
    <row r="436" spans="2:55" s="5" customFormat="1" ht="16.8" thickBot="1" x14ac:dyDescent="0.35">
      <c r="B436" s="394" t="s">
        <v>76</v>
      </c>
      <c r="C436" s="395"/>
      <c r="D436" s="395"/>
      <c r="E436" s="395"/>
      <c r="F436" s="395"/>
      <c r="G436" s="396"/>
      <c r="I436" s="196"/>
      <c r="K436" s="272"/>
      <c r="AT436" s="118"/>
      <c r="AU436" s="118"/>
    </row>
    <row r="437" spans="2:55" s="5" customFormat="1" ht="13.8" thickBot="1" x14ac:dyDescent="0.3">
      <c r="B437" s="188" t="s">
        <v>208</v>
      </c>
      <c r="C437" s="240"/>
      <c r="D437" s="240"/>
      <c r="E437" s="243"/>
      <c r="F437" s="279">
        <f>($F$390)*(1+G33)</f>
        <v>54019.330560000002</v>
      </c>
      <c r="G437" s="244">
        <f t="shared" ref="G437:G450" si="13">F437/$F$435</f>
        <v>7.7269095804315818E-2</v>
      </c>
      <c r="K437" s="272"/>
      <c r="AT437" s="118"/>
      <c r="AU437" s="118"/>
    </row>
    <row r="438" spans="2:55" s="5" customFormat="1" ht="13.8" thickBot="1" x14ac:dyDescent="0.3">
      <c r="B438" s="188" t="s">
        <v>241</v>
      </c>
      <c r="C438" s="240"/>
      <c r="D438" s="240"/>
      <c r="E438" s="243"/>
      <c r="F438" s="237">
        <f>K439-1500</f>
        <v>47297.921570580002</v>
      </c>
      <c r="G438" s="244">
        <f t="shared" si="13"/>
        <v>6.7654811625680419E-2</v>
      </c>
      <c r="I438" s="196"/>
      <c r="K438" s="272"/>
      <c r="AT438" s="118"/>
      <c r="AU438" s="118"/>
    </row>
    <row r="439" spans="2:55" s="5" customFormat="1" ht="13.8" thickBot="1" x14ac:dyDescent="0.3">
      <c r="B439" s="188" t="s">
        <v>79</v>
      </c>
      <c r="C439" s="240"/>
      <c r="D439" s="240"/>
      <c r="E439" s="243"/>
      <c r="F439" s="237">
        <f>$E$258*F435-4000</f>
        <v>37946.392666587497</v>
      </c>
      <c r="G439" s="244">
        <f t="shared" si="13"/>
        <v>5.4278411449879625E-2</v>
      </c>
      <c r="I439" s="196"/>
      <c r="K439" s="253">
        <f>(F424*$G$39*E$60)+(F424*$G$40*E$61)+(F424*$G$41*E$62)+(F424*$G$42*E$63)+(F424*$G$43*E$64)</f>
        <v>48797.921570580002</v>
      </c>
      <c r="AT439" s="118"/>
      <c r="AU439" s="118"/>
    </row>
    <row r="440" spans="2:55" s="5" customFormat="1" ht="13.8" thickBot="1" x14ac:dyDescent="0.3">
      <c r="B440" s="188" t="s">
        <v>74</v>
      </c>
      <c r="C440" s="240"/>
      <c r="D440" s="240"/>
      <c r="E440" s="243"/>
      <c r="F440" s="237">
        <f>$E$259*F435</f>
        <v>20973.196333293748</v>
      </c>
      <c r="G440" s="244">
        <f t="shared" si="13"/>
        <v>2.9999999999999995E-2</v>
      </c>
      <c r="I440" s="196"/>
      <c r="K440" s="272"/>
      <c r="AT440" s="118"/>
      <c r="AU440" s="118"/>
    </row>
    <row r="441" spans="2:55" s="5" customFormat="1" ht="13.8" thickBot="1" x14ac:dyDescent="0.3">
      <c r="B441" s="188" t="s">
        <v>80</v>
      </c>
      <c r="C441" s="240"/>
      <c r="D441" s="240"/>
      <c r="E441" s="243"/>
      <c r="F441" s="237">
        <f>$E$260*F435</f>
        <v>6991.0654444312504</v>
      </c>
      <c r="G441" s="244">
        <f t="shared" si="13"/>
        <v>0.01</v>
      </c>
      <c r="I441" s="196"/>
      <c r="K441" s="272"/>
      <c r="AT441" s="118"/>
      <c r="AU441" s="118"/>
    </row>
    <row r="442" spans="2:55" s="5" customFormat="1" ht="13.8" thickBot="1" x14ac:dyDescent="0.3">
      <c r="B442" s="188" t="s">
        <v>86</v>
      </c>
      <c r="C442" s="240"/>
      <c r="D442" s="240"/>
      <c r="E442" s="243"/>
      <c r="F442" s="237">
        <f>$E$261*F435</f>
        <v>6991.0654444312504</v>
      </c>
      <c r="G442" s="244">
        <f t="shared" si="13"/>
        <v>0.01</v>
      </c>
      <c r="I442" s="196"/>
      <c r="K442" s="272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4"/>
      <c r="AU442" s="4"/>
      <c r="AV442" s="3"/>
      <c r="AW442" s="3"/>
      <c r="AX442" s="3"/>
      <c r="AY442" s="3"/>
      <c r="AZ442" s="3"/>
      <c r="BA442" s="3"/>
      <c r="BB442" s="3"/>
      <c r="BC442" s="3"/>
    </row>
    <row r="443" spans="2:55" s="5" customFormat="1" ht="13.8" thickBot="1" x14ac:dyDescent="0.3">
      <c r="B443" s="188" t="s">
        <v>81</v>
      </c>
      <c r="C443" s="240"/>
      <c r="D443" s="240"/>
      <c r="E443" s="243"/>
      <c r="F443" s="237">
        <f>$E$262*F435</f>
        <v>6991.0654444312504</v>
      </c>
      <c r="G443" s="244">
        <f t="shared" si="13"/>
        <v>0.01</v>
      </c>
      <c r="I443" s="196"/>
      <c r="K443" s="272"/>
      <c r="AT443" s="118"/>
      <c r="AU443" s="118"/>
    </row>
    <row r="444" spans="2:55" s="5" customFormat="1" ht="13.8" thickBot="1" x14ac:dyDescent="0.3">
      <c r="B444" s="188" t="s">
        <v>207</v>
      </c>
      <c r="C444" s="240"/>
      <c r="D444" s="240"/>
      <c r="E444" s="243"/>
      <c r="F444" s="279">
        <f>($F$397)*(1+G33)</f>
        <v>82021.998239999986</v>
      </c>
      <c r="G444" s="244">
        <f t="shared" si="13"/>
        <v>0.11732403149699422</v>
      </c>
      <c r="I444" s="196"/>
      <c r="K444" s="272"/>
      <c r="AT444" s="118"/>
      <c r="AU444" s="118"/>
    </row>
    <row r="445" spans="2:55" s="5" customFormat="1" ht="13.8" hidden="1" thickBot="1" x14ac:dyDescent="0.3">
      <c r="B445" s="188" t="s">
        <v>132</v>
      </c>
      <c r="C445" s="240"/>
      <c r="D445" s="240"/>
      <c r="E445" s="243"/>
      <c r="F445" s="237">
        <f>$E$264*F435</f>
        <v>0</v>
      </c>
      <c r="G445" s="244">
        <f t="shared" si="13"/>
        <v>0</v>
      </c>
      <c r="I445" s="196"/>
      <c r="K445" s="272"/>
      <c r="AT445" s="118"/>
      <c r="AU445" s="118"/>
    </row>
    <row r="446" spans="2:55" s="5" customFormat="1" ht="13.8" thickBot="1" x14ac:dyDescent="0.3">
      <c r="B446" s="188" t="s">
        <v>82</v>
      </c>
      <c r="C446" s="240"/>
      <c r="D446" s="240"/>
      <c r="E446" s="243"/>
      <c r="F446" s="237">
        <f>$E$265*F435</f>
        <v>6991.0654444312504</v>
      </c>
      <c r="G446" s="244">
        <f t="shared" si="13"/>
        <v>0.01</v>
      </c>
      <c r="I446" s="196"/>
      <c r="K446" s="272"/>
      <c r="AT446" s="118"/>
      <c r="AU446" s="118"/>
    </row>
    <row r="447" spans="2:55" s="5" customFormat="1" ht="13.8" thickBot="1" x14ac:dyDescent="0.3">
      <c r="B447" s="188" t="s">
        <v>83</v>
      </c>
      <c r="C447" s="240"/>
      <c r="D447" s="240"/>
      <c r="E447" s="243"/>
      <c r="F447" s="237">
        <f>$E$266*F435</f>
        <v>10486.598166646874</v>
      </c>
      <c r="G447" s="244">
        <f t="shared" si="13"/>
        <v>1.4999999999999998E-2</v>
      </c>
      <c r="I447" s="196"/>
      <c r="K447" s="272"/>
      <c r="AT447" s="118"/>
      <c r="AU447" s="118"/>
    </row>
    <row r="448" spans="2:55" s="5" customFormat="1" ht="13.8" thickBot="1" x14ac:dyDescent="0.3">
      <c r="B448" s="188" t="s">
        <v>75</v>
      </c>
      <c r="C448" s="240"/>
      <c r="D448" s="240"/>
      <c r="E448" s="243"/>
      <c r="F448" s="237">
        <f>$F$267*12</f>
        <v>24000</v>
      </c>
      <c r="G448" s="244">
        <f t="shared" si="13"/>
        <v>3.4329531300722207E-2</v>
      </c>
      <c r="I448" s="196"/>
      <c r="K448" s="272"/>
      <c r="AT448" s="118"/>
      <c r="AU448" s="118"/>
    </row>
    <row r="449" spans="1:256" s="5" customFormat="1" ht="13.8" thickBot="1" x14ac:dyDescent="0.3">
      <c r="B449" s="188" t="s">
        <v>84</v>
      </c>
      <c r="C449" s="240"/>
      <c r="D449" s="240"/>
      <c r="E449" s="243"/>
      <c r="F449" s="237">
        <f>$F$268*12</f>
        <v>36000</v>
      </c>
      <c r="G449" s="244">
        <f t="shared" si="13"/>
        <v>5.1494296951083311E-2</v>
      </c>
      <c r="I449" s="196"/>
      <c r="K449" s="272"/>
      <c r="AT449" s="118"/>
      <c r="AU449" s="118"/>
    </row>
    <row r="450" spans="1:256" s="5" customFormat="1" ht="13.8" thickBot="1" x14ac:dyDescent="0.3">
      <c r="B450" s="188" t="s">
        <v>85</v>
      </c>
      <c r="C450" s="240"/>
      <c r="D450" s="240"/>
      <c r="E450" s="243"/>
      <c r="F450" s="237">
        <f>$E$269*F435</f>
        <v>6991.0654444312504</v>
      </c>
      <c r="G450" s="244">
        <f t="shared" si="13"/>
        <v>0.01</v>
      </c>
      <c r="I450" s="196"/>
      <c r="K450" s="272"/>
      <c r="AT450" s="118"/>
      <c r="AU450" s="118"/>
    </row>
    <row r="451" spans="1:256" s="5" customFormat="1" ht="13.8" thickBot="1" x14ac:dyDescent="0.3">
      <c r="B451" s="188" t="s">
        <v>87</v>
      </c>
      <c r="C451" s="240"/>
      <c r="D451" s="240"/>
      <c r="E451" s="243"/>
      <c r="F451" s="237">
        <f>SUM(F437:F450)</f>
        <v>347700.76475926442</v>
      </c>
      <c r="G451" s="244">
        <f>F451/F435</f>
        <v>0.4973501786286757</v>
      </c>
      <c r="I451" s="196"/>
      <c r="K451" s="272"/>
      <c r="AT451" s="118"/>
      <c r="AU451" s="118"/>
    </row>
    <row r="452" spans="1:256" s="5" customFormat="1" ht="13.8" thickBot="1" x14ac:dyDescent="0.3">
      <c r="B452" s="188"/>
      <c r="C452" s="240"/>
      <c r="D452" s="240"/>
      <c r="E452" s="243"/>
      <c r="F452" s="245"/>
      <c r="G452" s="244"/>
      <c r="I452" s="196"/>
      <c r="K452" s="272"/>
      <c r="AT452" s="118"/>
      <c r="AU452" s="118"/>
    </row>
    <row r="453" spans="1:256" s="5" customFormat="1" ht="13.8" thickBot="1" x14ac:dyDescent="0.3">
      <c r="B453" s="176" t="s">
        <v>232</v>
      </c>
      <c r="C453" s="240"/>
      <c r="D453" s="240"/>
      <c r="E453" s="243"/>
      <c r="F453" s="237">
        <f>F435-F451</f>
        <v>351405.7796838606</v>
      </c>
      <c r="G453" s="244">
        <f>F453/F435</f>
        <v>0.5026498213713243</v>
      </c>
      <c r="K453" s="272"/>
      <c r="AT453" s="118"/>
      <c r="AU453" s="118"/>
    </row>
    <row r="454" spans="1:256" s="5" customFormat="1" ht="16.8" thickBot="1" x14ac:dyDescent="0.35">
      <c r="B454" s="394" t="s">
        <v>223</v>
      </c>
      <c r="C454" s="395"/>
      <c r="D454" s="395"/>
      <c r="E454" s="395"/>
      <c r="F454" s="395"/>
      <c r="G454" s="396"/>
      <c r="K454" s="272"/>
      <c r="AT454" s="118"/>
      <c r="AU454" s="118"/>
    </row>
    <row r="455" spans="1:256" s="5" customFormat="1" ht="13.8" thickBot="1" x14ac:dyDescent="0.3">
      <c r="B455" s="188" t="s">
        <v>224</v>
      </c>
      <c r="C455" s="246"/>
      <c r="D455" s="224"/>
      <c r="E455" s="225"/>
      <c r="F455" s="247">
        <f>$G$300*12</f>
        <v>0</v>
      </c>
      <c r="G455" s="249">
        <f>F455/F435</f>
        <v>0</v>
      </c>
      <c r="K455" s="272"/>
      <c r="AT455" s="118"/>
      <c r="AU455" s="118"/>
    </row>
    <row r="456" spans="1:256" s="5" customFormat="1" ht="13.8" thickBot="1" x14ac:dyDescent="0.3">
      <c r="B456" s="188" t="s">
        <v>111</v>
      </c>
      <c r="C456" s="246"/>
      <c r="D456" s="224"/>
      <c r="E456" s="225"/>
      <c r="F456" s="247">
        <f>$G$308*12</f>
        <v>0</v>
      </c>
      <c r="G456" s="242">
        <f>F456/F435</f>
        <v>0</v>
      </c>
      <c r="K456" s="272"/>
      <c r="AT456" s="118"/>
      <c r="AU456" s="118"/>
    </row>
    <row r="457" spans="1:256" s="5" customFormat="1" ht="13.8" thickBot="1" x14ac:dyDescent="0.3">
      <c r="B457" s="188" t="s">
        <v>225</v>
      </c>
      <c r="C457" s="240"/>
      <c r="D457" s="240"/>
      <c r="E457" s="243"/>
      <c r="F457" s="237">
        <f>SUM(F455:F456)</f>
        <v>0</v>
      </c>
      <c r="G457" s="244">
        <f>SUM(G455:G456)</f>
        <v>0</v>
      </c>
      <c r="K457" s="272"/>
      <c r="AT457" s="118"/>
      <c r="AU457" s="118"/>
    </row>
    <row r="458" spans="1:256" s="5" customFormat="1" x14ac:dyDescent="0.25">
      <c r="B458" s="172"/>
      <c r="C458" s="173"/>
      <c r="D458" s="173"/>
      <c r="E458" s="173"/>
      <c r="F458" s="199"/>
      <c r="G458" s="199"/>
      <c r="K458" s="272"/>
      <c r="AT458" s="118"/>
      <c r="AU458" s="118"/>
    </row>
    <row r="459" spans="1:256" s="5" customFormat="1" ht="13.8" thickBot="1" x14ac:dyDescent="0.3">
      <c r="B459" s="176" t="s">
        <v>226</v>
      </c>
      <c r="C459" s="177"/>
      <c r="D459" s="177"/>
      <c r="E459" s="177"/>
      <c r="F459" s="200">
        <f>F453-F457</f>
        <v>351405.7796838606</v>
      </c>
      <c r="G459" s="248">
        <f>F459/F435</f>
        <v>0.5026498213713243</v>
      </c>
      <c r="K459" s="272"/>
      <c r="AT459" s="118"/>
      <c r="AU459" s="118"/>
    </row>
    <row r="460" spans="1:256" s="5" customFormat="1" x14ac:dyDescent="0.25">
      <c r="J460" s="196"/>
      <c r="K460" s="272"/>
      <c r="AT460" s="118"/>
      <c r="AU460" s="118"/>
    </row>
    <row r="461" spans="1:256" s="5" customFormat="1" x14ac:dyDescent="0.25">
      <c r="B461" s="3"/>
      <c r="C461" s="3"/>
      <c r="D461" s="12"/>
      <c r="E461" s="3"/>
      <c r="F461" s="3"/>
      <c r="G461" s="3"/>
      <c r="K461" s="272"/>
      <c r="T461" s="3"/>
      <c r="U461" s="3"/>
      <c r="AT461" s="118"/>
      <c r="AU461" s="118"/>
    </row>
    <row r="462" spans="1:256" x14ac:dyDescent="0.25">
      <c r="A462" s="3"/>
      <c r="B462" s="167"/>
      <c r="C462" s="167"/>
      <c r="D462" s="167"/>
      <c r="E462" s="167"/>
      <c r="F462" s="167"/>
      <c r="G462" s="167"/>
      <c r="H462" s="5"/>
      <c r="I462" s="5"/>
      <c r="J462" s="3"/>
      <c r="K462" s="271"/>
      <c r="L462" s="3"/>
      <c r="M462" s="3"/>
      <c r="N462" s="3"/>
      <c r="O462" s="3"/>
      <c r="P462" s="3"/>
      <c r="Q462" s="3"/>
      <c r="R462" s="3"/>
      <c r="S462" s="3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118"/>
      <c r="AU462" s="118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</row>
    <row r="463" spans="1:256" s="5" customFormat="1" ht="17.399999999999999" x14ac:dyDescent="0.3">
      <c r="A463" s="167"/>
      <c r="B463" s="337" t="s">
        <v>121</v>
      </c>
      <c r="C463" s="337"/>
      <c r="D463" s="337"/>
      <c r="E463" s="337"/>
      <c r="F463" s="337"/>
      <c r="G463" s="337"/>
      <c r="K463" s="272"/>
      <c r="AT463" s="118"/>
      <c r="AU463" s="118"/>
    </row>
    <row r="464" spans="1:256" s="5" customFormat="1" ht="18" thickBot="1" x14ac:dyDescent="0.35">
      <c r="A464" s="337" t="s">
        <v>327</v>
      </c>
      <c r="B464" s="337"/>
      <c r="C464" s="337"/>
      <c r="D464" s="337"/>
      <c r="E464" s="337"/>
      <c r="F464" s="337"/>
      <c r="G464" s="337"/>
      <c r="K464" s="272"/>
      <c r="AT464" s="118"/>
      <c r="AU464" s="118"/>
    </row>
    <row r="465" spans="1:47" s="5" customFormat="1" x14ac:dyDescent="0.25">
      <c r="A465" s="167"/>
      <c r="B465" s="170" t="s">
        <v>0</v>
      </c>
      <c r="C465" s="358" t="str">
        <f>CUSTOMERNAME</f>
        <v>Brainard Holdings LLC - Car Wash Café</v>
      </c>
      <c r="D465" s="359"/>
      <c r="E465" s="360"/>
      <c r="F465" s="167"/>
      <c r="G465" s="167"/>
      <c r="K465" s="272"/>
      <c r="AT465" s="118"/>
      <c r="AU465" s="118"/>
    </row>
    <row r="466" spans="1:47" s="5" customFormat="1" ht="13.8" thickBot="1" x14ac:dyDescent="0.3">
      <c r="A466" s="167"/>
      <c r="B466" s="170" t="s">
        <v>1</v>
      </c>
      <c r="C466" s="385" t="str">
        <f>ADDRESS</f>
        <v>3050 N University Dr., Sunrise, FL 33322</v>
      </c>
      <c r="D466" s="386"/>
      <c r="E466" s="387"/>
      <c r="F466" s="167"/>
      <c r="G466" s="167"/>
      <c r="K466" s="272"/>
      <c r="AT466" s="118"/>
      <c r="AU466" s="118"/>
    </row>
    <row r="467" spans="1:47" s="5" customFormat="1" x14ac:dyDescent="0.25">
      <c r="A467" s="167"/>
      <c r="B467" s="167"/>
      <c r="C467" s="167"/>
      <c r="D467" s="167"/>
      <c r="E467" s="167"/>
      <c r="F467" s="167"/>
      <c r="G467" s="171" t="s">
        <v>230</v>
      </c>
      <c r="K467" s="272"/>
      <c r="AT467" s="118"/>
      <c r="AU467" s="118"/>
    </row>
    <row r="468" spans="1:47" s="5" customFormat="1" ht="19.8" x14ac:dyDescent="0.3">
      <c r="A468" s="167"/>
      <c r="B468" s="281"/>
      <c r="C468" s="281"/>
      <c r="D468" s="281"/>
      <c r="E468" s="281"/>
      <c r="F468" s="281"/>
      <c r="G468" s="281"/>
      <c r="K468" s="272"/>
      <c r="AT468" s="118"/>
      <c r="AU468" s="118"/>
    </row>
    <row r="469" spans="1:47" s="5" customFormat="1" ht="20.399999999999999" thickBot="1" x14ac:dyDescent="0.35">
      <c r="A469" s="332" t="s">
        <v>231</v>
      </c>
      <c r="B469" s="332"/>
      <c r="C469" s="332"/>
      <c r="D469" s="332"/>
      <c r="E469" s="332"/>
      <c r="F469" s="332"/>
      <c r="G469" s="332"/>
      <c r="K469" s="272"/>
      <c r="AT469" s="118"/>
      <c r="AU469" s="118"/>
    </row>
    <row r="470" spans="1:47" s="5" customFormat="1" ht="13.8" thickBot="1" x14ac:dyDescent="0.3">
      <c r="A470" s="167"/>
      <c r="B470" s="172"/>
      <c r="C470" s="173"/>
      <c r="D470" s="173"/>
      <c r="E470" s="174"/>
      <c r="F470" s="175" t="s">
        <v>185</v>
      </c>
      <c r="G470" s="229" t="s">
        <v>219</v>
      </c>
      <c r="K470" s="272"/>
      <c r="AT470" s="118"/>
      <c r="AU470" s="118"/>
    </row>
    <row r="471" spans="1:47" s="5" customFormat="1" ht="13.8" thickBot="1" x14ac:dyDescent="0.3">
      <c r="A471" s="167"/>
      <c r="B471" s="176" t="s">
        <v>218</v>
      </c>
      <c r="C471" s="177"/>
      <c r="D471" s="177"/>
      <c r="E471" s="177"/>
      <c r="F471" s="178">
        <f>F141</f>
        <v>72349.707793445123</v>
      </c>
      <c r="G471" s="230" t="s">
        <v>62</v>
      </c>
      <c r="K471" s="272"/>
      <c r="AT471" s="118"/>
      <c r="AU471" s="118"/>
    </row>
    <row r="472" spans="1:47" s="5" customFormat="1" ht="20.399999999999999" thickBot="1" x14ac:dyDescent="0.4">
      <c r="A472" s="167"/>
      <c r="B472" s="180" t="s">
        <v>62</v>
      </c>
      <c r="C472" s="181"/>
      <c r="D472" s="181"/>
      <c r="E472" s="181"/>
      <c r="F472" s="231"/>
      <c r="G472" s="232"/>
      <c r="I472" s="252" t="s">
        <v>206</v>
      </c>
      <c r="K472" s="272"/>
      <c r="AT472" s="118"/>
      <c r="AU472" s="118"/>
    </row>
    <row r="473" spans="1:47" s="5" customFormat="1" x14ac:dyDescent="0.25">
      <c r="A473" s="167"/>
      <c r="B473" s="373" t="s">
        <v>220</v>
      </c>
      <c r="C473" s="374"/>
      <c r="D473" s="15" t="s">
        <v>63</v>
      </c>
      <c r="E473" s="15" t="s">
        <v>65</v>
      </c>
      <c r="F473" s="233"/>
      <c r="G473" s="234"/>
      <c r="K473" s="272"/>
      <c r="AT473" s="118"/>
      <c r="AU473" s="118"/>
    </row>
    <row r="474" spans="1:47" s="5" customFormat="1" ht="13.8" thickBot="1" x14ac:dyDescent="0.3">
      <c r="B474" s="375" t="s">
        <v>221</v>
      </c>
      <c r="C474" s="376"/>
      <c r="D474" s="18" t="s">
        <v>64</v>
      </c>
      <c r="E474" s="18" t="s">
        <v>66</v>
      </c>
      <c r="F474" s="235"/>
      <c r="G474" s="236"/>
      <c r="K474" s="272"/>
      <c r="AT474" s="118"/>
      <c r="AU474" s="118"/>
    </row>
    <row r="475" spans="1:47" s="5" customFormat="1" ht="13.8" thickBot="1" x14ac:dyDescent="0.3">
      <c r="B475" s="63" t="s">
        <v>123</v>
      </c>
      <c r="C475" s="64"/>
      <c r="D475" s="1">
        <f>F50</f>
        <v>6</v>
      </c>
      <c r="E475" s="192">
        <f>$G$39</f>
        <v>0.5</v>
      </c>
      <c r="F475" s="237">
        <f>F471*D475*E475</f>
        <v>217049.12338033537</v>
      </c>
      <c r="G475" s="238">
        <f>F475/F480</f>
        <v>0.29411764705882354</v>
      </c>
      <c r="K475" s="272"/>
      <c r="AT475" s="118"/>
      <c r="AU475" s="118"/>
    </row>
    <row r="476" spans="1:47" s="5" customFormat="1" ht="13.8" thickBot="1" x14ac:dyDescent="0.3">
      <c r="B476" s="63" t="s">
        <v>68</v>
      </c>
      <c r="C476" s="64"/>
      <c r="D476" s="1">
        <f>F51</f>
        <v>10</v>
      </c>
      <c r="E476" s="192">
        <f>$G$40</f>
        <v>0.15</v>
      </c>
      <c r="F476" s="237">
        <f>F471*D476*E476</f>
        <v>108524.56169016767</v>
      </c>
      <c r="G476" s="238">
        <f>F476/F480</f>
        <v>0.14705882352941174</v>
      </c>
      <c r="K476" s="272"/>
      <c r="AT476" s="118"/>
      <c r="AU476" s="118"/>
    </row>
    <row r="477" spans="1:47" s="5" customFormat="1" ht="13.8" thickBot="1" x14ac:dyDescent="0.3">
      <c r="B477" s="63" t="s">
        <v>69</v>
      </c>
      <c r="C477" s="64"/>
      <c r="D477" s="1">
        <f>F52</f>
        <v>14</v>
      </c>
      <c r="E477" s="192">
        <f>$G$41</f>
        <v>0.15</v>
      </c>
      <c r="F477" s="237">
        <f>F471*D477*E477</f>
        <v>151934.38636623477</v>
      </c>
      <c r="G477" s="238">
        <f>F477/F480</f>
        <v>0.20588235294117649</v>
      </c>
      <c r="K477" s="272"/>
      <c r="AT477" s="118"/>
      <c r="AU477" s="118"/>
    </row>
    <row r="478" spans="1:47" s="5" customFormat="1" ht="13.8" thickBot="1" x14ac:dyDescent="0.3">
      <c r="B478" s="63" t="s">
        <v>70</v>
      </c>
      <c r="C478" s="64"/>
      <c r="D478" s="1">
        <f>F53</f>
        <v>18</v>
      </c>
      <c r="E478" s="192">
        <f>$G$42</f>
        <v>0.2</v>
      </c>
      <c r="F478" s="237">
        <f>F471*D478*E478</f>
        <v>260458.94805640244</v>
      </c>
      <c r="G478" s="238">
        <f>F478/F480</f>
        <v>0.3529411764705882</v>
      </c>
      <c r="K478" s="272"/>
      <c r="AT478" s="118"/>
      <c r="AU478" s="118"/>
    </row>
    <row r="479" spans="1:47" s="5" customFormat="1" ht="13.8" thickBot="1" x14ac:dyDescent="0.3">
      <c r="B479" s="63" t="s">
        <v>310</v>
      </c>
      <c r="C479" s="64"/>
      <c r="D479" s="1">
        <f>F54</f>
        <v>0</v>
      </c>
      <c r="E479" s="192">
        <f>$G$43</f>
        <v>0</v>
      </c>
      <c r="F479" s="237">
        <f>F471*D479*E479</f>
        <v>0</v>
      </c>
      <c r="G479" s="238">
        <f>F479/F480</f>
        <v>0</v>
      </c>
      <c r="K479" s="272"/>
      <c r="AT479" s="118"/>
      <c r="AU479" s="118"/>
    </row>
    <row r="480" spans="1:47" s="5" customFormat="1" ht="13.8" thickBot="1" x14ac:dyDescent="0.3">
      <c r="B480" s="239" t="s">
        <v>222</v>
      </c>
      <c r="C480" s="240"/>
      <c r="D480" s="240"/>
      <c r="E480" s="240"/>
      <c r="F480" s="237">
        <f>SUM(F475:F479)</f>
        <v>737967.01949314028</v>
      </c>
      <c r="G480" s="238">
        <f>SUM(G475:G479)</f>
        <v>1</v>
      </c>
      <c r="K480" s="272"/>
      <c r="AT480" s="118"/>
      <c r="AU480" s="118"/>
    </row>
    <row r="481" spans="2:47" s="5" customFormat="1" ht="13.8" thickBot="1" x14ac:dyDescent="0.3">
      <c r="B481" s="188" t="s">
        <v>127</v>
      </c>
      <c r="C481" s="189"/>
      <c r="D481" s="241">
        <f>D250</f>
        <v>0.03</v>
      </c>
      <c r="E481" s="192">
        <f>E250</f>
        <v>0.6</v>
      </c>
      <c r="F481" s="1">
        <f>F480*D481*E481*-1</f>
        <v>-13283.406350876523</v>
      </c>
      <c r="G481" s="241">
        <f>F481/F482</f>
        <v>-1.8329938900203666E-2</v>
      </c>
      <c r="K481" s="272"/>
      <c r="AT481" s="118"/>
      <c r="AU481" s="118"/>
    </row>
    <row r="482" spans="2:47" s="5" customFormat="1" ht="13.8" thickBot="1" x14ac:dyDescent="0.3">
      <c r="B482" s="188" t="s">
        <v>73</v>
      </c>
      <c r="C482" s="189"/>
      <c r="D482" s="189"/>
      <c r="E482" s="189"/>
      <c r="F482" s="190">
        <f>F480+F481</f>
        <v>724683.61314226373</v>
      </c>
      <c r="G482" s="242">
        <f>F482/F480</f>
        <v>0.98199999999999998</v>
      </c>
      <c r="K482" s="272"/>
      <c r="AT482" s="118"/>
      <c r="AU482" s="118"/>
    </row>
    <row r="483" spans="2:47" s="5" customFormat="1" ht="16.8" thickBot="1" x14ac:dyDescent="0.35">
      <c r="B483" s="394" t="s">
        <v>76</v>
      </c>
      <c r="C483" s="395"/>
      <c r="D483" s="395"/>
      <c r="E483" s="395"/>
      <c r="F483" s="395"/>
      <c r="G483" s="396"/>
      <c r="I483" s="196"/>
      <c r="K483" s="272"/>
      <c r="AT483" s="118"/>
      <c r="AU483" s="118"/>
    </row>
    <row r="484" spans="2:47" s="5" customFormat="1" ht="13.8" thickBot="1" x14ac:dyDescent="0.3">
      <c r="B484" s="188" t="s">
        <v>208</v>
      </c>
      <c r="C484" s="240"/>
      <c r="D484" s="240"/>
      <c r="E484" s="243"/>
      <c r="F484" s="279">
        <f>($F$437)*(1+G33)</f>
        <v>55639.910476800003</v>
      </c>
      <c r="G484" s="244">
        <f>F484/$F$482</f>
        <v>7.6778209783911935E-2</v>
      </c>
      <c r="K484" s="272"/>
      <c r="AT484" s="118"/>
      <c r="AU484" s="118"/>
    </row>
    <row r="485" spans="2:47" s="5" customFormat="1" ht="13.8" thickBot="1" x14ac:dyDescent="0.3">
      <c r="B485" s="188" t="s">
        <v>241</v>
      </c>
      <c r="C485" s="240"/>
      <c r="D485" s="240"/>
      <c r="E485" s="243"/>
      <c r="F485" s="237">
        <f>K486-2500</f>
        <v>49094.875611820564</v>
      </c>
      <c r="G485" s="244">
        <f t="shared" ref="G485:G498" si="14">F485/$F$482</f>
        <v>6.7746634146924847E-2</v>
      </c>
      <c r="I485" s="196"/>
      <c r="K485" s="272"/>
      <c r="AT485" s="118"/>
      <c r="AU485" s="118"/>
    </row>
    <row r="486" spans="2:47" s="5" customFormat="1" ht="13.8" thickBot="1" x14ac:dyDescent="0.3">
      <c r="B486" s="188" t="s">
        <v>79</v>
      </c>
      <c r="C486" s="240"/>
      <c r="D486" s="240"/>
      <c r="E486" s="243"/>
      <c r="F486" s="237">
        <f>$E$258*F482-5000</f>
        <v>38481.016788535824</v>
      </c>
      <c r="G486" s="244">
        <f t="shared" si="14"/>
        <v>5.3100437336619559E-2</v>
      </c>
      <c r="I486" s="196"/>
      <c r="K486" s="253">
        <f>(F471*$G$39*F$60)+(F471*$G$40*F$61)+(F471*$G$41*F$62)+(F471*$G$42*F$63)+(F471*$G$43*F$64)</f>
        <v>51594.875611820564</v>
      </c>
      <c r="AT486" s="118"/>
      <c r="AU486" s="118"/>
    </row>
    <row r="487" spans="2:47" s="5" customFormat="1" ht="13.8" thickBot="1" x14ac:dyDescent="0.3">
      <c r="B487" s="188" t="s">
        <v>74</v>
      </c>
      <c r="C487" s="240"/>
      <c r="D487" s="240"/>
      <c r="E487" s="243"/>
      <c r="F487" s="237">
        <f>$E$259*F482</f>
        <v>21740.508394267912</v>
      </c>
      <c r="G487" s="244">
        <f t="shared" si="14"/>
        <v>0.03</v>
      </c>
      <c r="I487" s="196"/>
      <c r="K487" s="272"/>
      <c r="AT487" s="118"/>
      <c r="AU487" s="118"/>
    </row>
    <row r="488" spans="2:47" s="5" customFormat="1" ht="13.8" thickBot="1" x14ac:dyDescent="0.3">
      <c r="B488" s="188" t="s">
        <v>80</v>
      </c>
      <c r="C488" s="240"/>
      <c r="D488" s="240"/>
      <c r="E488" s="243"/>
      <c r="F488" s="237">
        <f>$E$260*F482</f>
        <v>7246.8361314226377</v>
      </c>
      <c r="G488" s="244">
        <f t="shared" si="14"/>
        <v>0.01</v>
      </c>
      <c r="I488" s="196"/>
      <c r="K488" s="272"/>
      <c r="AT488" s="118"/>
      <c r="AU488" s="118"/>
    </row>
    <row r="489" spans="2:47" s="5" customFormat="1" ht="13.8" thickBot="1" x14ac:dyDescent="0.3">
      <c r="B489" s="188" t="s">
        <v>86</v>
      </c>
      <c r="C489" s="240"/>
      <c r="D489" s="240"/>
      <c r="E489" s="243"/>
      <c r="F489" s="237">
        <f>$E$261*F482</f>
        <v>7246.8361314226377</v>
      </c>
      <c r="G489" s="244">
        <f t="shared" si="14"/>
        <v>0.01</v>
      </c>
      <c r="I489" s="196"/>
      <c r="K489" s="272"/>
      <c r="AT489" s="118"/>
      <c r="AU489" s="118"/>
    </row>
    <row r="490" spans="2:47" s="5" customFormat="1" ht="13.8" thickBot="1" x14ac:dyDescent="0.3">
      <c r="B490" s="188" t="s">
        <v>81</v>
      </c>
      <c r="C490" s="240"/>
      <c r="D490" s="240"/>
      <c r="E490" s="243"/>
      <c r="F490" s="237">
        <f>$E$262*F482</f>
        <v>7246.8361314226377</v>
      </c>
      <c r="G490" s="244">
        <f t="shared" si="14"/>
        <v>0.01</v>
      </c>
      <c r="I490" s="196"/>
      <c r="K490" s="272"/>
      <c r="AT490" s="118"/>
      <c r="AU490" s="118"/>
    </row>
    <row r="491" spans="2:47" s="5" customFormat="1" ht="13.5" customHeight="1" thickBot="1" x14ac:dyDescent="0.3">
      <c r="B491" s="188" t="s">
        <v>207</v>
      </c>
      <c r="C491" s="240"/>
      <c r="D491" s="240"/>
      <c r="E491" s="243"/>
      <c r="F491" s="279">
        <f>($F$444)*(1+G33)</f>
        <v>84482.658187199995</v>
      </c>
      <c r="G491" s="244">
        <f t="shared" si="14"/>
        <v>0.11657867882630744</v>
      </c>
      <c r="I491" s="196"/>
      <c r="K491" s="272"/>
      <c r="AT491" s="118"/>
      <c r="AU491" s="118"/>
    </row>
    <row r="492" spans="2:47" s="5" customFormat="1" ht="13.8" hidden="1" thickBot="1" x14ac:dyDescent="0.3">
      <c r="B492" s="188" t="s">
        <v>132</v>
      </c>
      <c r="C492" s="240"/>
      <c r="D492" s="240"/>
      <c r="E492" s="243"/>
      <c r="F492" s="237">
        <f>$E$264*F482</f>
        <v>0</v>
      </c>
      <c r="G492" s="244">
        <f t="shared" si="14"/>
        <v>0</v>
      </c>
      <c r="I492" s="196"/>
      <c r="K492" s="272"/>
      <c r="AT492" s="118"/>
      <c r="AU492" s="118"/>
    </row>
    <row r="493" spans="2:47" s="5" customFormat="1" ht="13.8" thickBot="1" x14ac:dyDescent="0.3">
      <c r="B493" s="188" t="s">
        <v>82</v>
      </c>
      <c r="C493" s="240"/>
      <c r="D493" s="240"/>
      <c r="E493" s="243"/>
      <c r="F493" s="237">
        <f>$E$265*F482</f>
        <v>7246.8361314226377</v>
      </c>
      <c r="G493" s="244">
        <f t="shared" si="14"/>
        <v>0.01</v>
      </c>
      <c r="I493" s="196"/>
      <c r="K493" s="272"/>
      <c r="AT493" s="118"/>
      <c r="AU493" s="118"/>
    </row>
    <row r="494" spans="2:47" s="5" customFormat="1" ht="13.8" thickBot="1" x14ac:dyDescent="0.3">
      <c r="B494" s="188" t="s">
        <v>83</v>
      </c>
      <c r="C494" s="240"/>
      <c r="D494" s="240"/>
      <c r="E494" s="243"/>
      <c r="F494" s="237">
        <f>$E$266*F482</f>
        <v>10870.254197133956</v>
      </c>
      <c r="G494" s="244">
        <f t="shared" si="14"/>
        <v>1.4999999999999999E-2</v>
      </c>
      <c r="I494" s="196"/>
      <c r="K494" s="272"/>
      <c r="AT494" s="118"/>
      <c r="AU494" s="118"/>
    </row>
    <row r="495" spans="2:47" s="5" customFormat="1" ht="13.8" thickBot="1" x14ac:dyDescent="0.3">
      <c r="B495" s="188" t="s">
        <v>75</v>
      </c>
      <c r="C495" s="240"/>
      <c r="D495" s="240"/>
      <c r="E495" s="243"/>
      <c r="F495" s="237">
        <f>$F$267*12</f>
        <v>24000</v>
      </c>
      <c r="G495" s="244">
        <f t="shared" si="14"/>
        <v>3.3117900784226127E-2</v>
      </c>
      <c r="I495" s="196"/>
      <c r="K495" s="272"/>
      <c r="AT495" s="118"/>
      <c r="AU495" s="118"/>
    </row>
    <row r="496" spans="2:47" s="5" customFormat="1" ht="13.8" thickBot="1" x14ac:dyDescent="0.3">
      <c r="B496" s="188" t="s">
        <v>84</v>
      </c>
      <c r="C496" s="240"/>
      <c r="D496" s="240"/>
      <c r="E496" s="243"/>
      <c r="F496" s="237">
        <f>$F$268*12</f>
        <v>36000</v>
      </c>
      <c r="G496" s="244">
        <f t="shared" si="14"/>
        <v>4.9676851176339194E-2</v>
      </c>
      <c r="I496" s="196"/>
      <c r="K496" s="272"/>
      <c r="AT496" s="118"/>
      <c r="AU496" s="118"/>
    </row>
    <row r="497" spans="1:256" s="5" customFormat="1" ht="13.8" thickBot="1" x14ac:dyDescent="0.3">
      <c r="B497" s="188" t="s">
        <v>85</v>
      </c>
      <c r="C497" s="240"/>
      <c r="D497" s="240"/>
      <c r="E497" s="243"/>
      <c r="F497" s="237">
        <f>$E$269*F482</f>
        <v>7246.8361314226377</v>
      </c>
      <c r="G497" s="244">
        <f t="shared" si="14"/>
        <v>0.01</v>
      </c>
      <c r="I497" s="196"/>
      <c r="K497" s="272"/>
      <c r="AT497" s="118"/>
      <c r="AU497" s="118"/>
    </row>
    <row r="498" spans="1:256" s="5" customFormat="1" ht="13.8" thickBot="1" x14ac:dyDescent="0.3">
      <c r="B498" s="188" t="s">
        <v>87</v>
      </c>
      <c r="C498" s="240"/>
      <c r="D498" s="240"/>
      <c r="E498" s="243"/>
      <c r="F498" s="237">
        <f>SUM(F484:F497)</f>
        <v>356543.40431287151</v>
      </c>
      <c r="G498" s="244">
        <f t="shared" si="14"/>
        <v>0.49199871205432921</v>
      </c>
      <c r="I498" s="196"/>
      <c r="K498" s="272"/>
      <c r="AT498" s="118"/>
      <c r="AU498" s="118"/>
    </row>
    <row r="499" spans="1:256" s="5" customFormat="1" ht="13.8" thickBot="1" x14ac:dyDescent="0.3">
      <c r="B499" s="188"/>
      <c r="C499" s="240"/>
      <c r="D499" s="240"/>
      <c r="E499" s="243"/>
      <c r="F499" s="245"/>
      <c r="G499" s="244"/>
      <c r="I499" s="196"/>
      <c r="K499" s="272"/>
      <c r="AT499" s="118"/>
      <c r="AU499" s="118"/>
    </row>
    <row r="500" spans="1:256" s="5" customFormat="1" ht="13.8" thickBot="1" x14ac:dyDescent="0.3">
      <c r="B500" s="176" t="s">
        <v>232</v>
      </c>
      <c r="C500" s="240"/>
      <c r="D500" s="240"/>
      <c r="E500" s="243"/>
      <c r="F500" s="237">
        <f>F482-F498</f>
        <v>368140.20882939221</v>
      </c>
      <c r="G500" s="244">
        <f>F500/F482</f>
        <v>0.50800128794567079</v>
      </c>
      <c r="K500" s="272"/>
      <c r="AT500" s="118"/>
      <c r="AU500" s="118"/>
    </row>
    <row r="501" spans="1:256" s="5" customFormat="1" ht="16.8" thickBot="1" x14ac:dyDescent="0.35">
      <c r="B501" s="394" t="s">
        <v>223</v>
      </c>
      <c r="C501" s="395"/>
      <c r="D501" s="395"/>
      <c r="E501" s="395"/>
      <c r="F501" s="395"/>
      <c r="G501" s="396"/>
      <c r="K501" s="272"/>
      <c r="AT501" s="118"/>
      <c r="AU501" s="118"/>
    </row>
    <row r="502" spans="1:256" s="5" customFormat="1" ht="13.8" thickBot="1" x14ac:dyDescent="0.3">
      <c r="B502" s="188" t="s">
        <v>224</v>
      </c>
      <c r="C502" s="246"/>
      <c r="D502" s="224"/>
      <c r="E502" s="225"/>
      <c r="F502" s="247">
        <f>$G$300*12</f>
        <v>0</v>
      </c>
      <c r="G502" s="249">
        <f>F502/F482</f>
        <v>0</v>
      </c>
      <c r="K502" s="272"/>
      <c r="AT502" s="118"/>
      <c r="AU502" s="118"/>
    </row>
    <row r="503" spans="1:256" s="5" customFormat="1" ht="13.8" thickBot="1" x14ac:dyDescent="0.3">
      <c r="B503" s="188" t="s">
        <v>111</v>
      </c>
      <c r="C503" s="246"/>
      <c r="D503" s="224"/>
      <c r="E503" s="225"/>
      <c r="F503" s="247">
        <f>$G$308*12</f>
        <v>0</v>
      </c>
      <c r="G503" s="242">
        <f>F503/F482</f>
        <v>0</v>
      </c>
      <c r="K503" s="272"/>
      <c r="AT503" s="118"/>
      <c r="AU503" s="118"/>
    </row>
    <row r="504" spans="1:256" s="5" customFormat="1" ht="13.8" thickBot="1" x14ac:dyDescent="0.3">
      <c r="B504" s="188" t="s">
        <v>225</v>
      </c>
      <c r="C504" s="240"/>
      <c r="D504" s="240"/>
      <c r="E504" s="243"/>
      <c r="F504" s="237">
        <f>SUM(F502:F503)</f>
        <v>0</v>
      </c>
      <c r="G504" s="244">
        <f>SUM(G502:G503)</f>
        <v>0</v>
      </c>
      <c r="K504" s="272"/>
      <c r="AT504" s="118"/>
      <c r="AU504" s="118"/>
    </row>
    <row r="505" spans="1:256" s="5" customFormat="1" x14ac:dyDescent="0.25">
      <c r="B505" s="172"/>
      <c r="C505" s="173"/>
      <c r="D505" s="173"/>
      <c r="E505" s="173"/>
      <c r="F505" s="199"/>
      <c r="G505" s="199"/>
      <c r="K505" s="272"/>
      <c r="AT505" s="118"/>
      <c r="AU505" s="118"/>
    </row>
    <row r="506" spans="1:256" s="5" customFormat="1" ht="13.8" thickBot="1" x14ac:dyDescent="0.3">
      <c r="B506" s="176" t="s">
        <v>226</v>
      </c>
      <c r="C506" s="177"/>
      <c r="D506" s="177"/>
      <c r="E506" s="177"/>
      <c r="F506" s="200">
        <f>F500-F504</f>
        <v>368140.20882939221</v>
      </c>
      <c r="G506" s="248">
        <f>F506/F482</f>
        <v>0.50800128794567079</v>
      </c>
      <c r="K506" s="272"/>
      <c r="AT506" s="118"/>
      <c r="AU506" s="118"/>
    </row>
    <row r="507" spans="1:256" s="5" customFormat="1" x14ac:dyDescent="0.25">
      <c r="J507" s="196"/>
      <c r="K507" s="272"/>
      <c r="AT507" s="118"/>
      <c r="AU507" s="118"/>
    </row>
    <row r="508" spans="1:256" s="5" customFormat="1" x14ac:dyDescent="0.25">
      <c r="B508" s="3"/>
      <c r="C508" s="3"/>
      <c r="D508" s="12"/>
      <c r="E508" s="3"/>
      <c r="F508" s="3"/>
      <c r="G508" s="3"/>
      <c r="K508" s="272"/>
      <c r="T508" s="3"/>
      <c r="U508" s="3"/>
      <c r="AT508" s="118"/>
      <c r="AU508" s="118"/>
    </row>
    <row r="509" spans="1:256" x14ac:dyDescent="0.25">
      <c r="A509" s="3"/>
      <c r="B509" s="167"/>
      <c r="C509" s="167"/>
      <c r="D509" s="167"/>
      <c r="E509" s="167"/>
      <c r="F509" s="167"/>
      <c r="G509" s="167"/>
      <c r="H509" s="5"/>
      <c r="I509" s="5"/>
      <c r="J509" s="3"/>
      <c r="K509" s="271"/>
      <c r="L509" s="3"/>
      <c r="M509" s="3"/>
      <c r="N509" s="3"/>
      <c r="O509" s="3"/>
      <c r="P509" s="3"/>
      <c r="Q509" s="3"/>
      <c r="R509" s="3"/>
      <c r="S509" s="3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118"/>
      <c r="AU509" s="118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</row>
    <row r="510" spans="1:256" s="5" customFormat="1" ht="17.399999999999999" x14ac:dyDescent="0.3">
      <c r="A510" s="167"/>
      <c r="B510" s="337" t="s">
        <v>121</v>
      </c>
      <c r="C510" s="337"/>
      <c r="D510" s="337"/>
      <c r="E510" s="337"/>
      <c r="F510" s="337"/>
      <c r="G510" s="337"/>
      <c r="K510" s="272"/>
      <c r="AT510" s="118"/>
      <c r="AU510" s="118"/>
    </row>
    <row r="511" spans="1:256" s="5" customFormat="1" ht="18" thickBot="1" x14ac:dyDescent="0.35">
      <c r="A511" s="337"/>
      <c r="B511" s="337"/>
      <c r="C511" s="337"/>
      <c r="D511" s="337"/>
      <c r="E511" s="337"/>
      <c r="F511" s="337"/>
      <c r="G511" s="337"/>
      <c r="K511" s="272"/>
      <c r="AT511" s="118"/>
      <c r="AU511" s="118"/>
    </row>
    <row r="512" spans="1:256" s="5" customFormat="1" x14ac:dyDescent="0.25">
      <c r="A512" s="167"/>
      <c r="B512" s="170" t="s">
        <v>0</v>
      </c>
      <c r="C512" s="358" t="str">
        <f>CUSTOMERNAME</f>
        <v>Brainard Holdings LLC - Car Wash Café</v>
      </c>
      <c r="D512" s="359"/>
      <c r="E512" s="360"/>
      <c r="F512" s="167"/>
      <c r="G512" s="167"/>
      <c r="K512" s="272"/>
      <c r="AT512" s="118"/>
      <c r="AU512" s="118"/>
    </row>
    <row r="513" spans="1:47" s="5" customFormat="1" ht="13.8" thickBot="1" x14ac:dyDescent="0.3">
      <c r="A513" s="167"/>
      <c r="B513" s="170" t="s">
        <v>1</v>
      </c>
      <c r="C513" s="385" t="str">
        <f>ADDRESS</f>
        <v>3050 N University Dr., Sunrise, FL 33322</v>
      </c>
      <c r="D513" s="386"/>
      <c r="E513" s="387"/>
      <c r="F513" s="167"/>
      <c r="G513" s="167"/>
      <c r="K513" s="272"/>
      <c r="AT513" s="118"/>
      <c r="AU513" s="118"/>
    </row>
    <row r="514" spans="1:47" s="5" customFormat="1" x14ac:dyDescent="0.25">
      <c r="A514" s="167"/>
      <c r="B514" s="167"/>
      <c r="C514" s="167"/>
      <c r="D514" s="167"/>
      <c r="E514" s="167"/>
      <c r="F514" s="167"/>
      <c r="G514" s="171" t="s">
        <v>233</v>
      </c>
      <c r="K514" s="272"/>
      <c r="AT514" s="118"/>
      <c r="AU514" s="118"/>
    </row>
    <row r="515" spans="1:47" s="5" customFormat="1" ht="19.8" x14ac:dyDescent="0.3">
      <c r="A515" s="167"/>
      <c r="B515" s="281"/>
      <c r="C515" s="281"/>
      <c r="D515" s="281"/>
      <c r="E515" s="281"/>
      <c r="F515" s="281"/>
      <c r="G515" s="281"/>
      <c r="K515" s="272"/>
      <c r="AT515" s="118"/>
      <c r="AU515" s="118"/>
    </row>
    <row r="516" spans="1:47" s="5" customFormat="1" ht="20.399999999999999" thickBot="1" x14ac:dyDescent="0.35">
      <c r="A516" s="332" t="s">
        <v>231</v>
      </c>
      <c r="B516" s="332"/>
      <c r="C516" s="332"/>
      <c r="D516" s="332"/>
      <c r="E516" s="332"/>
      <c r="F516" s="332"/>
      <c r="G516" s="332"/>
      <c r="K516" s="272"/>
      <c r="AT516" s="118"/>
      <c r="AU516" s="118"/>
    </row>
    <row r="517" spans="1:47" s="5" customFormat="1" ht="13.8" thickBot="1" x14ac:dyDescent="0.3">
      <c r="A517" s="167"/>
      <c r="B517" s="172"/>
      <c r="C517" s="173"/>
      <c r="D517" s="173"/>
      <c r="E517" s="174"/>
      <c r="F517" s="175" t="s">
        <v>186</v>
      </c>
      <c r="G517" s="229" t="s">
        <v>219</v>
      </c>
      <c r="K517" s="272"/>
      <c r="AT517" s="118"/>
      <c r="AU517" s="118"/>
    </row>
    <row r="518" spans="1:47" s="5" customFormat="1" ht="13.8" thickBot="1" x14ac:dyDescent="0.3">
      <c r="A518" s="167"/>
      <c r="B518" s="176" t="s">
        <v>218</v>
      </c>
      <c r="C518" s="177"/>
      <c r="D518" s="177"/>
      <c r="E518" s="177"/>
      <c r="F518" s="178">
        <f>G141</f>
        <v>78061.526829769733</v>
      </c>
      <c r="G518" s="230" t="s">
        <v>62</v>
      </c>
      <c r="K518" s="272"/>
      <c r="AT518" s="118"/>
      <c r="AU518" s="118"/>
    </row>
    <row r="519" spans="1:47" s="5" customFormat="1" ht="20.399999999999999" thickBot="1" x14ac:dyDescent="0.4">
      <c r="A519" s="167"/>
      <c r="B519" s="180" t="s">
        <v>62</v>
      </c>
      <c r="C519" s="181"/>
      <c r="D519" s="181"/>
      <c r="E519" s="181"/>
      <c r="F519" s="231"/>
      <c r="G519" s="232"/>
      <c r="I519" s="252" t="s">
        <v>206</v>
      </c>
      <c r="K519" s="272"/>
      <c r="AT519" s="118"/>
      <c r="AU519" s="118"/>
    </row>
    <row r="520" spans="1:47" s="5" customFormat="1" x14ac:dyDescent="0.25">
      <c r="A520" s="167"/>
      <c r="B520" s="373" t="s">
        <v>220</v>
      </c>
      <c r="C520" s="374"/>
      <c r="D520" s="15" t="s">
        <v>63</v>
      </c>
      <c r="E520" s="15" t="s">
        <v>65</v>
      </c>
      <c r="F520" s="233"/>
      <c r="G520" s="234"/>
      <c r="K520" s="272"/>
      <c r="AT520" s="118"/>
      <c r="AU520" s="118"/>
    </row>
    <row r="521" spans="1:47" s="5" customFormat="1" ht="13.8" thickBot="1" x14ac:dyDescent="0.3">
      <c r="B521" s="375" t="s">
        <v>221</v>
      </c>
      <c r="C521" s="376"/>
      <c r="D521" s="18" t="s">
        <v>64</v>
      </c>
      <c r="E521" s="18" t="s">
        <v>66</v>
      </c>
      <c r="F521" s="235"/>
      <c r="G521" s="236"/>
      <c r="K521" s="272"/>
      <c r="AT521" s="118"/>
      <c r="AU521" s="118"/>
    </row>
    <row r="522" spans="1:47" s="5" customFormat="1" ht="13.8" thickBot="1" x14ac:dyDescent="0.3">
      <c r="B522" s="63" t="s">
        <v>123</v>
      </c>
      <c r="C522" s="64"/>
      <c r="D522" s="1">
        <f>G50</f>
        <v>6</v>
      </c>
      <c r="E522" s="192">
        <f>$G$39</f>
        <v>0.5</v>
      </c>
      <c r="F522" s="237">
        <f>F518*D522*E522</f>
        <v>234184.58048930921</v>
      </c>
      <c r="G522" s="238">
        <f>F522/F527</f>
        <v>0.29411764705882354</v>
      </c>
      <c r="K522" s="272"/>
      <c r="AT522" s="118"/>
      <c r="AU522" s="118"/>
    </row>
    <row r="523" spans="1:47" s="5" customFormat="1" ht="13.8" thickBot="1" x14ac:dyDescent="0.3">
      <c r="B523" s="63" t="s">
        <v>68</v>
      </c>
      <c r="C523" s="64"/>
      <c r="D523" s="1">
        <f>G51</f>
        <v>10</v>
      </c>
      <c r="E523" s="192">
        <f>$G$40</f>
        <v>0.15</v>
      </c>
      <c r="F523" s="237">
        <f>F518*D523*E523</f>
        <v>117092.29024465459</v>
      </c>
      <c r="G523" s="238">
        <f>F523/F527</f>
        <v>0.14705882352941177</v>
      </c>
      <c r="K523" s="272"/>
      <c r="AT523" s="118"/>
      <c r="AU523" s="118"/>
    </row>
    <row r="524" spans="1:47" s="5" customFormat="1" ht="13.8" thickBot="1" x14ac:dyDescent="0.3">
      <c r="B524" s="63" t="s">
        <v>69</v>
      </c>
      <c r="C524" s="64"/>
      <c r="D524" s="1">
        <f>G52</f>
        <v>14</v>
      </c>
      <c r="E524" s="192">
        <f>$G$41</f>
        <v>0.15</v>
      </c>
      <c r="F524" s="237">
        <f>F518*D524*E524</f>
        <v>163929.20634251644</v>
      </c>
      <c r="G524" s="238">
        <f>F524/F527</f>
        <v>0.20588235294117649</v>
      </c>
      <c r="K524" s="272"/>
      <c r="AT524" s="118"/>
      <c r="AU524" s="118"/>
    </row>
    <row r="525" spans="1:47" s="5" customFormat="1" ht="13.8" thickBot="1" x14ac:dyDescent="0.3">
      <c r="B525" s="63" t="s">
        <v>70</v>
      </c>
      <c r="C525" s="64"/>
      <c r="D525" s="1">
        <f>G53</f>
        <v>18</v>
      </c>
      <c r="E525" s="192">
        <f>$G$42</f>
        <v>0.2</v>
      </c>
      <c r="F525" s="237">
        <f>F518*D525*E525</f>
        <v>281021.49658717104</v>
      </c>
      <c r="G525" s="238">
        <f>F525/F527</f>
        <v>0.35294117647058826</v>
      </c>
      <c r="K525" s="272"/>
      <c r="AT525" s="118"/>
      <c r="AU525" s="118"/>
    </row>
    <row r="526" spans="1:47" s="5" customFormat="1" ht="13.8" thickBot="1" x14ac:dyDescent="0.3">
      <c r="B526" s="63" t="s">
        <v>310</v>
      </c>
      <c r="C526" s="64"/>
      <c r="D526" s="1">
        <f>G54</f>
        <v>0</v>
      </c>
      <c r="E526" s="192">
        <f>$G$43</f>
        <v>0</v>
      </c>
      <c r="F526" s="237">
        <f>F518*D526*E526</f>
        <v>0</v>
      </c>
      <c r="G526" s="238">
        <f>F526/F527</f>
        <v>0</v>
      </c>
      <c r="K526" s="272"/>
      <c r="AT526" s="118"/>
      <c r="AU526" s="118"/>
    </row>
    <row r="527" spans="1:47" s="5" customFormat="1" ht="13.8" thickBot="1" x14ac:dyDescent="0.3">
      <c r="B527" s="239" t="s">
        <v>222</v>
      </c>
      <c r="C527" s="240"/>
      <c r="D527" s="240"/>
      <c r="E527" s="240"/>
      <c r="F527" s="237">
        <f>SUM(F522:F526)</f>
        <v>796227.57366365124</v>
      </c>
      <c r="G527" s="238">
        <f>SUM(G522:G526)</f>
        <v>1</v>
      </c>
      <c r="K527" s="272"/>
      <c r="AT527" s="118"/>
      <c r="AU527" s="118"/>
    </row>
    <row r="528" spans="1:47" s="5" customFormat="1" ht="13.8" thickBot="1" x14ac:dyDescent="0.3">
      <c r="B528" s="188" t="s">
        <v>127</v>
      </c>
      <c r="C528" s="189"/>
      <c r="D528" s="241">
        <f>D250</f>
        <v>0.03</v>
      </c>
      <c r="E528" s="192">
        <f>E250</f>
        <v>0.6</v>
      </c>
      <c r="F528" s="1">
        <f>F527*D528*E528*-1</f>
        <v>-14332.096325945722</v>
      </c>
      <c r="G528" s="241">
        <f>F528/F529</f>
        <v>-1.8329938900203666E-2</v>
      </c>
      <c r="K528" s="272"/>
      <c r="AT528" s="118"/>
      <c r="AU528" s="118"/>
    </row>
    <row r="529" spans="2:47" s="5" customFormat="1" ht="13.8" thickBot="1" x14ac:dyDescent="0.3">
      <c r="B529" s="188" t="s">
        <v>73</v>
      </c>
      <c r="C529" s="189"/>
      <c r="D529" s="189"/>
      <c r="E529" s="189"/>
      <c r="F529" s="190">
        <f>F527+F528</f>
        <v>781895.47733770555</v>
      </c>
      <c r="G529" s="242">
        <f>F529/F527</f>
        <v>0.98199999999999998</v>
      </c>
      <c r="K529" s="272"/>
      <c r="AT529" s="118"/>
      <c r="AU529" s="118"/>
    </row>
    <row r="530" spans="2:47" s="5" customFormat="1" ht="16.8" thickBot="1" x14ac:dyDescent="0.35">
      <c r="B530" s="394" t="s">
        <v>76</v>
      </c>
      <c r="C530" s="395"/>
      <c r="D530" s="395"/>
      <c r="E530" s="395"/>
      <c r="F530" s="395"/>
      <c r="G530" s="396"/>
      <c r="I530" s="196"/>
      <c r="K530" s="272"/>
      <c r="AT530" s="118"/>
      <c r="AU530" s="118"/>
    </row>
    <row r="531" spans="2:47" s="5" customFormat="1" ht="13.8" thickBot="1" x14ac:dyDescent="0.3">
      <c r="B531" s="188" t="s">
        <v>208</v>
      </c>
      <c r="C531" s="240"/>
      <c r="D531" s="240"/>
      <c r="E531" s="243"/>
      <c r="F531" s="279">
        <f>($F$484)*(1+G33)</f>
        <v>57309.107791104005</v>
      </c>
      <c r="G531" s="244">
        <f>F531/$F529</f>
        <v>7.3295100754690562E-2</v>
      </c>
      <c r="K531" s="272"/>
      <c r="AT531" s="118"/>
      <c r="AU531" s="118"/>
    </row>
    <row r="532" spans="2:47" s="5" customFormat="1" ht="13.8" thickBot="1" x14ac:dyDescent="0.3">
      <c r="B532" s="188" t="s">
        <v>241</v>
      </c>
      <c r="C532" s="240"/>
      <c r="D532" s="240"/>
      <c r="E532" s="243"/>
      <c r="F532" s="237">
        <f>K533-3500</f>
        <v>53281.518370693055</v>
      </c>
      <c r="G532" s="244">
        <f t="shared" ref="G532:G545" si="15">F532/$F$529</f>
        <v>6.8144042157799095E-2</v>
      </c>
      <c r="I532" s="196"/>
      <c r="K532" s="272"/>
      <c r="AT532" s="118"/>
      <c r="AU532" s="118"/>
    </row>
    <row r="533" spans="2:47" s="5" customFormat="1" ht="13.8" thickBot="1" x14ac:dyDescent="0.3">
      <c r="B533" s="188" t="s">
        <v>79</v>
      </c>
      <c r="C533" s="240"/>
      <c r="D533" s="240"/>
      <c r="E533" s="243"/>
      <c r="F533" s="237">
        <f>$E$258*F529-6000</f>
        <v>40913.728640262329</v>
      </c>
      <c r="G533" s="244">
        <f t="shared" si="15"/>
        <v>5.2326340062191501E-2</v>
      </c>
      <c r="I533" s="196"/>
      <c r="K533" s="253">
        <f>(F518*$G$39*G$60)+(F518*$G$40*G$61)+(F518*$G$41*G$62)+(F518*$G$42*G$63)+(F518*$G$43*G$64)</f>
        <v>56781.518370693055</v>
      </c>
      <c r="AT533" s="118"/>
      <c r="AU533" s="118"/>
    </row>
    <row r="534" spans="2:47" s="5" customFormat="1" ht="13.8" thickBot="1" x14ac:dyDescent="0.3">
      <c r="B534" s="188" t="s">
        <v>74</v>
      </c>
      <c r="C534" s="240"/>
      <c r="D534" s="240"/>
      <c r="E534" s="243"/>
      <c r="F534" s="237">
        <f>$E$259*F529</f>
        <v>23456.864320131164</v>
      </c>
      <c r="G534" s="244">
        <f t="shared" si="15"/>
        <v>2.9999999999999995E-2</v>
      </c>
      <c r="I534" s="196"/>
      <c r="K534" s="272"/>
      <c r="AT534" s="118"/>
      <c r="AU534" s="118"/>
    </row>
    <row r="535" spans="2:47" s="5" customFormat="1" ht="13.8" thickBot="1" x14ac:dyDescent="0.3">
      <c r="B535" s="188" t="s">
        <v>80</v>
      </c>
      <c r="C535" s="240"/>
      <c r="D535" s="240"/>
      <c r="E535" s="243"/>
      <c r="F535" s="237">
        <f>$E$260*F529</f>
        <v>7818.954773377056</v>
      </c>
      <c r="G535" s="244">
        <f t="shared" si="15"/>
        <v>0.01</v>
      </c>
      <c r="I535" s="196"/>
      <c r="K535" s="272"/>
      <c r="AT535" s="118"/>
      <c r="AU535" s="118"/>
    </row>
    <row r="536" spans="2:47" s="5" customFormat="1" ht="13.8" thickBot="1" x14ac:dyDescent="0.3">
      <c r="B536" s="188" t="s">
        <v>86</v>
      </c>
      <c r="C536" s="240"/>
      <c r="D536" s="240"/>
      <c r="E536" s="243"/>
      <c r="F536" s="237">
        <f>$E$261*F529</f>
        <v>7818.954773377056</v>
      </c>
      <c r="G536" s="244">
        <f t="shared" si="15"/>
        <v>0.01</v>
      </c>
      <c r="I536" s="196"/>
      <c r="K536" s="272"/>
      <c r="AT536" s="118"/>
      <c r="AU536" s="118"/>
    </row>
    <row r="537" spans="2:47" s="5" customFormat="1" ht="13.8" thickBot="1" x14ac:dyDescent="0.3">
      <c r="B537" s="188" t="s">
        <v>81</v>
      </c>
      <c r="C537" s="240"/>
      <c r="D537" s="240"/>
      <c r="E537" s="243"/>
      <c r="F537" s="237">
        <f>$E$262*F529</f>
        <v>7818.954773377056</v>
      </c>
      <c r="G537" s="244">
        <f t="shared" si="15"/>
        <v>0.01</v>
      </c>
      <c r="I537" s="196"/>
      <c r="K537" s="272"/>
      <c r="AT537" s="118"/>
      <c r="AU537" s="118"/>
    </row>
    <row r="538" spans="2:47" s="5" customFormat="1" ht="13.8" thickBot="1" x14ac:dyDescent="0.3">
      <c r="B538" s="188" t="s">
        <v>207</v>
      </c>
      <c r="C538" s="240"/>
      <c r="D538" s="240"/>
      <c r="E538" s="243"/>
      <c r="F538" s="279">
        <f>($F$491)*(1+G33)</f>
        <v>87017.137932815996</v>
      </c>
      <c r="G538" s="244">
        <f t="shared" si="15"/>
        <v>0.11128998754296765</v>
      </c>
      <c r="I538" s="196"/>
      <c r="K538" s="272"/>
      <c r="AT538" s="118"/>
      <c r="AU538" s="118"/>
    </row>
    <row r="539" spans="2:47" s="5" customFormat="1" ht="13.8" hidden="1" thickBot="1" x14ac:dyDescent="0.3">
      <c r="B539" s="188" t="s">
        <v>132</v>
      </c>
      <c r="C539" s="240"/>
      <c r="D539" s="240"/>
      <c r="E539" s="243"/>
      <c r="F539" s="237">
        <f>$E$264*F529</f>
        <v>0</v>
      </c>
      <c r="G539" s="244">
        <f t="shared" si="15"/>
        <v>0</v>
      </c>
      <c r="I539" s="196"/>
      <c r="K539" s="272"/>
      <c r="AT539" s="118"/>
      <c r="AU539" s="118"/>
    </row>
    <row r="540" spans="2:47" s="5" customFormat="1" ht="13.8" thickBot="1" x14ac:dyDescent="0.3">
      <c r="B540" s="188" t="s">
        <v>82</v>
      </c>
      <c r="C540" s="240"/>
      <c r="D540" s="240"/>
      <c r="E540" s="243"/>
      <c r="F540" s="237">
        <f>$E$265*F529</f>
        <v>7818.954773377056</v>
      </c>
      <c r="G540" s="244">
        <f t="shared" si="15"/>
        <v>0.01</v>
      </c>
      <c r="I540" s="196"/>
      <c r="K540" s="272"/>
      <c r="AT540" s="118"/>
      <c r="AU540" s="118"/>
    </row>
    <row r="541" spans="2:47" s="5" customFormat="1" ht="13.8" thickBot="1" x14ac:dyDescent="0.3">
      <c r="B541" s="188" t="s">
        <v>83</v>
      </c>
      <c r="C541" s="240"/>
      <c r="D541" s="240"/>
      <c r="E541" s="243"/>
      <c r="F541" s="237">
        <f>$E$266*F529</f>
        <v>11728.432160065582</v>
      </c>
      <c r="G541" s="244">
        <f t="shared" si="15"/>
        <v>1.4999999999999998E-2</v>
      </c>
      <c r="I541" s="196"/>
      <c r="K541" s="272"/>
      <c r="AT541" s="118"/>
      <c r="AU541" s="118"/>
    </row>
    <row r="542" spans="2:47" s="5" customFormat="1" ht="13.8" thickBot="1" x14ac:dyDescent="0.3">
      <c r="B542" s="188" t="s">
        <v>75</v>
      </c>
      <c r="C542" s="240"/>
      <c r="D542" s="240"/>
      <c r="E542" s="243"/>
      <c r="F542" s="237">
        <f>$F$267*12</f>
        <v>24000</v>
      </c>
      <c r="G542" s="244">
        <f t="shared" si="15"/>
        <v>3.0694639751233974E-2</v>
      </c>
      <c r="I542" s="196"/>
      <c r="K542" s="272"/>
      <c r="AT542" s="118"/>
      <c r="AU542" s="118"/>
    </row>
    <row r="543" spans="2:47" s="5" customFormat="1" ht="13.8" thickBot="1" x14ac:dyDescent="0.3">
      <c r="B543" s="188" t="s">
        <v>84</v>
      </c>
      <c r="C543" s="240"/>
      <c r="D543" s="240"/>
      <c r="E543" s="243"/>
      <c r="F543" s="237">
        <f>$F$268*12</f>
        <v>36000</v>
      </c>
      <c r="G543" s="244">
        <f t="shared" si="15"/>
        <v>4.604195962685096E-2</v>
      </c>
      <c r="I543" s="196"/>
      <c r="K543" s="272"/>
      <c r="AT543" s="118"/>
      <c r="AU543" s="118"/>
    </row>
    <row r="544" spans="2:47" s="5" customFormat="1" ht="13.8" thickBot="1" x14ac:dyDescent="0.3">
      <c r="B544" s="188" t="s">
        <v>85</v>
      </c>
      <c r="C544" s="240"/>
      <c r="D544" s="240"/>
      <c r="E544" s="243"/>
      <c r="F544" s="237">
        <f>$E$269*F529</f>
        <v>7818.954773377056</v>
      </c>
      <c r="G544" s="244">
        <f t="shared" si="15"/>
        <v>0.01</v>
      </c>
      <c r="I544" s="196"/>
      <c r="K544" s="272"/>
      <c r="AT544" s="118"/>
      <c r="AU544" s="118"/>
    </row>
    <row r="545" spans="1:256" s="5" customFormat="1" ht="13.8" thickBot="1" x14ac:dyDescent="0.3">
      <c r="B545" s="188" t="s">
        <v>87</v>
      </c>
      <c r="C545" s="240"/>
      <c r="D545" s="240"/>
      <c r="E545" s="243"/>
      <c r="F545" s="237">
        <f>SUM(F531:F544)</f>
        <v>372801.56308195734</v>
      </c>
      <c r="G545" s="244">
        <f t="shared" si="15"/>
        <v>0.47679206989573364</v>
      </c>
      <c r="I545" s="196"/>
      <c r="K545" s="272"/>
      <c r="AT545" s="118"/>
      <c r="AU545" s="118"/>
    </row>
    <row r="546" spans="1:256" s="5" customFormat="1" ht="13.8" thickBot="1" x14ac:dyDescent="0.3">
      <c r="B546" s="188"/>
      <c r="C546" s="240"/>
      <c r="D546" s="240"/>
      <c r="E546" s="243"/>
      <c r="F546" s="245"/>
      <c r="G546" s="244"/>
      <c r="I546" s="196"/>
      <c r="K546" s="272"/>
      <c r="AT546" s="118"/>
      <c r="AU546" s="118"/>
    </row>
    <row r="547" spans="1:256" s="5" customFormat="1" ht="13.8" thickBot="1" x14ac:dyDescent="0.3">
      <c r="B547" s="176" t="s">
        <v>232</v>
      </c>
      <c r="C547" s="240"/>
      <c r="D547" s="240"/>
      <c r="E547" s="243"/>
      <c r="F547" s="237">
        <f>F529-F545</f>
        <v>409093.91425574821</v>
      </c>
      <c r="G547" s="244">
        <f>F547/F529</f>
        <v>0.52320793010426636</v>
      </c>
      <c r="K547" s="272"/>
      <c r="AT547" s="118"/>
      <c r="AU547" s="118"/>
    </row>
    <row r="548" spans="1:256" s="5" customFormat="1" ht="16.8" thickBot="1" x14ac:dyDescent="0.35">
      <c r="B548" s="394" t="s">
        <v>223</v>
      </c>
      <c r="C548" s="395"/>
      <c r="D548" s="395"/>
      <c r="E548" s="395"/>
      <c r="F548" s="395"/>
      <c r="G548" s="396"/>
      <c r="K548" s="272"/>
      <c r="AT548" s="118"/>
      <c r="AU548" s="118"/>
    </row>
    <row r="549" spans="1:256" s="5" customFormat="1" ht="13.8" thickBot="1" x14ac:dyDescent="0.3">
      <c r="B549" s="188" t="s">
        <v>224</v>
      </c>
      <c r="C549" s="246"/>
      <c r="D549" s="224"/>
      <c r="E549" s="225"/>
      <c r="F549" s="247">
        <f>$G$300*12</f>
        <v>0</v>
      </c>
      <c r="G549" s="249">
        <f>F549/F529</f>
        <v>0</v>
      </c>
      <c r="K549" s="272"/>
      <c r="AT549" s="118"/>
      <c r="AU549" s="118"/>
    </row>
    <row r="550" spans="1:256" s="5" customFormat="1" ht="13.8" thickBot="1" x14ac:dyDescent="0.3">
      <c r="B550" s="188" t="s">
        <v>111</v>
      </c>
      <c r="C550" s="246"/>
      <c r="D550" s="224"/>
      <c r="E550" s="225"/>
      <c r="F550" s="247">
        <f>$G$308*12</f>
        <v>0</v>
      </c>
      <c r="G550" s="242">
        <f>F550/F529</f>
        <v>0</v>
      </c>
      <c r="K550" s="272"/>
      <c r="AT550" s="118"/>
      <c r="AU550" s="118"/>
    </row>
    <row r="551" spans="1:256" s="5" customFormat="1" ht="13.8" thickBot="1" x14ac:dyDescent="0.3">
      <c r="B551" s="188" t="s">
        <v>225</v>
      </c>
      <c r="C551" s="240"/>
      <c r="D551" s="240"/>
      <c r="E551" s="243"/>
      <c r="F551" s="237">
        <f>SUM(F549:F550)</f>
        <v>0</v>
      </c>
      <c r="G551" s="244">
        <f>SUM(G549:G550)</f>
        <v>0</v>
      </c>
      <c r="I551" s="299"/>
      <c r="J551" s="299"/>
      <c r="K551" s="299"/>
      <c r="AT551" s="118"/>
      <c r="AU551" s="118"/>
    </row>
    <row r="552" spans="1:256" s="5" customFormat="1" x14ac:dyDescent="0.25">
      <c r="B552" s="172"/>
      <c r="C552" s="173"/>
      <c r="D552" s="173"/>
      <c r="E552" s="173"/>
      <c r="F552" s="199"/>
      <c r="G552" s="199"/>
      <c r="I552" s="299"/>
      <c r="J552" s="299"/>
      <c r="K552" s="299"/>
      <c r="AT552" s="118"/>
      <c r="AU552" s="118"/>
    </row>
    <row r="553" spans="1:256" s="5" customFormat="1" ht="13.8" thickBot="1" x14ac:dyDescent="0.3">
      <c r="B553" s="176" t="s">
        <v>226</v>
      </c>
      <c r="C553" s="177"/>
      <c r="D553" s="177"/>
      <c r="E553" s="177"/>
      <c r="F553" s="200">
        <f>F547-F551</f>
        <v>409093.91425574821</v>
      </c>
      <c r="G553" s="248">
        <f>F553/F529</f>
        <v>0.52320793010426636</v>
      </c>
      <c r="I553" s="299"/>
      <c r="J553" s="299"/>
      <c r="K553" s="299"/>
      <c r="AT553" s="118"/>
      <c r="AU553" s="118"/>
    </row>
    <row r="554" spans="1:256" s="5" customFormat="1" x14ac:dyDescent="0.25">
      <c r="I554" s="299"/>
      <c r="J554" s="304"/>
      <c r="K554" s="299"/>
      <c r="AT554" s="118"/>
      <c r="AU554" s="118"/>
    </row>
    <row r="555" spans="1:256" s="5" customFormat="1" x14ac:dyDescent="0.25">
      <c r="A555" s="299"/>
      <c r="B555" s="300"/>
      <c r="C555" s="300"/>
      <c r="D555" s="301"/>
      <c r="E555" s="300"/>
      <c r="F555" s="300"/>
      <c r="G555" s="300"/>
      <c r="H555" s="299"/>
      <c r="I555" s="299"/>
      <c r="J555" s="299"/>
      <c r="K555" s="299"/>
      <c r="T555" s="3"/>
      <c r="U555" s="3"/>
      <c r="AT555" s="118"/>
      <c r="AU555" s="118"/>
    </row>
    <row r="556" spans="1:256" x14ac:dyDescent="0.25">
      <c r="A556" s="300"/>
      <c r="B556" s="302"/>
      <c r="C556" s="302"/>
      <c r="D556" s="302"/>
      <c r="E556" s="302"/>
      <c r="F556" s="302"/>
      <c r="G556" s="302"/>
      <c r="H556" s="299"/>
      <c r="I556" s="299"/>
      <c r="J556" s="300"/>
      <c r="K556" s="300"/>
      <c r="L556" s="3"/>
      <c r="M556" s="3"/>
      <c r="N556" s="3"/>
      <c r="O556" s="3"/>
      <c r="P556" s="3"/>
      <c r="Q556" s="3"/>
      <c r="R556" s="3"/>
      <c r="S556" s="3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118"/>
      <c r="AU556" s="118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</row>
    <row r="557" spans="1:256" s="5" customFormat="1" ht="17.399999999999999" x14ac:dyDescent="0.3">
      <c r="A557" s="302"/>
      <c r="B557" s="303"/>
      <c r="C557" s="303"/>
      <c r="D557" s="303"/>
      <c r="E557" s="303"/>
      <c r="F557" s="303"/>
      <c r="G557" s="303"/>
      <c r="H557" s="299"/>
      <c r="I557" s="328"/>
      <c r="J557" s="329">
        <f>F290*-1</f>
        <v>0</v>
      </c>
      <c r="K557" s="299"/>
      <c r="AT557" s="118"/>
      <c r="AU557" s="118"/>
    </row>
    <row r="558" spans="1:256" s="5" customFormat="1" ht="18" customHeight="1" x14ac:dyDescent="0.25">
      <c r="A558" s="402" t="s">
        <v>121</v>
      </c>
      <c r="B558" s="402"/>
      <c r="C558" s="402"/>
      <c r="D558" s="402"/>
      <c r="E558" s="402"/>
      <c r="F558" s="402"/>
      <c r="G558" s="402"/>
      <c r="H558" s="299"/>
      <c r="I558" s="328"/>
      <c r="J558" s="329">
        <f>F553</f>
        <v>409093.91425574821</v>
      </c>
      <c r="K558" s="299"/>
      <c r="AT558" s="118"/>
      <c r="AU558" s="118"/>
    </row>
    <row r="559" spans="1:256" s="5" customFormat="1" x14ac:dyDescent="0.25">
      <c r="A559" s="402"/>
      <c r="B559" s="402"/>
      <c r="C559" s="402"/>
      <c r="D559" s="402"/>
      <c r="E559" s="402"/>
      <c r="F559" s="402"/>
      <c r="G559" s="402"/>
      <c r="H559" s="299"/>
      <c r="I559" s="328"/>
      <c r="J559" s="329">
        <f>F506</f>
        <v>368140.20882939221</v>
      </c>
      <c r="K559" s="299"/>
      <c r="AT559" s="118"/>
      <c r="AU559" s="118"/>
    </row>
    <row r="560" spans="1:256" s="5" customFormat="1" x14ac:dyDescent="0.25">
      <c r="A560" s="302"/>
      <c r="B560" s="305" t="s">
        <v>1</v>
      </c>
      <c r="C560" s="401" t="str">
        <f>ADDRESS</f>
        <v>3050 N University Dr., Sunrise, FL 33322</v>
      </c>
      <c r="D560" s="401"/>
      <c r="E560" s="401"/>
      <c r="F560" s="302"/>
      <c r="G560" s="302"/>
      <c r="H560" s="299"/>
      <c r="I560" s="328"/>
      <c r="J560" s="329">
        <f>F459</f>
        <v>351405.7796838606</v>
      </c>
      <c r="K560" s="299"/>
      <c r="AT560" s="118"/>
      <c r="AU560" s="118"/>
    </row>
    <row r="561" spans="1:47" s="5" customFormat="1" x14ac:dyDescent="0.25">
      <c r="A561" s="302"/>
      <c r="B561" s="302"/>
      <c r="C561" s="302"/>
      <c r="D561" s="302"/>
      <c r="E561" s="302"/>
      <c r="F561" s="302"/>
      <c r="G561" s="306" t="s">
        <v>234</v>
      </c>
      <c r="H561" s="299"/>
      <c r="I561" s="328"/>
      <c r="J561" s="329">
        <f>F412</f>
        <v>313217.06272187462</v>
      </c>
      <c r="K561" s="299"/>
      <c r="AT561" s="118"/>
      <c r="AU561" s="118"/>
    </row>
    <row r="562" spans="1:47" s="5" customFormat="1" ht="19.8" x14ac:dyDescent="0.3">
      <c r="A562" s="321" t="s">
        <v>317</v>
      </c>
      <c r="B562" s="310"/>
      <c r="C562" s="320"/>
      <c r="D562" s="320"/>
      <c r="E562" s="320" t="s">
        <v>319</v>
      </c>
      <c r="F562" s="320"/>
      <c r="G562" s="323" t="e">
        <f>MIRR(J557:J562, E563, E564)</f>
        <v>#DIV/0!</v>
      </c>
      <c r="H562" s="299"/>
      <c r="I562" s="328"/>
      <c r="J562" s="329">
        <f>F365</f>
        <v>192457.39387604967</v>
      </c>
      <c r="K562" s="299"/>
      <c r="AT562" s="118"/>
      <c r="AU562" s="118"/>
    </row>
    <row r="563" spans="1:47" s="5" customFormat="1" ht="19.8" x14ac:dyDescent="0.3">
      <c r="A563" s="304">
        <f>1*F290</f>
        <v>0</v>
      </c>
      <c r="B563" s="299" t="s">
        <v>235</v>
      </c>
      <c r="C563" s="310"/>
      <c r="D563" s="310"/>
      <c r="E563" s="309">
        <f>D164</f>
        <v>0.05</v>
      </c>
      <c r="F563" s="299" t="s">
        <v>238</v>
      </c>
      <c r="G563" s="310"/>
      <c r="H563" s="299"/>
      <c r="I563" s="299"/>
      <c r="J563" s="304"/>
      <c r="K563" s="299"/>
      <c r="AT563" s="118"/>
      <c r="AU563" s="118"/>
    </row>
    <row r="564" spans="1:47" s="5" customFormat="1" ht="19.8" x14ac:dyDescent="0.3">
      <c r="A564" s="299"/>
      <c r="B564" s="299"/>
      <c r="C564" s="307"/>
      <c r="D564" s="307"/>
      <c r="E564" s="324">
        <v>0.12</v>
      </c>
      <c r="F564" s="299" t="s">
        <v>239</v>
      </c>
      <c r="G564" s="308"/>
      <c r="H564" s="299"/>
      <c r="I564" s="299"/>
      <c r="J564" s="304"/>
      <c r="K564" s="299"/>
      <c r="AT564" s="118"/>
      <c r="AU564" s="118"/>
    </row>
    <row r="565" spans="1:47" s="5" customFormat="1" ht="19.8" x14ac:dyDescent="0.3">
      <c r="A565" s="304">
        <f>F365</f>
        <v>192457.39387604967</v>
      </c>
      <c r="B565" s="299" t="s">
        <v>236</v>
      </c>
      <c r="C565" s="310"/>
      <c r="D565" s="319" t="e">
        <f>A565/A563*1</f>
        <v>#DIV/0!</v>
      </c>
      <c r="E565" s="304">
        <f>C290*1</f>
        <v>0</v>
      </c>
      <c r="F565" s="299" t="s">
        <v>320</v>
      </c>
      <c r="G565" s="308"/>
      <c r="H565" s="299"/>
      <c r="I565" s="299"/>
      <c r="J565" s="309"/>
      <c r="K565" s="299"/>
      <c r="AT565" s="118"/>
      <c r="AU565" s="118"/>
    </row>
    <row r="566" spans="1:47" s="5" customFormat="1" ht="19.8" x14ac:dyDescent="0.3">
      <c r="A566" s="304">
        <f>F459</f>
        <v>351405.7796838606</v>
      </c>
      <c r="B566" s="299" t="s">
        <v>237</v>
      </c>
      <c r="C566" s="307"/>
      <c r="D566" s="319" t="e">
        <f>A566/A563*1</f>
        <v>#DIV/0!</v>
      </c>
      <c r="E566" s="322"/>
      <c r="F566" s="299"/>
      <c r="G566" s="308"/>
      <c r="H566" s="299"/>
      <c r="I566" s="299"/>
      <c r="J566" s="309"/>
      <c r="K566" s="299"/>
      <c r="AT566" s="118"/>
      <c r="AU566" s="118"/>
    </row>
    <row r="567" spans="1:47" s="5" customFormat="1" ht="19.8" x14ac:dyDescent="0.3">
      <c r="A567" s="304">
        <f>F553</f>
        <v>409093.91425574821</v>
      </c>
      <c r="B567" s="299" t="s">
        <v>318</v>
      </c>
      <c r="C567" s="310"/>
      <c r="D567" s="319" t="e">
        <f>A567/A563*1</f>
        <v>#DIV/0!</v>
      </c>
      <c r="E567" s="304"/>
      <c r="F567" s="299"/>
      <c r="G567" s="299"/>
      <c r="H567" s="299"/>
      <c r="I567" s="299"/>
      <c r="J567" s="299"/>
      <c r="K567" s="299"/>
      <c r="AT567" s="118"/>
      <c r="AU567" s="118"/>
    </row>
    <row r="568" spans="1:47" s="5" customFormat="1" x14ac:dyDescent="0.25">
      <c r="A568" s="304"/>
      <c r="B568" s="299"/>
      <c r="C568" s="299"/>
      <c r="D568" s="299"/>
      <c r="E568" s="304"/>
      <c r="F568" s="299"/>
      <c r="G568" s="299"/>
      <c r="H568" s="299"/>
      <c r="I568" s="299"/>
      <c r="J568" s="304"/>
      <c r="K568" s="299"/>
      <c r="AT568" s="118"/>
      <c r="AU568" s="118"/>
    </row>
    <row r="569" spans="1:47" s="5" customFormat="1" x14ac:dyDescent="0.25">
      <c r="A569" s="304"/>
      <c r="B569" s="299"/>
      <c r="C569" s="299"/>
      <c r="D569" s="299"/>
      <c r="E569" s="304"/>
      <c r="F569" s="299"/>
      <c r="G569" s="299"/>
      <c r="H569" s="299"/>
      <c r="I569" s="299"/>
      <c r="J569" s="304"/>
      <c r="K569" s="299"/>
      <c r="AT569" s="118"/>
      <c r="AU569" s="118"/>
    </row>
    <row r="570" spans="1:47" s="5" customFormat="1" x14ac:dyDescent="0.25">
      <c r="A570" s="299"/>
      <c r="B570" s="299"/>
      <c r="C570" s="299"/>
      <c r="D570" s="299"/>
      <c r="E570" s="299"/>
      <c r="F570" s="299"/>
      <c r="G570" s="299"/>
      <c r="H570" s="299"/>
      <c r="I570" s="299"/>
      <c r="J570" s="304"/>
      <c r="K570" s="299"/>
      <c r="AT570" s="118"/>
      <c r="AU570" s="118"/>
    </row>
    <row r="571" spans="1:47" s="5" customFormat="1" x14ac:dyDescent="0.25">
      <c r="A571" s="299"/>
      <c r="B571" s="299"/>
      <c r="C571" s="299"/>
      <c r="D571" s="299"/>
      <c r="E571" s="299"/>
      <c r="F571" s="299"/>
      <c r="G571" s="299"/>
      <c r="H571" s="299"/>
      <c r="I571" s="299"/>
      <c r="J571" s="304"/>
      <c r="K571" s="299"/>
      <c r="AT571" s="118"/>
      <c r="AU571" s="118"/>
    </row>
  </sheetData>
  <sheetProtection password="FB8D" sheet="1" objects="1" scenarios="1" selectLockedCells="1"/>
  <mergeCells count="111">
    <mergeCell ref="Q16:Q17"/>
    <mergeCell ref="R16:R17"/>
    <mergeCell ref="S16:S17"/>
    <mergeCell ref="K16:K17"/>
    <mergeCell ref="L16:L17"/>
    <mergeCell ref="M16:M17"/>
    <mergeCell ref="N16:N17"/>
    <mergeCell ref="O16:O17"/>
    <mergeCell ref="P16:P17"/>
    <mergeCell ref="B474:C474"/>
    <mergeCell ref="C465:E465"/>
    <mergeCell ref="C466:E466"/>
    <mergeCell ref="C560:E560"/>
    <mergeCell ref="B454:G454"/>
    <mergeCell ref="B436:G436"/>
    <mergeCell ref="B548:G548"/>
    <mergeCell ref="B530:G530"/>
    <mergeCell ref="B501:G501"/>
    <mergeCell ref="B483:G483"/>
    <mergeCell ref="B510:G510"/>
    <mergeCell ref="A464:G464"/>
    <mergeCell ref="A469:G469"/>
    <mergeCell ref="A516:G516"/>
    <mergeCell ref="A558:G559"/>
    <mergeCell ref="C513:E513"/>
    <mergeCell ref="B473:C473"/>
    <mergeCell ref="B520:C520"/>
    <mergeCell ref="B521:C521"/>
    <mergeCell ref="C512:E512"/>
    <mergeCell ref="A511:G511"/>
    <mergeCell ref="B389:G389"/>
    <mergeCell ref="B426:C426"/>
    <mergeCell ref="B427:C427"/>
    <mergeCell ref="B407:G407"/>
    <mergeCell ref="C419:E419"/>
    <mergeCell ref="A421:G422"/>
    <mergeCell ref="A417:G417"/>
    <mergeCell ref="B342:G342"/>
    <mergeCell ref="B360:G360"/>
    <mergeCell ref="C371:E371"/>
    <mergeCell ref="C372:E372"/>
    <mergeCell ref="B379:C379"/>
    <mergeCell ref="B380:C380"/>
    <mergeCell ref="B369:G369"/>
    <mergeCell ref="C325:E325"/>
    <mergeCell ref="C278:E278"/>
    <mergeCell ref="B243:C243"/>
    <mergeCell ref="B242:C242"/>
    <mergeCell ref="B254:G254"/>
    <mergeCell ref="B322:G322"/>
    <mergeCell ref="B146:G146"/>
    <mergeCell ref="B44:G44"/>
    <mergeCell ref="C75:E75"/>
    <mergeCell ref="B112:D112"/>
    <mergeCell ref="B3:G3"/>
    <mergeCell ref="C5:E5"/>
    <mergeCell ref="C6:E6"/>
    <mergeCell ref="B8:F8"/>
    <mergeCell ref="B13:G13"/>
    <mergeCell ref="B302:C302"/>
    <mergeCell ref="C234:E234"/>
    <mergeCell ref="C235:E235"/>
    <mergeCell ref="C279:E279"/>
    <mergeCell ref="F242:G242"/>
    <mergeCell ref="B26:G26"/>
    <mergeCell ref="B27:G27"/>
    <mergeCell ref="B28:G28"/>
    <mergeCell ref="B14:G14"/>
    <mergeCell ref="B15:G15"/>
    <mergeCell ref="C74:E74"/>
    <mergeCell ref="C324:E324"/>
    <mergeCell ref="B35:G35"/>
    <mergeCell ref="B36:G36"/>
    <mergeCell ref="C37:D37"/>
    <mergeCell ref="C38:D38"/>
    <mergeCell ref="B195:G195"/>
    <mergeCell ref="B131:G131"/>
    <mergeCell ref="C30:D30"/>
    <mergeCell ref="B34:G34"/>
    <mergeCell ref="B67:G67"/>
    <mergeCell ref="B55:G55"/>
    <mergeCell ref="B56:G56"/>
    <mergeCell ref="B57:G57"/>
    <mergeCell ref="B46:G46"/>
    <mergeCell ref="B47:G47"/>
    <mergeCell ref="B65:G65"/>
    <mergeCell ref="B77:F77"/>
    <mergeCell ref="T48:U48"/>
    <mergeCell ref="A328:G328"/>
    <mergeCell ref="A370:XFD370"/>
    <mergeCell ref="A375:G375"/>
    <mergeCell ref="B66:G66"/>
    <mergeCell ref="B463:G463"/>
    <mergeCell ref="R48:S48"/>
    <mergeCell ref="L48:M48"/>
    <mergeCell ref="N48:O48"/>
    <mergeCell ref="P48:Q48"/>
    <mergeCell ref="B124:G124"/>
    <mergeCell ref="B232:G232"/>
    <mergeCell ref="B276:G276"/>
    <mergeCell ref="B197:G197"/>
    <mergeCell ref="B201:G201"/>
    <mergeCell ref="B199:G199"/>
    <mergeCell ref="B125:G125"/>
    <mergeCell ref="B416:G416"/>
    <mergeCell ref="B166:C166"/>
    <mergeCell ref="C126:E126"/>
    <mergeCell ref="C127:E127"/>
    <mergeCell ref="B78:F78"/>
    <mergeCell ref="B332:C332"/>
    <mergeCell ref="B333:C333"/>
  </mergeCells>
  <phoneticPr fontId="2" type="noConversion"/>
  <pageMargins left="0.43" right="0.6" top="0.52" bottom="0.5" header="0.5" footer="0.5"/>
  <pageSetup scale="76" orientation="portrait" r:id="rId1"/>
  <headerFooter alignWithMargins="0">
    <oddFooter>&amp;L&amp;D</oddFooter>
  </headerFooter>
  <rowBreaks count="10" manualBreakCount="10">
    <brk id="68" max="6" man="1"/>
    <brk id="122" max="6" man="1"/>
    <brk id="174" max="6" man="1"/>
    <brk id="230" max="6" man="1"/>
    <brk id="274" max="6" man="1"/>
    <brk id="320" max="6" man="1"/>
    <brk id="367" max="6" man="1"/>
    <brk id="414" max="6" man="1"/>
    <brk id="461" max="6" man="1"/>
    <brk id="508" max="6" man="1"/>
  </rowBreaks>
  <drawing r:id="rId2"/>
  <legacyDrawing r:id="rId3"/>
  <oleObjects>
    <mc:AlternateContent xmlns:mc="http://schemas.openxmlformats.org/markup-compatibility/2006">
      <mc:Choice Requires="x14">
        <oleObject progId="Wordpad.Document.1" shapeId="1037" r:id="rId4">
          <objectPr defaultSize="0" autoPict="0" r:id="rId5">
            <anchor moveWithCells="1">
              <from>
                <xdr:col>1</xdr:col>
                <xdr:colOff>152400</xdr:colOff>
                <xdr:row>213</xdr:row>
                <xdr:rowOff>137160</xdr:rowOff>
              </from>
              <to>
                <xdr:col>6</xdr:col>
                <xdr:colOff>670560</xdr:colOff>
                <xdr:row>220</xdr:row>
                <xdr:rowOff>60960</xdr:rowOff>
              </to>
            </anchor>
          </objectPr>
        </oleObject>
      </mc:Choice>
      <mc:Fallback>
        <oleObject progId="Wordpad.Document.1" shapeId="1037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ADDRESS</vt:lpstr>
      <vt:lpstr>CUSTOMER</vt:lpstr>
      <vt:lpstr>CUSTOMERNAME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Sorenson</dc:creator>
  <cp:lastModifiedBy>Brad Sorenson</cp:lastModifiedBy>
  <cp:lastPrinted>2015-03-20T14:31:21Z</cp:lastPrinted>
  <dcterms:created xsi:type="dcterms:W3CDTF">2003-04-06T16:14:55Z</dcterms:created>
  <dcterms:modified xsi:type="dcterms:W3CDTF">2018-09-19T13:47:15Z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