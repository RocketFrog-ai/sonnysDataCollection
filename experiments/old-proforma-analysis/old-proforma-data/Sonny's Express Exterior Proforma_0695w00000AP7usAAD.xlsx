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olorado\Chris Anderson\1398 S Wadsworth Blvd., Lakewood\"/>
    </mc:Choice>
  </mc:AlternateContent>
  <xr:revisionPtr revIDLastSave="0" documentId="13_ncr:1_{25F274D3-D9C6-4B09-9ED1-CCE5C24A9D8E}" xr6:coauthVersionLast="45" xr6:coauthVersionMax="45" xr10:uidLastSave="{00000000-0000-0000-0000-000000000000}"/>
  <workbookProtection workbookPassword="FB8D" lockStructure="1"/>
  <bookViews>
    <workbookView xWindow="32175" yWindow="271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<sst xmlns="http://schemas.openxmlformats.org/spreadsheetml/2006/main" count="434" uniqueCount="201">
  <si>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</si>
  <si>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</si>
  <si>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</si>
  <si>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</si>
  <si>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</si>
  <si>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</si>
  <si>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</si>
  <si>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</si>
  <si>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</si>
  <si>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</si>
  <si>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</si>
  <si>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</si>
  <si>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</si>
  <si>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</si>
  <si>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</si>
  <si>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</si>
  <si>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</si>
  <si>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</si>
  <si>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</si>
  <si>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</si>
  <si>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</si>
  <si>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</si>
  <si>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</si>
  <si>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</si>
  <si>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</si>
  <si>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</si>
  <si>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</si>
  <si>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</si>
  <si>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</si>
  <si>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</si>
  <si>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</si>
  <si>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</si>
  <si>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</si>
  <si>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</si>
  <si>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</si>
  <si>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</si>
  <si>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</si>
  <si>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</si>
  <si>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</si>
  <si>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</si>
  <si>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</si>
  <si>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</si>
  <si>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</si>
  <si>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</si>
  <si>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</si>
  <si>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</si>
  <si>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</si>
  <si>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</si>
  <si>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</si>
  <si>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</si>
  <si>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</si>
  <si>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</si>
  <si>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</si>
  <si>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</si>
  <si>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</si>
  <si>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</si>
  <si>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</si>
  <si>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</si>
  <si>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</si>
  <si>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</si>
  <si>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</si>
  <si>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</si>
  <si>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</si>
  <si>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</si>
  <si>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</si>
  <si>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</si>
  <si>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</si>
  <si>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</si>
  <si>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</si>
  <si>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</si>
  <si>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</si>
  <si>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</si>
  <si>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</si>
  <si>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</si>
  <si>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</si>
  <si>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</si>
  <si>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</si>
  <si>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</si>
  <si>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</si>
  <si>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</si>
  <si>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</si>
  <si>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</si>
  <si>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</si>
  <si>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</si>
  <si>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</si>
  <si>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</si>
  <si>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</si>
  <si>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</si>
  <si>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</si>
  <si>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</si>
  <si>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</si>
  <si>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</si>
  <si>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</si>
  <si>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</si>
  <si>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</si>
  <si>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</si>
  <si>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</si>
  <si>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</si>
  <si>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</si>
  <si>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</si>
  <si>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</si>
  <si>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</si>
  <si>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</si>
  <si>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</si>
  <si>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</si>
  <si>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</si>
  <si>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</si>
  <si>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</si>
  <si>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</si>
  <si>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</si>
  <si>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</si>
  <si>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</si>
  <si>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</si>
  <si>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</si>
  <si>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</si>
  <si>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</si>
  <si>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</si>
  <si>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</si>
  <si>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</si>
  <si>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</si>
  <si>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</si>
  <si>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</si>
  <si>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</si>
  <si>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</si>
  <si>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</si>
  <si>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</si>
  <si>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</si>
  <si>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</si>
  <si>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</si>
  <si>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</si>
  <si>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</si>
  <si>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</si>
  <si>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</si>
  <si>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</si>
  <si>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</si>
  <si>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</si>
  <si>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</si>
  <si>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</si>
  <si>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</si>
  <si>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</si>
  <si>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</si>
  <si>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</si>
  <si>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</si>
  <si>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</si>
  <si>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</si>
  <si>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</si>
  <si>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</si>
  <si>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</si>
  <si>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</si>
  <si>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</si>
  <si>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</si>
  <si>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</si>
  <si>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</si>
  <si>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</si>
  <si>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</si>
  <si>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</si>
  <si>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</si>
  <si>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</si>
  <si>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</si>
  <si>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</si>
  <si>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</si>
  <si>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</si>
  <si>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</si>
  <si>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</si>
  <si>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</si>
  <si>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</si>
  <si>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</si>
  <si>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</si>
  <si>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</si>
  <si>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</si>
  <si>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</si>
  <si>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</si>
  <si>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</si>
  <si>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</si>
  <si>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</si>
  <si>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</si>
  <si>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</si>
  <si>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</si>
  <si>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</si>
  <si>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</si>
  <si>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</si>
  <si>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</si>
  <si>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</si>
  <si>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</si>
  <si>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</si>
  <si>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</si>
  <si>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</si>
  <si>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</si>
  <si>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</si>
  <si>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</si>
  <si>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</si>
  <si>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</si>
  <si>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</si>
  <si>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</si>
  <si>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</si>
  <si>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</si>
  <si>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Chris Anderson</t>
  </si>
  <si>
    <t>Express Car Wash</t>
  </si>
  <si>
    <t>1398 S Wadsworth Blvd.</t>
  </si>
  <si>
    <t>Lakewood, CO 80232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</si>
  <si>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b/>
        <sz val="10"/>
        <rFont val="Calibri"/>
        <family val="2"/>
        <scheme val="minor"/>
      </rPr>
      <t>This tunnel isn't long enough to support this projected volume.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</si>
</sst>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16" zoomScaleNormal="100" workbookViewId="0">
      <selection activeCell="D23" sqref="D23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196</v>
      </c>
      <c r="C2" s="100"/>
      <c r="D2" s="101"/>
      <c r="E2" s="34"/>
      <c r="F2" s="34"/>
    </row>
    <row r="3" spans="1:9" ht="15.75" x14ac:dyDescent="0.25">
      <c r="A3" s="35" t="s">
        <v>15</v>
      </c>
      <c r="B3" s="99" t="s">
        <v>197</v>
      </c>
      <c r="C3" s="100"/>
      <c r="D3" s="101"/>
      <c r="E3" s="34"/>
      <c r="F3" s="34"/>
    </row>
    <row r="4" spans="1:9" ht="15.75" x14ac:dyDescent="0.25">
      <c r="A4" s="35" t="s">
        <v>13</v>
      </c>
      <c r="B4" s="99"/>
      <c r="C4" s="100"/>
      <c r="D4" s="101"/>
      <c r="E4" s="34"/>
      <c r="F4" s="34"/>
    </row>
    <row r="5" spans="1:9" ht="15.75" x14ac:dyDescent="0.25">
      <c r="A5" s="35" t="s">
        <v>14</v>
      </c>
      <c r="B5" s="99" t="s">
        <v>198</v>
      </c>
      <c r="C5" s="100"/>
      <c r="D5" s="101"/>
      <c r="E5" s="34"/>
      <c r="F5" s="34"/>
    </row>
    <row r="6" spans="1:9" ht="15.75" x14ac:dyDescent="0.25">
      <c r="A6" s="35" t="s">
        <v>16</v>
      </c>
      <c r="B6" s="99" t="s">
        <v>199</v>
      </c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20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10</v>
      </c>
      <c r="C19" s="48">
        <v>0.309</v>
      </c>
      <c r="D19" s="45">
        <v>0.39</v>
      </c>
      <c r="E19" s="34"/>
      <c r="F19" s="34"/>
    </row>
    <row r="20" spans="1:8" ht="15.75" x14ac:dyDescent="0.25">
      <c r="A20" s="43" t="s">
        <v>28</v>
      </c>
      <c r="B20" s="47">
        <v>12</v>
      </c>
      <c r="C20" s="48">
        <v>0.60519999999999996</v>
      </c>
      <c r="D20" s="45">
        <v>0.31</v>
      </c>
      <c r="E20" s="34"/>
      <c r="F20" s="34"/>
    </row>
    <row r="21" spans="1:8" ht="15.75" x14ac:dyDescent="0.25">
      <c r="A21" s="43" t="s">
        <v>29</v>
      </c>
      <c r="B21" s="47">
        <v>14</v>
      </c>
      <c r="C21" s="48">
        <v>0.74399999999999999</v>
      </c>
      <c r="D21" s="45">
        <v>0.19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0.11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10</v>
      </c>
      <c r="C27" s="47">
        <v>10</v>
      </c>
      <c r="D27" s="47">
        <v>10</v>
      </c>
      <c r="E27" s="47">
        <v>10</v>
      </c>
      <c r="F27" s="34"/>
    </row>
    <row r="28" spans="1:8" ht="15.75" x14ac:dyDescent="0.25">
      <c r="A28" s="43" t="s">
        <v>28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/>
      <c r="D49" s="54"/>
      <c r="E49" s="54">
        <v>1</v>
      </c>
      <c r="F49" s="51">
        <f>IF(B49=1,0.15,IF(C49=1,0.1,IF(D49=1,0.05,IF(E49=1,0,0))))</f>
        <v>0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2.5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0.50600000000000001</v>
      </c>
      <c r="F58" s="61">
        <f>-0.3*(0.55-E58)</f>
        <v>-1.3200000000000012E-2</v>
      </c>
    </row>
    <row r="59" spans="1:8" ht="15.75" x14ac:dyDescent="0.25">
      <c r="A59" s="95" t="s">
        <v>3</v>
      </c>
      <c r="B59" s="96"/>
      <c r="C59" s="96"/>
      <c r="D59" s="97"/>
      <c r="E59" s="45">
        <v>0.73899999999999999</v>
      </c>
      <c r="F59" s="61">
        <f>-0.75*(0.5-E59)</f>
        <v>0.17924999999999999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4.1512499999999994E-2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8.5771617647058818E-3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1.1320788043478261E-2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1.3704111842105264E-2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48996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117669.05299058823</v>
      </c>
      <c r="C74" s="68">
        <f>F65*A70*280</f>
        <v>155308.53267391305</v>
      </c>
      <c r="D74" s="68">
        <f>($F$54*(1+$F$61))/85*($A$70*(1+B$70))*280</f>
        <v>168098.64712941178</v>
      </c>
      <c r="E74" s="68">
        <f>($F$54*(1+$F$61))/82*($A$70*(1+C$70))*280</f>
        <v>174248.59763414634</v>
      </c>
      <c r="F74" s="68">
        <f>F66*(A70*(1+D70)*280)</f>
        <v>188005.06586842105</v>
      </c>
    </row>
    <row r="75" spans="1:6" ht="15.75" x14ac:dyDescent="0.25">
      <c r="A75" s="35" t="s">
        <v>106</v>
      </c>
      <c r="B75" s="68">
        <f>B74/12</f>
        <v>9805.754415882353</v>
      </c>
      <c r="C75" s="68">
        <f>C74/12</f>
        <v>12942.377722826088</v>
      </c>
      <c r="D75" s="68">
        <f t="shared" ref="D75:F75" si="0">D74/12</f>
        <v>14008.220594117649</v>
      </c>
      <c r="E75" s="68">
        <f t="shared" si="0"/>
        <v>14520.716469512196</v>
      </c>
      <c r="F75" s="68">
        <f t="shared" si="0"/>
        <v>15667.088822368421</v>
      </c>
    </row>
    <row r="76" spans="1:6" ht="15.75" x14ac:dyDescent="0.25">
      <c r="A76" s="35" t="s">
        <v>107</v>
      </c>
      <c r="B76" s="68">
        <f>B75/4.5/7*3</f>
        <v>933.88137294117644</v>
      </c>
      <c r="C76" s="68">
        <f t="shared" ref="C76:F76" si="1">C75/4.5/7*3</f>
        <v>1232.6074021739132</v>
      </c>
      <c r="D76" s="68">
        <f t="shared" si="1"/>
        <v>1334.1162470588238</v>
      </c>
      <c r="E76" s="68">
        <f t="shared" si="1"/>
        <v>1382.9253780487804</v>
      </c>
      <c r="F76" s="68">
        <f t="shared" si="1"/>
        <v>1492.1036973684211</v>
      </c>
    </row>
    <row r="77" spans="1:6" ht="15.75" x14ac:dyDescent="0.25">
      <c r="A77" s="35" t="s">
        <v>108</v>
      </c>
      <c r="B77" s="68">
        <f>IFERROR((B76/$B9*1.3),0)</f>
        <v>101.17048206862745</v>
      </c>
      <c r="C77" s="68">
        <f t="shared" ref="C77:F77" si="2">IFERROR((C76/$B9*1.3),0)</f>
        <v>133.53246856884059</v>
      </c>
      <c r="D77" s="68">
        <f t="shared" si="2"/>
        <v>144.52926009803926</v>
      </c>
      <c r="E77" s="68">
        <f t="shared" si="2"/>
        <v>149.81691595528457</v>
      </c>
      <c r="F77" s="68">
        <f t="shared" si="2"/>
        <v>161.64456721491229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7.0000000000000007E-2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7.0000000000000007E-2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7.0000000000000007E-2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7.0000000000000007E-2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7.0000000000000007E-2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B35" zoomScale="130" zoomScaleNormal="100" zoomScalePageLayoutView="130" workbookViewId="0">
      <selection activeCell="M37" sqref="M37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Chris Anderson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Express Car Wash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>
        <f>'Input Form'!B4</f>
        <v>0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1398 S Wadsworth Blvd.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 t="str">
        <f>'Input Form'!B6</f>
        <v>Lakewood, CO 80232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200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Chris Anderson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 t="str">
        <f>CompanyName</f>
        <v>Express Car Wash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>
        <f>AddressLine1</f>
        <v>0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1398 S Wadsworth Blvd.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 t="str">
        <f>AddressLine3</f>
        <v>Lakewood, CO 80232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1956.5380048869035</v>
      </c>
      <c r="J65" s="18">
        <f>'Input Form'!B75</f>
        <v>9805.754415882353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10</v>
      </c>
      <c r="G69" s="140">
        <f>'Input Form'!D19</f>
        <v>0.39</v>
      </c>
      <c r="H69" s="141"/>
      <c r="I69" s="20">
        <f>IFERROR((I$65*G69*F69),0)</f>
        <v>7630.4982190589235</v>
      </c>
      <c r="J69" s="20">
        <f>J$65*F69*G69</f>
        <v>38242.442221941179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12</v>
      </c>
      <c r="G70" s="140">
        <f>'Input Form'!D20</f>
        <v>0.31</v>
      </c>
      <c r="H70" s="141"/>
      <c r="I70" s="20">
        <f>IFERROR((I$65*G70*F70),0)</f>
        <v>7278.321378179282</v>
      </c>
      <c r="J70" s="20">
        <f t="shared" ref="J70:J73" si="0">J$65*F70*G70</f>
        <v>36477.406427082358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14</v>
      </c>
      <c r="G71" s="140">
        <f>'Input Form'!D21</f>
        <v>0.19</v>
      </c>
      <c r="H71" s="141"/>
      <c r="I71" s="20">
        <f>IFERROR((I$65*G71*F71),0)</f>
        <v>5204.3910929991634</v>
      </c>
      <c r="J71" s="20">
        <f t="shared" si="0"/>
        <v>26083.306746247057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18</v>
      </c>
      <c r="G72" s="140">
        <f>'Input Form'!D22</f>
        <v>0.11</v>
      </c>
      <c r="H72" s="141"/>
      <c r="I72" s="20">
        <f t="shared" ref="I72:I73" si="1">I$65*G72*F72</f>
        <v>3873.9452496760691</v>
      </c>
      <c r="J72" s="20">
        <f t="shared" si="0"/>
        <v>19415.393743447061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23987.155939913438</v>
      </c>
      <c r="J74" s="20">
        <f>SUM(J69:J73)</f>
        <v>120218.54913871764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-431.76880691844184</v>
      </c>
      <c r="J75" s="20">
        <f>-(J74*$F75*$G75)</f>
        <v>-2163.9338844969175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23555.387132994998</v>
      </c>
      <c r="J76" s="20">
        <f>SUM(J74:J75)</f>
        <v>118054.61525422073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12.039320000000002</v>
      </c>
      <c r="J77" s="22">
        <f>J76/(J65+0.000000001)</f>
        <v>12.039319999998771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706.66161398984991</v>
      </c>
      <c r="J80" s="20">
        <f>$G80*J76</f>
        <v>3541.6384576266219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4.8837846655791196E-2</v>
      </c>
      <c r="H81" s="163"/>
      <c r="I81" s="20">
        <f>G81*I76</f>
        <v>1150.3943847190067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5871.2150680183913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235.55387132994997</v>
      </c>
      <c r="J82" s="20">
        <f>$G82*J76</f>
        <v>1180.5461525422072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4.1688977322069665E-2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0.63712430261772623</v>
      </c>
      <c r="H84" s="163"/>
      <c r="I84" s="20">
        <f>J84</f>
        <v>15282.8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15282.8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235.55387132994997</v>
      </c>
      <c r="J85" s="20">
        <f>$G85*J76</f>
        <v>1180.5461525422072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235.55387132994997</v>
      </c>
      <c r="J86" s="20">
        <f>$G86*J76</f>
        <v>1180.5461525422072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353.33080699492496</v>
      </c>
      <c r="J87" s="20">
        <f>$G87*J76</f>
        <v>1770.8192288133109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235.55387132994997</v>
      </c>
      <c r="J88" s="20">
        <f>$G88*J76</f>
        <v>1180.5461525422072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8.3377954644139329E-2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235.55387132994997</v>
      </c>
      <c r="J90" s="20">
        <f>$G90*J76</f>
        <v>1180.5461525422072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1884.4309706395998</v>
      </c>
      <c r="J91" s="20">
        <f>$G91*J76</f>
        <v>9444.3692203376577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23555.387132993128</v>
      </c>
      <c r="J92" s="20">
        <f>SUM(J80:J91)</f>
        <v>44813.572737507013</v>
      </c>
      <c r="K92" s="10"/>
    </row>
    <row r="93" spans="1:12" x14ac:dyDescent="0.2">
      <c r="A93" s="10"/>
      <c r="B93" s="115" t="s">
        <v>195</v>
      </c>
      <c r="C93" s="115"/>
      <c r="D93" s="115"/>
      <c r="E93" s="115"/>
      <c r="F93" s="115"/>
      <c r="G93" s="115"/>
      <c r="H93" s="115"/>
      <c r="I93" s="24">
        <f>I76-I92</f>
        <v>1.8699211068451405E-9</v>
      </c>
      <c r="J93" s="24">
        <f>J76-J92</f>
        <v>73241.042516713715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Chris Anderson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 t="str">
        <f>CompanyName</f>
        <v>Express Car Wash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>
        <f>AddressLine1</f>
        <v>0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1398 S Wadsworth Blvd.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 t="str">
        <f>AddressLine3</f>
        <v>Lakewood, CO 80232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7.0000000000000007E-2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0</v>
      </c>
      <c r="D126" s="141"/>
      <c r="E126" s="152">
        <f>'Input Form'!C90</f>
        <v>7.0000000000000007E-2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7.0000000000000007E-2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7.0000000000000007E-2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7.0000000000000007E-2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23555.387132994998</v>
      </c>
      <c r="H138" s="146"/>
      <c r="I138" s="146">
        <f>J76</f>
        <v>118054.61525422073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23555.387132993128</v>
      </c>
      <c r="H139" s="146"/>
      <c r="I139" s="146">
        <f>J92</f>
        <v>44813.572737507013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1.8699211068451405E-9</v>
      </c>
      <c r="H140" s="146"/>
      <c r="I140" s="146">
        <f>J93</f>
        <v>73241.042516713715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1.8699211068451405E-9</v>
      </c>
      <c r="H143" s="146"/>
      <c r="I143" s="146">
        <f>I140-I141-I142</f>
        <v>73241.042516713715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Chris Anderson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 t="str">
        <f>CompanyName</f>
        <v>Express Car Wash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>
        <f>AddressLine1</f>
        <v>0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1398 S Wadsworth Blvd.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 t="str">
        <f>AddressLine3</f>
        <v>Lakewood, CO 80232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117669.05299058823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10</v>
      </c>
      <c r="G169" s="140">
        <f>'Input Form'!$D$19</f>
        <v>0.39</v>
      </c>
      <c r="H169" s="141"/>
      <c r="I169" s="20">
        <f>I$166*F169*G169</f>
        <v>458909.30666329409</v>
      </c>
      <c r="J169" s="30">
        <f>IFERROR((I169/I$174),0)</f>
        <v>0.31810766721044037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12</v>
      </c>
      <c r="G170" s="140">
        <f>'Input Form'!$D$20</f>
        <v>0.31</v>
      </c>
      <c r="H170" s="141"/>
      <c r="I170" s="20">
        <f>I$166*F170*G170</f>
        <v>437728.87712498818</v>
      </c>
      <c r="J170" s="30">
        <f t="shared" ref="J170:J176" si="2">IFERROR((I170/I$174),0)</f>
        <v>0.30342577487765082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14</v>
      </c>
      <c r="G171" s="140">
        <f>'Input Form'!$D$21</f>
        <v>0.19</v>
      </c>
      <c r="H171" s="141"/>
      <c r="I171" s="20">
        <f>I$166*F171*G171</f>
        <v>312999.68095496472</v>
      </c>
      <c r="J171" s="30">
        <f t="shared" si="2"/>
        <v>0.21696574225122348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18</v>
      </c>
      <c r="G172" s="140">
        <f>'Input Form'!$D$22</f>
        <v>0.11</v>
      </c>
      <c r="H172" s="141"/>
      <c r="I172" s="20">
        <f>I$166*F172*G172</f>
        <v>232984.72492136469</v>
      </c>
      <c r="J172" s="30">
        <f t="shared" si="2"/>
        <v>0.16150081566068511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1442622.589664612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-25967.206613963011</v>
      </c>
      <c r="J175" s="30">
        <f t="shared" si="2"/>
        <v>-1.7999999999999999E-2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1416655.383050649</v>
      </c>
      <c r="J176" s="30">
        <f t="shared" si="2"/>
        <v>0.98199999999999998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42499.661491519466</v>
      </c>
      <c r="J178" s="30">
        <f>IFERROR((I178/I$176),0)</f>
        <v>0.03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69186.398361528729</v>
      </c>
      <c r="J179" s="30">
        <f t="shared" ref="J179:J196" si="3">IFERROR((I179/I$176),0)</f>
        <v>4.8837846655791196E-2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14166.553830506489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8.4706557032656754E-3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183393.59999999998</v>
      </c>
      <c r="J182" s="30">
        <f t="shared" si="3"/>
        <v>0.12945533698186865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14166.553830506489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14166.553830506489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21249.830745759733</v>
      </c>
      <c r="J185" s="30">
        <f t="shared" si="3"/>
        <v>1.4999999999999999E-2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14166.553830506489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1.6941311406531351E-2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14166.553830506489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113332.43064405191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536494.69039539236</v>
      </c>
      <c r="J190" s="30">
        <f t="shared" si="3"/>
        <v>0.37870515074745692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880160.6926552566</v>
      </c>
      <c r="J191" s="30">
        <f t="shared" si="3"/>
        <v>0.62129484925254308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880160.6926552566</v>
      </c>
      <c r="J196" s="30">
        <f t="shared" si="3"/>
        <v>0.62129484925254308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Chris Anderson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 t="str">
        <f>CompanyName</f>
        <v>Express Car Wash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>
        <f>AddressLine1</f>
        <v>0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1398 S Wadsworth Blvd.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 t="str">
        <f>AddressLine3</f>
        <v>Lakewood, CO 80232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155308.53267391305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10</v>
      </c>
      <c r="G220" s="140">
        <f>'Input Form'!$D$19</f>
        <v>0.39</v>
      </c>
      <c r="H220" s="141"/>
      <c r="I220" s="20">
        <f>I$217*F220*G220</f>
        <v>605703.27742826089</v>
      </c>
      <c r="J220" s="30">
        <f>IFERROR((I220/I$225),0)</f>
        <v>0.31810766721044043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12</v>
      </c>
      <c r="G221" s="140">
        <f>'Input Form'!$D$20</f>
        <v>0.31</v>
      </c>
      <c r="H221" s="141"/>
      <c r="I221" s="20">
        <f>I$217*F221*G221</f>
        <v>577747.74154695659</v>
      </c>
      <c r="J221" s="30">
        <f t="shared" ref="J221:J227" si="4">IFERROR((I221/I$225),0)</f>
        <v>0.30342577487765093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14</v>
      </c>
      <c r="G222" s="140">
        <f>'Input Form'!$D$21</f>
        <v>0.19</v>
      </c>
      <c r="H222" s="141"/>
      <c r="I222" s="20">
        <f>I$217*F222*G222</f>
        <v>413120.69691260875</v>
      </c>
      <c r="J222" s="30">
        <f t="shared" si="4"/>
        <v>0.2169657422512235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18</v>
      </c>
      <c r="G223" s="140">
        <f>'Input Form'!$D$22</f>
        <v>0.11</v>
      </c>
      <c r="H223" s="141"/>
      <c r="I223" s="20">
        <f>I$217*F223*G223</f>
        <v>307510.89469434787</v>
      </c>
      <c r="J223" s="30">
        <f t="shared" si="4"/>
        <v>0.16150081566068517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1904082.610582174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-34273.486990479127</v>
      </c>
      <c r="J226" s="30">
        <f t="shared" si="4"/>
        <v>-1.7999999999999995E-2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1869809.123591695</v>
      </c>
      <c r="J227" s="30">
        <f t="shared" si="4"/>
        <v>0.9820000000000001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56094.27370775085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91317.451253570529</v>
      </c>
      <c r="J230" s="30">
        <f t="shared" ref="J230:J247" si="5">IFERROR((I230/I$227),0)</f>
        <v>4.8837846655791196E-2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18698.091235916949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6.4177673798859946E-3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183393.59999999998</v>
      </c>
      <c r="J233" s="30">
        <f t="shared" si="5"/>
        <v>9.8081455313321658E-2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18698.091235916949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18698.091235916949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28047.136853875425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18698.091235916949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1.2835534759771989E-2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18698.091235916949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149584.72988733559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637927.64788211707</v>
      </c>
      <c r="J241" s="30">
        <f t="shared" si="5"/>
        <v>0.34117260410877082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1231881.475709578</v>
      </c>
      <c r="J242" s="30">
        <f t="shared" si="5"/>
        <v>0.65882739589122929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1231881.475709578</v>
      </c>
      <c r="J247" s="30">
        <f t="shared" si="5"/>
        <v>0.65882739589122929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Chris Anderson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 t="str">
        <f>CompanyName</f>
        <v>Express Car Wash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>
        <f>AddressLine1</f>
        <v>0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1398 S Wadsworth Blvd.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 t="str">
        <f>AddressLine3</f>
        <v>Lakewood, CO 80232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168098.64712941178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10</v>
      </c>
      <c r="G271" s="140">
        <f>'Input Form'!$D$19</f>
        <v>0.39</v>
      </c>
      <c r="H271" s="141"/>
      <c r="I271" s="20">
        <f>I$268*F271*G271</f>
        <v>655584.72380470601</v>
      </c>
      <c r="J271" s="30">
        <f>IFERROR((I271/I$276),0)</f>
        <v>0.31810766721044048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12</v>
      </c>
      <c r="G272" s="140">
        <f>'Input Form'!$D$20</f>
        <v>0.31</v>
      </c>
      <c r="H272" s="141"/>
      <c r="I272" s="20">
        <f t="shared" ref="I272:I275" si="6">I$268*F272*G272</f>
        <v>625326.96732141182</v>
      </c>
      <c r="J272" s="30">
        <f t="shared" ref="J272:J278" si="7">IFERROR((I272/I$276),0)</f>
        <v>0.30342577487765088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14</v>
      </c>
      <c r="G273" s="140">
        <f>'Input Form'!$D$21</f>
        <v>0.19</v>
      </c>
      <c r="H273" s="141"/>
      <c r="I273" s="20">
        <f t="shared" si="6"/>
        <v>447142.40136423532</v>
      </c>
      <c r="J273" s="30">
        <f t="shared" si="7"/>
        <v>0.21696574225122348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18</v>
      </c>
      <c r="G274" s="140">
        <f>'Input Form'!$D$22</f>
        <v>0.11</v>
      </c>
      <c r="H274" s="141"/>
      <c r="I274" s="20">
        <f t="shared" si="6"/>
        <v>332835.32131623535</v>
      </c>
      <c r="J274" s="30">
        <f t="shared" si="7"/>
        <v>0.16150081566068517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2060889.4138065884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-37096.009448518584</v>
      </c>
      <c r="J277" s="30">
        <f t="shared" si="7"/>
        <v>-1.7999999999999995E-2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2023793.4043580699</v>
      </c>
      <c r="J278" s="30">
        <f t="shared" si="7"/>
        <v>0.98199999999999998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60713.802130742093</v>
      </c>
      <c r="J280" s="30">
        <f>IFERROR((I280/I$278),0)</f>
        <v>0.03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98837.711945041039</v>
      </c>
      <c r="J281" s="30">
        <f t="shared" ref="J281:J298" si="8">IFERROR((I281/I$278),0)</f>
        <v>4.8837846655791196E-2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20237.934043580699</v>
      </c>
      <c r="J282" s="30">
        <f t="shared" si="8"/>
        <v>0.01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5.9294589922859733E-3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183393.59999999998</v>
      </c>
      <c r="J284" s="30">
        <f t="shared" si="8"/>
        <v>9.0618735887308052E-2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20237.934043580699</v>
      </c>
      <c r="J285" s="30">
        <f t="shared" si="8"/>
        <v>0.01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20237.934043580699</v>
      </c>
      <c r="J286" s="30">
        <f t="shared" si="8"/>
        <v>0.01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30356.901065371047</v>
      </c>
      <c r="J287" s="30">
        <f t="shared" si="8"/>
        <v>1.4999999999999999E-2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20237.934043580699</v>
      </c>
      <c r="J288" s="30">
        <f t="shared" si="8"/>
        <v>0.01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1.1858917984571947E-2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20237.934043580699</v>
      </c>
      <c r="J290" s="30">
        <f t="shared" si="8"/>
        <v>0.01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161903.47234864559</v>
      </c>
      <c r="J291" s="30">
        <f t="shared" si="8"/>
        <v>0.08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672395.15770770342</v>
      </c>
      <c r="J292" s="30">
        <f t="shared" si="8"/>
        <v>0.33224495951995725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1351398.2466503666</v>
      </c>
      <c r="J293" s="30">
        <f t="shared" si="8"/>
        <v>0.66775504048004275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1351398.2466503666</v>
      </c>
      <c r="J298" s="30">
        <f t="shared" si="8"/>
        <v>0.66775504048004275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Chris Anderson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 t="str">
        <f>CompanyName</f>
        <v>Express Car Wash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>
        <f>AddressLine1</f>
        <v>0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1398 S Wadsworth Blvd.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 t="str">
        <f>AddressLine3</f>
        <v>Lakewood, CO 80232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174248.59763414634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10</v>
      </c>
      <c r="G322" s="140">
        <f>'Input Form'!$D$19</f>
        <v>0.39</v>
      </c>
      <c r="H322" s="141"/>
      <c r="I322" s="20">
        <f>I$319*F322*G322</f>
        <v>679569.53077317076</v>
      </c>
      <c r="J322" s="30">
        <f>IFERROR((I322/I$327),0)</f>
        <v>0.31810766721044048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12</v>
      </c>
      <c r="G323" s="140">
        <f>'Input Form'!$D$20</f>
        <v>0.31</v>
      </c>
      <c r="H323" s="141"/>
      <c r="I323" s="20">
        <f>I$319*F323*G323</f>
        <v>648204.78319902439</v>
      </c>
      <c r="J323" s="30">
        <f t="shared" ref="J323:J329" si="9">IFERROR((I323/I$327),0)</f>
        <v>0.30342577487765088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14</v>
      </c>
      <c r="G324" s="140">
        <f>'Input Form'!$D$21</f>
        <v>0.19</v>
      </c>
      <c r="H324" s="141"/>
      <c r="I324" s="20">
        <f>I$319*F324*G324</f>
        <v>463501.26970682922</v>
      </c>
      <c r="J324" s="30">
        <f t="shared" si="9"/>
        <v>0.21696574225122345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18</v>
      </c>
      <c r="G325" s="140">
        <f>'Input Form'!$D$22</f>
        <v>0.11</v>
      </c>
      <c r="H325" s="141"/>
      <c r="I325" s="20">
        <f>I$319*F325*G325</f>
        <v>345012.22331560979</v>
      </c>
      <c r="J325" s="30">
        <f t="shared" si="9"/>
        <v>0.16150081566068517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2136287.8069946342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-38453.180525903415</v>
      </c>
      <c r="J328" s="30">
        <f t="shared" si="9"/>
        <v>-1.7999999999999999E-2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2097834.6264687306</v>
      </c>
      <c r="J329" s="30">
        <f t="shared" si="9"/>
        <v>0.98199999999999987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62935.038794061918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102453.72579668887</v>
      </c>
      <c r="J332" s="30">
        <f t="shared" ref="J332:J344" si="10">IFERROR((I332/I$329),0)</f>
        <v>4.8837846655791196E-2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20978.346264687305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5.7201839690288218E-3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183393.59999999998</v>
      </c>
      <c r="J335" s="30">
        <f t="shared" si="10"/>
        <v>8.7420427561873668E-2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20978.346264687305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20978.346264687305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31467.519397030959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20978.346264687305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1.1440367938057644E-2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20978.346264687305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167826.77011749844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688968.38542871666</v>
      </c>
      <c r="J343" s="30">
        <f t="shared" si="10"/>
        <v>0.32841882612475132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1408866.241040014</v>
      </c>
      <c r="J344" s="30">
        <f t="shared" si="10"/>
        <v>0.67158117387524874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1408866.241040014</v>
      </c>
      <c r="J349" s="30">
        <f t="shared" si="11"/>
        <v>0.67158117387524874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Chris Anderson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 t="str">
        <f>CompanyName</f>
        <v>Express Car Wash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>
        <f>AddressLine1</f>
        <v>0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1398 S Wadsworth Blvd.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 t="str">
        <f>AddressLine3</f>
        <v>Lakewood, CO 80232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188005.06586842105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10</v>
      </c>
      <c r="G373" s="140">
        <f>'Input Form'!$D$19</f>
        <v>0.39</v>
      </c>
      <c r="H373" s="141"/>
      <c r="I373" s="20">
        <f>I$370*F373*G373</f>
        <v>733219.75688684208</v>
      </c>
      <c r="J373" s="30">
        <f>IFERROR((I373/I$378),0)</f>
        <v>0.31810766721044043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12</v>
      </c>
      <c r="G374" s="140">
        <f>'Input Form'!$D$20</f>
        <v>0.31</v>
      </c>
      <c r="H374" s="141"/>
      <c r="I374" s="20">
        <f t="shared" ref="I374:I377" si="12">I$370*F374*G374</f>
        <v>699378.8450305264</v>
      </c>
      <c r="J374" s="30">
        <f t="shared" ref="J374:J380" si="13">IFERROR((I374/I$378),0)</f>
        <v>0.30342577487765093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14</v>
      </c>
      <c r="G375" s="140">
        <f>'Input Form'!$D$21</f>
        <v>0.19</v>
      </c>
      <c r="H375" s="141"/>
      <c r="I375" s="20">
        <f t="shared" si="12"/>
        <v>500093.47521</v>
      </c>
      <c r="J375" s="30">
        <f t="shared" si="13"/>
        <v>0.21696574225122348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18</v>
      </c>
      <c r="G376" s="140">
        <f>'Input Form'!$D$22</f>
        <v>0.11</v>
      </c>
      <c r="H376" s="141"/>
      <c r="I376" s="20">
        <f t="shared" si="12"/>
        <v>372250.03041947365</v>
      </c>
      <c r="J376" s="30">
        <f t="shared" si="13"/>
        <v>0.16150081566068514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2304942.1075468422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-41488.957935843158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2263453.149610999</v>
      </c>
      <c r="J380" s="30">
        <f t="shared" si="13"/>
        <v>0.98199999999999998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67903.594488329967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110542.17783326958</v>
      </c>
      <c r="J383" s="30">
        <f t="shared" ref="J383:J395" si="14">IFERROR((I383/I$380),0)</f>
        <v>4.8837846655791196E-2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22634.53149610999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5.3016339225145179E-3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183393.59999999998</v>
      </c>
      <c r="J386" s="30">
        <f t="shared" si="14"/>
        <v>8.1023810911004857E-2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22634.53149610999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22634.53149610999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33951.797244164984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22634.53149610999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1.0603267845029036E-2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22634.53149610999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181076.25196887992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726040.07901519432</v>
      </c>
      <c r="J394" s="30">
        <f t="shared" si="14"/>
        <v>0.32076655933433956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1537413.0705958046</v>
      </c>
      <c r="J395" s="30">
        <f t="shared" si="14"/>
        <v>0.67923344066566038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1537413.0705958046</v>
      </c>
      <c r="J400" s="30">
        <f t="shared" si="15"/>
        <v>0.67923344066566038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Chris Anderson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 t="str">
        <f>CompanyName</f>
        <v>Express Car Wash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>
        <f>AddressLine1</f>
        <v>0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1398 S Wadsworth Blvd.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 t="str">
        <f>AddressLine3</f>
        <v>Lakewood, CO 80232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algorithmName="SHA-512" hashValue="7JqoM5dhtO6yMtTFPJChtM78G1LIBZ0vrCALSe1SrFNCWR180VBS4XE6U9O0h7FlaCPmnv4okdbzrQ7Y5yo83A==" saltValue="cmmh+ObLqZ8wy68tGX+c2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2020-06-24T20:50:21Z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