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isconsin\Cesario Arana\1405 Cranston Rd. Beloit,\"/>
    </mc:Choice>
  </mc:AlternateContent>
  <xr:revisionPtr revIDLastSave="0" documentId="13_ncr:1_{CFE1E0D5-0DEC-4132-BD1D-F1C79FEB7918}" xr6:coauthVersionLast="45" xr6:coauthVersionMax="45" xr10:uidLastSave="{00000000-0000-0000-0000-000000000000}"/>
  <workbookProtection workbookPassword="FB8D" lockStructure="1"/>
  <bookViews>
    <workbookView xWindow="3225" yWindow="297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<sst xmlns="http://schemas.openxmlformats.org/spreadsheetml/2006/main" count="434" uniqueCount="200">
  <si>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</si>
  <si>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</si>
  <si>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</si>
  <si>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</si>
  <si>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</si>
  <si>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</si>
  <si>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</si>
  <si>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</si>
  <si>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</si>
  <si>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</si>
  <si>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</si>
  <si>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</si>
  <si>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</si>
  <si>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</si>
  <si>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</si>
  <si>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</si>
  <si>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</si>
  <si>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</si>
  <si>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</si>
  <si>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</si>
  <si>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</si>
  <si>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</si>
  <si>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</si>
  <si>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</si>
  <si>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</si>
  <si>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</si>
  <si>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</si>
  <si>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</si>
  <si>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</si>
  <si>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</si>
  <si>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</si>
  <si>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</si>
  <si>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</si>
  <si>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</si>
  <si>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</si>
  <si>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</si>
  <si>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</si>
  <si>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</si>
  <si>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</si>
  <si>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</si>
  <si>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</si>
  <si>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</si>
  <si>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</si>
  <si>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</si>
  <si>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</si>
  <si>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</si>
  <si>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</si>
  <si>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</si>
  <si>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</si>
  <si>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</si>
  <si>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</si>
  <si>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</si>
  <si>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</si>
  <si>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</si>
  <si>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</si>
  <si>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</si>
  <si>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</si>
  <si>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</si>
  <si>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</si>
  <si>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</si>
  <si>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</si>
  <si>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</si>
  <si>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</si>
  <si>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</si>
  <si>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</si>
  <si>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</si>
  <si>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</si>
  <si>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</si>
  <si>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</si>
  <si>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</si>
  <si>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</si>
  <si>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</si>
  <si>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</si>
  <si>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</si>
  <si>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</si>
  <si>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</si>
  <si>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</si>
  <si>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</si>
  <si>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</si>
  <si>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</si>
  <si>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</si>
  <si>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</si>
  <si>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</si>
  <si>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</si>
  <si>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</si>
  <si>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</si>
  <si>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</si>
  <si>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</si>
  <si>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</si>
  <si>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</si>
  <si>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</si>
  <si>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</si>
  <si>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</si>
  <si>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</si>
  <si>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</si>
  <si>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</si>
  <si>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</si>
  <si>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</si>
  <si>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</si>
  <si>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</si>
  <si>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</si>
  <si>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</si>
  <si>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</si>
  <si>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</si>
  <si>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</si>
  <si>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</si>
  <si>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</si>
  <si>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</si>
  <si>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</si>
  <si>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</si>
  <si>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</si>
  <si>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</si>
  <si>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</si>
  <si>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</si>
  <si>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</si>
  <si>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</si>
  <si>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</si>
  <si>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</si>
  <si>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</si>
  <si>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</si>
  <si>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</si>
  <si>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</si>
  <si>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</si>
  <si>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</si>
  <si>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</si>
  <si>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</si>
  <si>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</si>
  <si>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</si>
  <si>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</si>
  <si>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</si>
  <si>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</si>
  <si>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</si>
  <si>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</si>
  <si>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</si>
  <si>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</si>
  <si>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</si>
  <si>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</si>
  <si>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</si>
  <si>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</si>
  <si>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</si>
  <si>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</si>
  <si>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</si>
  <si>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</si>
  <si>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</si>
  <si>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</si>
  <si>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</si>
  <si>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</si>
  <si>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</si>
  <si>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</si>
  <si>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</si>
  <si>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</si>
  <si>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</si>
  <si>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</si>
  <si>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</si>
  <si>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</si>
  <si>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</si>
  <si>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</si>
  <si>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</si>
  <si>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</si>
  <si>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</si>
  <si>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</si>
  <si>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</si>
  <si>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</si>
  <si>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</si>
  <si>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</si>
  <si>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</si>
  <si>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</si>
  <si>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</si>
  <si>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</si>
  <si>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</si>
  <si>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</si>
  <si>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</si>
  <si>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</si>
  <si>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</si>
  <si>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</si>
  <si>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</si>
  <si>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</si>
  <si>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</si>
  <si>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</si>
  <si>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</si>
  <si>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</si>
  <si>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</si>
  <si>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</si>
  <si>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</si>
  <si>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</si>
  <si>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</si>
  <si>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</si>
  <si>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</si>
  <si>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</si>
  <si>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</si>
  <si>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</si>
  <si>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</si>
  <si>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</si>
  <si>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</si>
  <si>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</si>
  <si>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</si>
  <si>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Cesario Arana</t>
  </si>
  <si>
    <t>1405 Cranston Rd.</t>
  </si>
  <si>
    <t>Beloit, WI 53511</t>
  </si>
  <si>
    <t>Cranston 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</si>
</sst>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8" zoomScaleNormal="100" workbookViewId="0">
      <selection activeCell="E71" sqref="E7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199</v>
      </c>
      <c r="C3" s="100"/>
      <c r="D3" s="101"/>
      <c r="E3" s="34"/>
      <c r="F3" s="34"/>
    </row>
    <row r="4" spans="1:9" ht="15.75" x14ac:dyDescent="0.25">
      <c r="A4" s="35" t="s">
        <v>13</v>
      </c>
      <c r="B4" s="99"/>
      <c r="C4" s="100"/>
      <c r="D4" s="101"/>
      <c r="E4" s="34"/>
      <c r="F4" s="34"/>
    </row>
    <row r="5" spans="1:9" ht="15.75" x14ac:dyDescent="0.25">
      <c r="A5" s="35" t="s">
        <v>14</v>
      </c>
      <c r="B5" s="99" t="s">
        <v>197</v>
      </c>
      <c r="C5" s="100"/>
      <c r="D5" s="101"/>
      <c r="E5" s="34"/>
      <c r="F5" s="34"/>
    </row>
    <row r="6" spans="1:9" ht="15.75" x14ac:dyDescent="0.25">
      <c r="A6" s="35" t="s">
        <v>16</v>
      </c>
      <c r="B6" s="99" t="s">
        <v>198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0.15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1.075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0.49199999999999999</v>
      </c>
      <c r="F58" s="61">
        <f>-0.3*(0.55-E58)</f>
        <v>-1.7400000000000016E-2</v>
      </c>
    </row>
    <row r="59" spans="1:8" ht="15.75" x14ac:dyDescent="0.25">
      <c r="A59" s="95" t="s">
        <v>3</v>
      </c>
      <c r="B59" s="96"/>
      <c r="C59" s="96"/>
      <c r="D59" s="97"/>
      <c r="E59" s="45">
        <v>0.55900000000000005</v>
      </c>
      <c r="F59" s="61">
        <f>-0.75*(0.5-E59)</f>
        <v>4.4250000000000039E-2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6.7125000000000058E-3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8.9123665441176465E-3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1.176321671195652E-2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1.4239683388157892E-2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19660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49060.79535205882</v>
      </c>
      <c r="C74" s="68">
        <f>F65*A70*280</f>
        <v>64754.155355978255</v>
      </c>
      <c r="D74" s="68">
        <f>($F$54*(1+$F$61))/85*($A$70*(1+B$70))*280</f>
        <v>70086.850502941161</v>
      </c>
      <c r="E74" s="68">
        <f>($F$54*(1+$F$61))/82*($A$70*(1+C$70))*280</f>
        <v>72651.003570121931</v>
      </c>
      <c r="F74" s="68">
        <f>F66*(A70*(1+D70)*280)</f>
        <v>78386.609115131563</v>
      </c>
    </row>
    <row r="75" spans="1:6" ht="15.75" x14ac:dyDescent="0.25">
      <c r="A75" s="35" t="s">
        <v>106</v>
      </c>
      <c r="B75" s="68">
        <f>B74/12</f>
        <v>4088.3996126715683</v>
      </c>
      <c r="C75" s="68">
        <f>C74/12</f>
        <v>5396.1796129981876</v>
      </c>
      <c r="D75" s="68">
        <f t="shared" ref="D75:F75" si="0">D74/12</f>
        <v>5840.5708752450964</v>
      </c>
      <c r="E75" s="68">
        <f t="shared" si="0"/>
        <v>6054.2502975101606</v>
      </c>
      <c r="F75" s="68">
        <f t="shared" si="0"/>
        <v>6532.2174262609633</v>
      </c>
    </row>
    <row r="76" spans="1:6" ht="15.75" x14ac:dyDescent="0.25">
      <c r="A76" s="35" t="s">
        <v>107</v>
      </c>
      <c r="B76" s="68">
        <f>B75/4.5/7*3</f>
        <v>389.37139168300644</v>
      </c>
      <c r="C76" s="68">
        <f t="shared" ref="C76:F76" si="1">C75/4.5/7*3</f>
        <v>513.92186790458936</v>
      </c>
      <c r="D76" s="68">
        <f t="shared" si="1"/>
        <v>556.24484526143772</v>
      </c>
      <c r="E76" s="68">
        <f t="shared" si="1"/>
        <v>576.59526642953915</v>
      </c>
      <c r="F76" s="68">
        <f t="shared" si="1"/>
        <v>622.11594535818699</v>
      </c>
    </row>
    <row r="77" spans="1:6" ht="15.75" x14ac:dyDescent="0.25">
      <c r="A77" s="35" t="s">
        <v>108</v>
      </c>
      <c r="B77" s="68">
        <f>IFERROR((B76/$B9*1.3),0)</f>
        <v>42.181900765659037</v>
      </c>
      <c r="C77" s="68">
        <f t="shared" ref="C77:F77" si="2">IFERROR((C76/$B9*1.3),0)</f>
        <v>55.674869022997179</v>
      </c>
      <c r="D77" s="68">
        <f t="shared" si="2"/>
        <v>60.259858236655759</v>
      </c>
      <c r="E77" s="68">
        <f t="shared" si="2"/>
        <v>62.464487196533412</v>
      </c>
      <c r="F77" s="68">
        <f t="shared" si="2"/>
        <v>67.395894080470256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2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Cesario Arana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Cranston Car Wash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>
        <f>'Input Form'!B4</f>
        <v>0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1405 Cranston Rd.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 t="str">
        <f>'Input Form'!B6</f>
        <v>Beloit, WI 53511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Cesario Arana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Cranston Car Wash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>
        <f>AddressLine1</f>
        <v>0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1405 Cranston Rd.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 t="str">
        <f>AddressLine3</f>
        <v>Beloit, WI 53511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2118.0172812402511</v>
      </c>
      <c r="J65" s="18">
        <f>'Input Form'!B75</f>
        <v>4088.3996126715683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5</v>
      </c>
      <c r="G69" s="140">
        <f>'Input Form'!D19</f>
        <v>0.5</v>
      </c>
      <c r="H69" s="141"/>
      <c r="I69" s="20">
        <f>IFERROR((I$65*G69*F69),0)</f>
        <v>5295.0432031006276</v>
      </c>
      <c r="J69" s="20">
        <f>J$65*F69*G69</f>
        <v>10220.999031678921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3177.0259218603765</v>
      </c>
      <c r="J70" s="20">
        <f t="shared" ref="J70:J73" si="0">J$65*F70*G70</f>
        <v>6132.5994190073525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15</v>
      </c>
      <c r="G71" s="140">
        <f>'Input Form'!D21</f>
        <v>0.15</v>
      </c>
      <c r="H71" s="141"/>
      <c r="I71" s="20">
        <f>IFERROR((I$65*G71*F71),0)</f>
        <v>4765.5388827905645</v>
      </c>
      <c r="J71" s="20">
        <f t="shared" si="0"/>
        <v>9198.8991285110296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20</v>
      </c>
      <c r="G72" s="140">
        <f>'Input Form'!D22</f>
        <v>0.15</v>
      </c>
      <c r="H72" s="141"/>
      <c r="I72" s="20">
        <f t="shared" ref="I72:I73" si="1">I$65*G72*F72</f>
        <v>6354.0518437207529</v>
      </c>
      <c r="J72" s="20">
        <f t="shared" si="0"/>
        <v>12265.198838014705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25</v>
      </c>
      <c r="G73" s="140">
        <f>'Input Form'!D23</f>
        <v>0.05</v>
      </c>
      <c r="H73" s="141"/>
      <c r="I73" s="20">
        <f t="shared" si="1"/>
        <v>2647.5216015503138</v>
      </c>
      <c r="J73" s="20">
        <f t="shared" si="0"/>
        <v>5110.4995158394604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22239.181453022637</v>
      </c>
      <c r="J74" s="20">
        <f>SUM(J69:J73)</f>
        <v>42928.195933051466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-400.30526615440743</v>
      </c>
      <c r="J75" s="20">
        <f>-(J74*$F75*$G75)</f>
        <v>-772.70752679492625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21838.87618686823</v>
      </c>
      <c r="J76" s="20">
        <f>SUM(J74:J75)</f>
        <v>42155.48840625654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10.311</v>
      </c>
      <c r="J77" s="22">
        <f>J76/(J65+0.000000001)</f>
        <v>10.310999999997478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655.16628560604693</v>
      </c>
      <c r="J80" s="20">
        <f>$G80*J76</f>
        <v>1264.6646521876962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6.1883809523809535E-2</v>
      </c>
      <c r="H81" s="163"/>
      <c r="I81" s="20">
        <f>G81*I76</f>
        <v>1351.4728541622135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2656.560300321732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218.38876186868231</v>
      </c>
      <c r="J82" s="20">
        <f>$G82*J76</f>
        <v>421.55488406256541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4.4965683746605929E-2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0.61448304780761798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218.38876186868231</v>
      </c>
      <c r="J85" s="20">
        <f>$G85*J76</f>
        <v>421.55488406256541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218.38876186868231</v>
      </c>
      <c r="J86" s="20">
        <f>$G86*J76</f>
        <v>421.55488406256541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327.58314280302346</v>
      </c>
      <c r="J87" s="20">
        <f>$G87*J76</f>
        <v>632.33232609384811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218.38876186868231</v>
      </c>
      <c r="J88" s="20">
        <f>$G88*J76</f>
        <v>421.55488406256541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8.9931367493211858E-2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218.38876186868231</v>
      </c>
      <c r="J90" s="20">
        <f>$G90*J76</f>
        <v>421.55488406256541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1747.1100949494585</v>
      </c>
      <c r="J91" s="20">
        <f>$G91*J76</f>
        <v>3372.4390725005233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21838.876186864156</v>
      </c>
      <c r="J92" s="20">
        <f>SUM(J80:J91)</f>
        <v>26699.37077141663</v>
      </c>
      <c r="K92" s="10"/>
    </row>
    <row r="93" spans="1:12" x14ac:dyDescent="0.2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4.0745362639427185E-9</v>
      </c>
      <c r="J93" s="24">
        <f>J76-J92</f>
        <v>15456.117634839909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Cesario Arana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Cranston Car Wash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>
        <f>AddressLine1</f>
        <v>0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1405 Cranston Rd.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 t="str">
        <f>AddressLine3</f>
        <v>Beloit, WI 53511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21838.87618686823</v>
      </c>
      <c r="H138" s="146"/>
      <c r="I138" s="146">
        <f>J76</f>
        <v>42155.48840625654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21838.876186864156</v>
      </c>
      <c r="H139" s="146"/>
      <c r="I139" s="146">
        <f>J92</f>
        <v>26699.37077141663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4.0745362639427185E-9</v>
      </c>
      <c r="H140" s="146"/>
      <c r="I140" s="146">
        <f>J93</f>
        <v>15456.117634839909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4.0745362639427185E-9</v>
      </c>
      <c r="H143" s="146"/>
      <c r="I143" s="146">
        <f>I140-I141-I142</f>
        <v>15456.117634839909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Cesario Arana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Cranston Car Wash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>
        <f>AddressLine1</f>
        <v>0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1405 Cranston Rd.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 t="str">
        <f>AddressLine3</f>
        <v>Beloit, WI 53511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49060.79535205882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5</v>
      </c>
      <c r="G169" s="140">
        <f>'Input Form'!$D$19</f>
        <v>0.5</v>
      </c>
      <c r="H169" s="141"/>
      <c r="I169" s="20">
        <f>I$166*F169*G169</f>
        <v>122651.98838014706</v>
      </c>
      <c r="J169" s="30">
        <f>IFERROR((I169/I$174),0)</f>
        <v>0.23809523809523808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73591.193028088237</v>
      </c>
      <c r="J170" s="30">
        <f t="shared" ref="J170:J176" si="2">IFERROR((I170/I$174),0)</f>
        <v>0.14285714285714285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15</v>
      </c>
      <c r="G171" s="140">
        <f>'Input Form'!$D$21</f>
        <v>0.15</v>
      </c>
      <c r="H171" s="141"/>
      <c r="I171" s="20">
        <f>I$166*F171*G171</f>
        <v>110386.78954213233</v>
      </c>
      <c r="J171" s="30">
        <f t="shared" si="2"/>
        <v>0.21428571428571425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20</v>
      </c>
      <c r="G172" s="140">
        <f>'Input Form'!$D$22</f>
        <v>0.15</v>
      </c>
      <c r="H172" s="141"/>
      <c r="I172" s="20">
        <f>I$166*F172*G172</f>
        <v>147182.38605617647</v>
      </c>
      <c r="J172" s="30">
        <f t="shared" si="2"/>
        <v>0.2857142857142857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25</v>
      </c>
      <c r="G173" s="140">
        <f>'Input Form'!$D$23</f>
        <v>0.05</v>
      </c>
      <c r="H173" s="141"/>
      <c r="I173" s="20">
        <f>I$166*F173*G173</f>
        <v>61325.994190073528</v>
      </c>
      <c r="J173" s="30">
        <f t="shared" si="2"/>
        <v>0.11904761904761904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515138.35119661764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-9272.4903215391168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505865.86087507854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15175.975826252356</v>
      </c>
      <c r="J178" s="30">
        <f>IFERROR((I178/I$176),0)</f>
        <v>0.03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31304.906578991293</v>
      </c>
      <c r="J179" s="30">
        <f t="shared" ref="J179:J196" si="3">IFERROR((I179/I$176),0)</f>
        <v>6.1883809523809535E-2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5058.6586087507858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2.3721703574227457E-2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0.32417131236396274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5058.6586087507858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5058.6586087507858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7587.9879131261778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5058.6586087507858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4.7443407148454915E-2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5058.6586087507858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40469.268870006286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319818.63223213004</v>
      </c>
      <c r="J190" s="30">
        <f t="shared" si="3"/>
        <v>0.63222023261045468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186047.2286429485</v>
      </c>
      <c r="J191" s="30">
        <f t="shared" si="3"/>
        <v>0.36777976738954538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186047.2286429485</v>
      </c>
      <c r="J196" s="30">
        <f t="shared" si="3"/>
        <v>0.36777976738954538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Cesario Arana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Cranston Car Wash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>
        <f>AddressLine1</f>
        <v>0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1405 Cranston Rd.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 t="str">
        <f>AddressLine3</f>
        <v>Beloit, WI 53511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64754.155355978255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5</v>
      </c>
      <c r="G220" s="140">
        <f>'Input Form'!$D$19</f>
        <v>0.5</v>
      </c>
      <c r="H220" s="141"/>
      <c r="I220" s="20">
        <f>I$217*F220*G220</f>
        <v>161885.38838994564</v>
      </c>
      <c r="J220" s="30">
        <f>IFERROR((I220/I$225),0)</f>
        <v>0.23809523809523808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10</v>
      </c>
      <c r="G221" s="140">
        <f>'Input Form'!$D$20</f>
        <v>0.15</v>
      </c>
      <c r="H221" s="141"/>
      <c r="I221" s="20">
        <f>I$217*F221*G221</f>
        <v>97131.233033967379</v>
      </c>
      <c r="J221" s="30">
        <f t="shared" ref="J221:J227" si="4">IFERROR((I221/I$225),0)</f>
        <v>0.14285714285714285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15</v>
      </c>
      <c r="G222" s="140">
        <f>'Input Form'!$D$21</f>
        <v>0.15</v>
      </c>
      <c r="H222" s="141"/>
      <c r="I222" s="20">
        <f>I$217*F222*G222</f>
        <v>145696.84955095107</v>
      </c>
      <c r="J222" s="30">
        <f t="shared" si="4"/>
        <v>0.21428571428571427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20</v>
      </c>
      <c r="G223" s="140">
        <f>'Input Form'!$D$22</f>
        <v>0.15</v>
      </c>
      <c r="H223" s="141"/>
      <c r="I223" s="20">
        <f>I$217*F223*G223</f>
        <v>194262.46606793476</v>
      </c>
      <c r="J223" s="30">
        <f t="shared" si="4"/>
        <v>0.2857142857142857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25</v>
      </c>
      <c r="G224" s="140">
        <f>'Input Form'!$D$23</f>
        <v>0.05</v>
      </c>
      <c r="H224" s="141"/>
      <c r="I224" s="20">
        <f>I$217*F224*G224</f>
        <v>80942.694194972821</v>
      </c>
      <c r="J224" s="30">
        <f t="shared" si="4"/>
        <v>0.11904761904761904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679918.63123777171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-12238.53536227989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667680.09587549185</v>
      </c>
      <c r="J227" s="30">
        <f t="shared" si="4"/>
        <v>0.9820000000000001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20030.402876264754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41318.58787599783</v>
      </c>
      <c r="J230" s="30">
        <f t="shared" ref="J230:J247" si="5">IFERROR((I230/I$227),0)</f>
        <v>6.1883809523809542E-2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6676.8009587549186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1.7972678943297037E-2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0.24560744136752002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6676.8009587549186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6676.8009587549186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10015.201438132377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6676.8009587549186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3.5945357886594073E-2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6676.8009587549186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53414.407670039349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358149.80465420889</v>
      </c>
      <c r="J241" s="30">
        <f t="shared" si="5"/>
        <v>0.53640928772122065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309530.29122128297</v>
      </c>
      <c r="J242" s="30">
        <f t="shared" si="5"/>
        <v>0.46359071227877935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309530.29122128297</v>
      </c>
      <c r="J247" s="30">
        <f t="shared" si="5"/>
        <v>0.46359071227877935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Cesario Arana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Cranston Car Wash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>
        <f>AddressLine1</f>
        <v>0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1405 Cranston Rd.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 t="str">
        <f>AddressLine3</f>
        <v>Beloit, WI 53511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70086.850502941161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5</v>
      </c>
      <c r="G271" s="140">
        <f>'Input Form'!$D$19</f>
        <v>0.5</v>
      </c>
      <c r="H271" s="141"/>
      <c r="I271" s="20">
        <f>I$268*F271*G271</f>
        <v>175217.12625735291</v>
      </c>
      <c r="J271" s="30">
        <f>IFERROR((I271/I$276),0)</f>
        <v>0.23809523809523808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10</v>
      </c>
      <c r="G272" s="140">
        <f>'Input Form'!$D$20</f>
        <v>0.15</v>
      </c>
      <c r="H272" s="141"/>
      <c r="I272" s="20">
        <f t="shared" ref="I272:I275" si="6">I$268*F272*G272</f>
        <v>105130.27575441175</v>
      </c>
      <c r="J272" s="30">
        <f t="shared" ref="J272:J278" si="7">IFERROR((I272/I$276),0)</f>
        <v>0.14285714285714285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15</v>
      </c>
      <c r="G273" s="140">
        <f>'Input Form'!$D$21</f>
        <v>0.15</v>
      </c>
      <c r="H273" s="141"/>
      <c r="I273" s="20">
        <f t="shared" si="6"/>
        <v>157695.41363161762</v>
      </c>
      <c r="J273" s="30">
        <f t="shared" si="7"/>
        <v>0.21428571428571427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20</v>
      </c>
      <c r="G274" s="140">
        <f>'Input Form'!$D$22</f>
        <v>0.15</v>
      </c>
      <c r="H274" s="141"/>
      <c r="I274" s="20">
        <f t="shared" si="6"/>
        <v>210260.5515088235</v>
      </c>
      <c r="J274" s="30">
        <f t="shared" si="7"/>
        <v>0.2857142857142857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25</v>
      </c>
      <c r="G275" s="140">
        <f>'Input Form'!$D$23</f>
        <v>0.05</v>
      </c>
      <c r="H275" s="141"/>
      <c r="I275" s="20">
        <f t="shared" si="6"/>
        <v>87608.563128676455</v>
      </c>
      <c r="J275" s="30">
        <f t="shared" si="7"/>
        <v>0.11904761904761904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735911.93028088228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-13246.414745055879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722665.51553582645</v>
      </c>
      <c r="J278" s="30">
        <f t="shared" si="7"/>
        <v>0.9820000000000001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21679.965466074791</v>
      </c>
      <c r="J280" s="30">
        <f>IFERROR((I280/I$278),0)</f>
        <v>2.9999999999999995E-2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44721.295112844702</v>
      </c>
      <c r="J281" s="30">
        <f t="shared" ref="J281:J298" si="8">IFERROR((I281/I$278),0)</f>
        <v>6.1883809523809535E-2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7226.6551553582649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1.6605192501959222E-2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0.22691991865477396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7226.6551553582649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7226.6551553582649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10839.982733037396</v>
      </c>
      <c r="J287" s="30">
        <f t="shared" si="8"/>
        <v>1.4999999999999998E-2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7226.6551553582649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3.3210385003918444E-2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7226.6551553582649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57813.241242866119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371174.96033161425</v>
      </c>
      <c r="J292" s="30">
        <f t="shared" si="8"/>
        <v>0.51361930568446101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351490.5552042122</v>
      </c>
      <c r="J293" s="30">
        <f t="shared" si="8"/>
        <v>0.48638069431553899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351490.5552042122</v>
      </c>
      <c r="J298" s="30">
        <f t="shared" si="8"/>
        <v>0.48638069431553899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Cesario Arana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Cranston Car Wash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>
        <f>AddressLine1</f>
        <v>0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1405 Cranston Rd.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 t="str">
        <f>AddressLine3</f>
        <v>Beloit, WI 53511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72651.003570121931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5</v>
      </c>
      <c r="G322" s="140">
        <f>'Input Form'!$D$19</f>
        <v>0.5</v>
      </c>
      <c r="H322" s="141"/>
      <c r="I322" s="20">
        <f>I$319*F322*G322</f>
        <v>181627.50892530484</v>
      </c>
      <c r="J322" s="30">
        <f>IFERROR((I322/I$327),0)</f>
        <v>0.23809523809523808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10</v>
      </c>
      <c r="G323" s="140">
        <f>'Input Form'!$D$20</f>
        <v>0.15</v>
      </c>
      <c r="H323" s="141"/>
      <c r="I323" s="20">
        <f>I$319*F323*G323</f>
        <v>108976.5053551829</v>
      </c>
      <c r="J323" s="30">
        <f t="shared" ref="J323:J329" si="9">IFERROR((I323/I$327),0)</f>
        <v>0.14285714285714285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15</v>
      </c>
      <c r="G324" s="140">
        <f>'Input Form'!$D$21</f>
        <v>0.15</v>
      </c>
      <c r="H324" s="141"/>
      <c r="I324" s="20">
        <f>I$319*F324*G324</f>
        <v>163464.75803277435</v>
      </c>
      <c r="J324" s="30">
        <f t="shared" si="9"/>
        <v>0.21428571428571427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20</v>
      </c>
      <c r="G325" s="140">
        <f>'Input Form'!$D$22</f>
        <v>0.15</v>
      </c>
      <c r="H325" s="141"/>
      <c r="I325" s="20">
        <f>I$319*F325*G325</f>
        <v>217953.01071036581</v>
      </c>
      <c r="J325" s="30">
        <f t="shared" si="9"/>
        <v>0.2857142857142857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25</v>
      </c>
      <c r="G326" s="140">
        <f>'Input Form'!$D$23</f>
        <v>0.05</v>
      </c>
      <c r="H326" s="141"/>
      <c r="I326" s="20">
        <f>I$319*F326*G326</f>
        <v>90813.754462652418</v>
      </c>
      <c r="J326" s="30">
        <f t="shared" si="9"/>
        <v>0.11904761904761904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762835.53748628031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-13731.039674753045</v>
      </c>
      <c r="J328" s="30">
        <f t="shared" si="9"/>
        <v>-1.7999999999999999E-2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749104.49781152722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22473.134934345817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46357.440055997547</v>
      </c>
      <c r="J332" s="30">
        <f t="shared" ref="J332:J344" si="10">IFERROR((I332/I$329),0)</f>
        <v>6.1883809523809535E-2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7491.044978115272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1.6019126884243017E-2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0.21891098034931139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7491.044978115272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7491.044978115272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11236.567467172908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7491.044978115272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3.2038253768486034E-2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7491.044978115272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59928.359824922176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377437.9271730149</v>
      </c>
      <c r="J343" s="30">
        <f t="shared" si="10"/>
        <v>0.50385217052585007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371666.57063851232</v>
      </c>
      <c r="J344" s="30">
        <f t="shared" si="10"/>
        <v>0.49614782947414993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371666.57063851232</v>
      </c>
      <c r="J349" s="30">
        <f t="shared" si="11"/>
        <v>0.49614782947414993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Cesario Arana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Cranston Car Wash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>
        <f>AddressLine1</f>
        <v>0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1405 Cranston Rd.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 t="str">
        <f>AddressLine3</f>
        <v>Beloit, WI 53511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78386.609115131563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5</v>
      </c>
      <c r="G373" s="140">
        <f>'Input Form'!$D$19</f>
        <v>0.5</v>
      </c>
      <c r="H373" s="141"/>
      <c r="I373" s="20">
        <f>I$370*F373*G373</f>
        <v>195966.5227878289</v>
      </c>
      <c r="J373" s="30">
        <f>IFERROR((I373/I$378),0)</f>
        <v>0.23809523809523811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10</v>
      </c>
      <c r="G374" s="140">
        <f>'Input Form'!$D$20</f>
        <v>0.15</v>
      </c>
      <c r="H374" s="141"/>
      <c r="I374" s="20">
        <f t="shared" ref="I374:I377" si="12">I$370*F374*G374</f>
        <v>117579.91367269734</v>
      </c>
      <c r="J374" s="30">
        <f t="shared" ref="J374:J380" si="13">IFERROR((I374/I$378),0)</f>
        <v>0.14285714285714288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15</v>
      </c>
      <c r="G375" s="140">
        <f>'Input Form'!$D$21</f>
        <v>0.15</v>
      </c>
      <c r="H375" s="141"/>
      <c r="I375" s="20">
        <f t="shared" si="12"/>
        <v>176369.87050904598</v>
      </c>
      <c r="J375" s="30">
        <f t="shared" si="13"/>
        <v>0.21428571428571427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20</v>
      </c>
      <c r="G376" s="140">
        <f>'Input Form'!$D$22</f>
        <v>0.15</v>
      </c>
      <c r="H376" s="141"/>
      <c r="I376" s="20">
        <f t="shared" si="12"/>
        <v>235159.82734539467</v>
      </c>
      <c r="J376" s="30">
        <f t="shared" si="13"/>
        <v>0.28571428571428575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25</v>
      </c>
      <c r="G377" s="140">
        <f>'Input Form'!$D$23</f>
        <v>0.05</v>
      </c>
      <c r="H377" s="141"/>
      <c r="I377" s="20">
        <f t="shared" si="12"/>
        <v>97983.261393914465</v>
      </c>
      <c r="J377" s="30">
        <f t="shared" si="13"/>
        <v>0.11904761904761907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823059.39570888132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-14815.069122759862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808244.32658612146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24247.329797583643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50017.237955155251</v>
      </c>
      <c r="J383" s="30">
        <f t="shared" ref="J383:J395" si="14">IFERROR((I383/I$380),0)</f>
        <v>6.1883809523809542E-2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8082.443265861215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1.4846995648810601E-2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0.20289310373838618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8082.443265861215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8082.443265861215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12123.664898791822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8082.443265861215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2.9693991297621201E-2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8082.443265861215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64659.54612688972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391447.19510772644</v>
      </c>
      <c r="J394" s="30">
        <f t="shared" si="14"/>
        <v>0.48431790020862742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416797.13147839502</v>
      </c>
      <c r="J395" s="30">
        <f t="shared" si="14"/>
        <v>0.51568209979137258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416797.13147839502</v>
      </c>
      <c r="J400" s="30">
        <f t="shared" si="15"/>
        <v>0.51568209979137258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Cesario Arana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Cranston Car Wash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>
        <f>AddressLine1</f>
        <v>0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1405 Cranston Rd.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 t="str">
        <f>AddressLine3</f>
        <v>Beloit, WI 53511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2019-11-19T14:33:28Z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