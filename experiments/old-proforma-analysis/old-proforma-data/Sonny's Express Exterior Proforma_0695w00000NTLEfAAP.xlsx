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NV\6750 W Flamingo Rd., Las Vegas\"/>
    </mc:Choice>
  </mc:AlternateContent>
  <xr:revisionPtr revIDLastSave="0" documentId="8_{63E0979C-9976-42AB-9827-F00F634EE812}" xr6:coauthVersionLast="47" xr6:coauthVersionMax="47" xr10:uidLastSave="{00000000-0000-0000-0000-000000000000}"/>
  <workbookProtection workbookPassword="FB8D" lockStructure="1"/>
  <bookViews>
    <workbookView xWindow="9510" yWindow="-90" windowWidth="19380" windowHeight="1038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<sst xmlns="http://schemas.openxmlformats.org/spreadsheetml/2006/main" count="431" uniqueCount="198">
  <si>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</si>
  <si>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</si>
  <si>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</si>
  <si>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</si>
  <si>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</si>
  <si>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</si>
  <si>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</si>
  <si>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</si>
  <si>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</si>
  <si>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</si>
  <si>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</si>
  <si>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</si>
  <si>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</si>
  <si>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</si>
  <si>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</si>
  <si>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</si>
  <si>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</si>
  <si>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</si>
  <si>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</si>
  <si>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</si>
  <si>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</si>
  <si>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</si>
  <si>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</si>
  <si>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</si>
  <si>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</si>
  <si>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</si>
  <si>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</si>
  <si>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</si>
  <si>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</si>
  <si>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</si>
  <si>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</si>
  <si>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</si>
  <si>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</si>
  <si>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</si>
  <si>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</si>
  <si>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</si>
  <si>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</si>
  <si>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</si>
  <si>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</si>
  <si>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</si>
  <si>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</si>
  <si>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</si>
  <si>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</si>
  <si>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</si>
  <si>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</si>
  <si>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</si>
  <si>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</si>
  <si>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</si>
  <si>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</si>
  <si>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</si>
  <si>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</si>
  <si>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</si>
  <si>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</si>
  <si>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</si>
  <si>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</si>
  <si>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</si>
  <si>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</si>
  <si>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</si>
  <si>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</si>
  <si>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</si>
  <si>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</si>
  <si>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</si>
  <si>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</si>
  <si>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</si>
  <si>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</si>
  <si>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</si>
  <si>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</si>
  <si>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</si>
  <si>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</si>
  <si>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</si>
  <si>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</si>
  <si>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</si>
  <si>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</si>
  <si>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</si>
  <si>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</si>
  <si>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</si>
  <si>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</si>
  <si>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</si>
  <si>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</si>
  <si>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</si>
  <si>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</si>
  <si>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</si>
  <si>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</si>
  <si>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</si>
  <si>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</si>
  <si>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</si>
  <si>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</si>
  <si>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</si>
  <si>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</si>
  <si>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</si>
  <si>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</si>
  <si>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</si>
  <si>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</si>
  <si>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</si>
  <si>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</si>
  <si>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</si>
  <si>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</si>
  <si>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</si>
  <si>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</si>
  <si>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</si>
  <si>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</si>
  <si>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</si>
  <si>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</si>
  <si>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</si>
  <si>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</si>
  <si>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</si>
  <si>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</si>
  <si>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</si>
  <si>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</si>
  <si>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</si>
  <si>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</si>
  <si>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</si>
  <si>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</si>
  <si>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</si>
  <si>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</si>
  <si>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</si>
  <si>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</si>
  <si>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</si>
  <si>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</si>
  <si>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</si>
  <si>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</si>
  <si>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</si>
  <si>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</si>
  <si>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</si>
  <si>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</si>
  <si>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</si>
  <si>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</si>
  <si>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</si>
  <si>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</si>
  <si>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</si>
  <si>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</si>
  <si>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</si>
  <si>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</si>
  <si>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</si>
  <si>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</si>
  <si>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</si>
  <si>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</si>
  <si>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</si>
  <si>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</si>
  <si>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</si>
  <si>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</si>
  <si>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</si>
  <si>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</si>
  <si>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</si>
  <si>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</si>
  <si>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</si>
  <si>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</si>
  <si>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</si>
  <si>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</si>
  <si>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</si>
  <si>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</si>
  <si>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</si>
  <si>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</si>
  <si>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</si>
  <si>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</si>
  <si>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</si>
  <si>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</si>
  <si>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</si>
  <si>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</si>
  <si>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</si>
  <si>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</si>
  <si>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</si>
  <si>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</si>
  <si>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</si>
  <si>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</si>
  <si>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</si>
  <si>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</si>
  <si>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</si>
  <si>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</si>
  <si>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</si>
  <si>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</si>
  <si>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</si>
  <si>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</si>
  <si>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</si>
  <si>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</si>
  <si>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</si>
  <si>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</si>
  <si>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</si>
  <si>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</si>
  <si>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</si>
  <si>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</si>
  <si>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</si>
  <si>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</si>
  <si>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</si>
  <si>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</si>
  <si>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</si>
  <si>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</si>
  <si>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</si>
  <si>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</si>
  <si>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</si>
  <si>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</si>
  <si>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</si>
  <si>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Josh Kingsley</t>
  </si>
  <si>
    <t>LUV Car Wash</t>
  </si>
  <si>
    <t>6750 W Flamingo Rd.</t>
  </si>
  <si>
    <t>Las Vegas, NV 89103</t>
  </si>
  <si>
    <t>Dirt Doctor Car Wash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</si>
  <si>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This proforma cannot account for the population density:# of competitors ratio.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</si>
</sst>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4" zoomScaleNormal="100" workbookViewId="0">
      <selection activeCell="E71" sqref="E7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196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0.52400000000000002</v>
      </c>
      <c r="F58" s="61">
        <f>-0.3*(0.55-E58)</f>
        <v>-7.8000000000000066E-3</v>
      </c>
    </row>
    <row r="59" spans="1:8" ht="15.75" x14ac:dyDescent="0.25">
      <c r="A59" s="83" t="s">
        <v>3</v>
      </c>
      <c r="B59" s="84"/>
      <c r="C59" s="84"/>
      <c r="D59" s="85"/>
      <c r="E59" s="45">
        <v>0.67800000000000005</v>
      </c>
      <c r="F59" s="61">
        <f>-0.75*(0.5-E59)</f>
        <v>0.13350000000000004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3.1425000000000008E-2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8.9187926470588232E-3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1.1771698369565219E-2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1.4249950657894738E-2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50002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133787.24098147059</v>
      </c>
      <c r="C74" s="68">
        <f>F65*A70*300</f>
        <v>176582.53856250003</v>
      </c>
      <c r="D74" s="68">
        <f>($F$54*(1+$F$61))/85*($A$70*(1+B$70))*300</f>
        <v>191124.62997352943</v>
      </c>
      <c r="E74" s="68">
        <f>($F$54*(1+$F$61))/82*($A$70*(1+C$70))*300</f>
        <v>198116.99448475611</v>
      </c>
      <c r="F74" s="68">
        <f>F66*(A70*(1+D70)*300)</f>
        <v>213757.8098388158</v>
      </c>
    </row>
    <row r="75" spans="1:6" ht="15.75" x14ac:dyDescent="0.25">
      <c r="A75" s="35" t="s">
        <v>105</v>
      </c>
      <c r="B75" s="68">
        <f>B74/12</f>
        <v>11148.936748455882</v>
      </c>
      <c r="C75" s="68">
        <f>C74/12</f>
        <v>14715.211546875003</v>
      </c>
      <c r="D75" s="68">
        <f t="shared" ref="D75:F75" si="0">D74/12</f>
        <v>15927.052497794119</v>
      </c>
      <c r="E75" s="68">
        <f t="shared" si="0"/>
        <v>16509.749540396344</v>
      </c>
      <c r="F75" s="68">
        <f t="shared" si="0"/>
        <v>17813.150819901315</v>
      </c>
    </row>
    <row r="76" spans="1:6" ht="15.75" x14ac:dyDescent="0.25">
      <c r="A76" s="35" t="s">
        <v>106</v>
      </c>
      <c r="B76" s="68">
        <f>B75/4.5/7*3</f>
        <v>1061.8034998529413</v>
      </c>
      <c r="C76" s="68">
        <f t="shared" ref="C76:F76" si="1">C75/4.5/7*3</f>
        <v>1401.4487187500004</v>
      </c>
      <c r="D76" s="68">
        <f t="shared" si="1"/>
        <v>1516.8621426470588</v>
      </c>
      <c r="E76" s="68">
        <f t="shared" si="1"/>
        <v>1572.3570990853664</v>
      </c>
      <c r="F76" s="68">
        <f t="shared" si="1"/>
        <v>1696.4905542763156</v>
      </c>
    </row>
    <row r="77" spans="1:6" ht="15.75" x14ac:dyDescent="0.25">
      <c r="A77" s="35" t="s">
        <v>107</v>
      </c>
      <c r="B77" s="68">
        <f>IFERROR((B76/$B9*1.3),0)</f>
        <v>115.02871248406863</v>
      </c>
      <c r="C77" s="68">
        <f t="shared" ref="C77:F77" si="2">IFERROR((C76/$B9*1.3),0)</f>
        <v>151.8236111979167</v>
      </c>
      <c r="D77" s="68">
        <f t="shared" si="2"/>
        <v>164.32673212009806</v>
      </c>
      <c r="E77" s="68">
        <f t="shared" si="2"/>
        <v>170.33868573424803</v>
      </c>
      <c r="F77" s="68">
        <f t="shared" si="2"/>
        <v>183.78647671326752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1" zoomScaleNormal="100" workbookViewId="0">
      <selection activeCell="L43" sqref="L4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Dirt Doctor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6750 W Flamingo Rd.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Las Vegas, NV 89103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Dirt Doctor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6750 W Flamingo Rd.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Las Vegas, NV 89103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2120.9619200904754</v>
      </c>
      <c r="J65" s="18">
        <f>'Input Form'!B75</f>
        <v>11148.936748455882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8483.8476803619014</v>
      </c>
      <c r="J70" s="20">
        <f t="shared" ref="J70:J73" si="0">J$65*F70*G70</f>
        <v>44595.74699382353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10180.617216434281</v>
      </c>
      <c r="J71" s="20">
        <f t="shared" si="0"/>
        <v>53514.896392588234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13998.348672597136</v>
      </c>
      <c r="J73" s="20">
        <f t="shared" si="0"/>
        <v>73582.982539808814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32662.813569393322</v>
      </c>
      <c r="J74" s="20">
        <f>SUM(J69:J73)</f>
        <v>171693.62592622059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-734.91330531134975</v>
      </c>
      <c r="J75" s="20">
        <f>-(J74*$F75*$G75)</f>
        <v>-3863.1065833399634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31927.900264081971</v>
      </c>
      <c r="J76" s="20">
        <f>SUM(J74:J75)</f>
        <v>167830.51934288061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15.0535</v>
      </c>
      <c r="J77" s="22">
        <f>J76/(J65+0.000000001)</f>
        <v>15.053499999998648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957.83700792245907</v>
      </c>
      <c r="J80" s="20">
        <f>$G80*J76</f>
        <v>5034.9155802864179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2709.5177178655017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14570.545436556993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319.27900264081973</v>
      </c>
      <c r="J82" s="20">
        <f>$G82*J76</f>
        <v>1678.3051934288062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3.0615856098111818E-2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0.63163572716014493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319.27900264081973</v>
      </c>
      <c r="J85" s="20">
        <f>$G85*J76</f>
        <v>1678.3051934288062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319.27900264081973</v>
      </c>
      <c r="J86" s="20">
        <f>$G86*J76</f>
        <v>1678.3051934288062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478.91850396122953</v>
      </c>
      <c r="J87" s="20">
        <f>$G87*J76</f>
        <v>2517.457790143209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319.27900264081973</v>
      </c>
      <c r="J88" s="20">
        <f>$G88*J76</f>
        <v>1678.3051934288062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6.1231712196223635E-2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319.27900264081973</v>
      </c>
      <c r="J90" s="20">
        <f>$G90*J76</f>
        <v>1678.3051934288062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2554.2320211265578</v>
      </c>
      <c r="J91" s="20">
        <f>$G91*J76</f>
        <v>13426.44154743045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31927.900264079843</v>
      </c>
      <c r="J92" s="20">
        <f>SUM(J80:J91)</f>
        <v>67571.886321561105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2.1282176021486521E-9</v>
      </c>
      <c r="J93" s="24">
        <f>J76-J92</f>
        <v>100258.6330213195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Dirt Doctor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6750 W Flamingo Rd.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Las Vegas, NV 89103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31927.900264081971</v>
      </c>
      <c r="H138" s="167"/>
      <c r="I138" s="167">
        <f>J76</f>
        <v>167830.51934288061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31927.900264079843</v>
      </c>
      <c r="H139" s="167"/>
      <c r="I139" s="167">
        <f>J92</f>
        <v>67571.886321561105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2.1282176021486521E-9</v>
      </c>
      <c r="H140" s="167"/>
      <c r="I140" s="167">
        <f>J93</f>
        <v>100258.6330213195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2.1282176021486521E-9</v>
      </c>
      <c r="H143" s="167"/>
      <c r="I143" s="167">
        <f>I140-I141-I142</f>
        <v>100258.6330213195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Dirt Doctor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6750 W Flamingo Rd.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Las Vegas, NV 89103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133787.24098147059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535148.96392588236</v>
      </c>
      <c r="J170" s="30">
        <f t="shared" ref="J170:J176" si="2">IFERROR((I170/I$174),0)</f>
        <v>0.25974025974025977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642178.75671105878</v>
      </c>
      <c r="J171" s="30">
        <f t="shared" si="2"/>
        <v>0.31168831168831174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882995.79047770577</v>
      </c>
      <c r="J173" s="30">
        <f t="shared" si="2"/>
        <v>0.4285714285714286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2060323.5111146467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-46357.27900007955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2013966.2321145672</v>
      </c>
      <c r="J176" s="30">
        <f t="shared" si="2"/>
        <v>0.97750000000000004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60418.986963437012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170912.49797081351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20139.662321145672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5.9583918581398356E-3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0.12292758242528296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20139.662321145672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20139.662321145672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30209.493481718506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20139.662321145672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1.1916783716279671E-2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20139.662321145672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161117.29856916537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806928.5885908627</v>
      </c>
      <c r="J190" s="30">
        <f t="shared" si="3"/>
        <v>0.40066639436333878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1207037.6435237045</v>
      </c>
      <c r="J191" s="30">
        <f t="shared" si="3"/>
        <v>0.59933360563666116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1207037.6435237045</v>
      </c>
      <c r="J196" s="30">
        <f t="shared" si="3"/>
        <v>0.59933360563666116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Dirt Doctor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6750 W Flamingo Rd.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Las Vegas, NV 89103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176582.53856250003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706330.15425000014</v>
      </c>
      <c r="J221" s="30">
        <f t="shared" ref="J221:J227" si="4">IFERROR((I221/I$225),0)</f>
        <v>0.25974025974025972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847596.18510000012</v>
      </c>
      <c r="J222" s="30">
        <f t="shared" si="4"/>
        <v>0.31168831168831168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1165444.7545125003</v>
      </c>
      <c r="J224" s="30">
        <f t="shared" si="4"/>
        <v>0.4285714285714286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2719371.0938625005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-61185.849611906262</v>
      </c>
      <c r="J226" s="30">
        <f t="shared" si="4"/>
        <v>-2.2499999999999999E-2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2658185.2442505942</v>
      </c>
      <c r="J227" s="30">
        <f t="shared" si="4"/>
        <v>0.97749999999999992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79745.557327517818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225583.26595526634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26581.852442505944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4.5143580666377097E-3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9.3135721272802591E-2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26581.852442505944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26581.852442505944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39872.778663758909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26581.852442505944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9.0287161332754193E-3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26581.852442505944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212654.81954004755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974337.68369912053</v>
      </c>
      <c r="J241" s="30">
        <f t="shared" si="5"/>
        <v>0.36654243183635216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1683847.5605514736</v>
      </c>
      <c r="J242" s="30">
        <f t="shared" si="5"/>
        <v>0.63345756816364784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1683847.5605514736</v>
      </c>
      <c r="J247" s="30">
        <f t="shared" si="5"/>
        <v>0.63345756816364784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Dirt Doctor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6750 W Flamingo Rd.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Las Vegas, NV 89103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191124.62997352943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764498.51989411772</v>
      </c>
      <c r="J272" s="30">
        <f t="shared" ref="J272:J278" si="7">IFERROR((I272/I$276),0)</f>
        <v>0.25974025974025977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917398.22387294122</v>
      </c>
      <c r="J273" s="30">
        <f t="shared" si="7"/>
        <v>0.31168831168831174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1261422.5578252941</v>
      </c>
      <c r="J275" s="30">
        <f t="shared" si="7"/>
        <v>0.4285714285714286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2943319.3015923528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-66224.684285827927</v>
      </c>
      <c r="J277" s="30">
        <f t="shared" si="7"/>
        <v>-2.2499999999999996E-2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2877094.6173065249</v>
      </c>
      <c r="J278" s="30">
        <f t="shared" si="7"/>
        <v>0.97750000000000004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86312.83851919575</v>
      </c>
      <c r="J280" s="30">
        <f>IFERROR((I280/I$278),0)</f>
        <v>3.0000000000000002E-2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244160.71138687644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28770.946173065251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4.1708743006978848E-3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8.6049307697698058E-2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28770.946173065251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28770.946173065251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43156.419259597875</v>
      </c>
      <c r="J287" s="30">
        <f t="shared" si="8"/>
        <v>1.5000000000000001E-2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28770.946173065251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8.3417486013957695E-3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28770.946173065251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230167.56938452201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1031224.2694155183</v>
      </c>
      <c r="J292" s="30">
        <f t="shared" si="8"/>
        <v>0.35842556696342809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1845870.3478910066</v>
      </c>
      <c r="J293" s="30">
        <f t="shared" si="8"/>
        <v>0.64157443303657191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1845870.3478910066</v>
      </c>
      <c r="J298" s="30">
        <f t="shared" si="8"/>
        <v>0.64157443303657191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Dirt Doctor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6750 W Flamingo Rd.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Las Vegas, NV 89103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198116.99448475611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792467.97793902457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950961.57352682925</v>
      </c>
      <c r="J324" s="30">
        <f t="shared" si="9"/>
        <v>0.31168831168831168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1307572.1635993903</v>
      </c>
      <c r="J326" s="30">
        <f t="shared" si="9"/>
        <v>0.42857142857142855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3051001.7150652441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-68647.538588967989</v>
      </c>
      <c r="J328" s="30">
        <f t="shared" si="9"/>
        <v>-2.2499999999999999E-2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2982354.176476276</v>
      </c>
      <c r="J329" s="30">
        <f t="shared" si="9"/>
        <v>0.97749999999999992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89470.625294288271</v>
      </c>
      <c r="J331" s="30">
        <f>IFERROR((I331/I$329),0)</f>
        <v>2.9999999999999995E-2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253093.42034005487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29823.541764762762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4.0236669724379587E-3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8.3012273308367537E-2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29823.541764762762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29823.541764762762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44735.312647144136</v>
      </c>
      <c r="J338" s="30">
        <f t="shared" si="10"/>
        <v>1.4999999999999998E-2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29823.541764762762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8.0473339448759174E-3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29823.541764762762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238588.3341181021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1058577.4012234029</v>
      </c>
      <c r="J343" s="30">
        <f t="shared" si="10"/>
        <v>0.35494691058931771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1923776.7752528731</v>
      </c>
      <c r="J344" s="30">
        <f t="shared" si="10"/>
        <v>0.64505308941068229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1923776.7752528731</v>
      </c>
      <c r="J349" s="30">
        <f t="shared" si="11"/>
        <v>0.64505308941068229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Dirt Doctor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6750 W Flamingo Rd.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Las Vegas, NV 89103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213757.8098388158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855031.23935526318</v>
      </c>
      <c r="J374" s="30">
        <f t="shared" ref="J374:J380" si="13">IFERROR((I374/I$378),0)</f>
        <v>0.25974025974025972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1026037.4872263158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1410801.5449361843</v>
      </c>
      <c r="J377" s="30">
        <f t="shared" si="13"/>
        <v>0.42857142857142855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3291870.2715177634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-74067.081109149673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3217803.1904086135</v>
      </c>
      <c r="J380" s="30">
        <f t="shared" si="13"/>
        <v>0.97749999999999992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96534.095712258408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273074.4798405855</v>
      </c>
      <c r="J383" s="30">
        <f t="shared" ref="J383:J395" si="14">IFERROR((I383/I$380),0)</f>
        <v>8.4863636363636349E-2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32178.031904086136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3.7292523159181083E-3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7.6938204529706497E-2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32178.031904086136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32178.031904086136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48267.047856129204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32178.031904086136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7.4585046318362165E-3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32178.031904086136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257424.25523268909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1119762.0381620927</v>
      </c>
      <c r="J394" s="30">
        <f t="shared" si="14"/>
        <v>0.34798959784109712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2098041.1522465209</v>
      </c>
      <c r="J395" s="30">
        <f t="shared" si="14"/>
        <v>0.65201040215890294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2098041.1522465209</v>
      </c>
      <c r="J400" s="30">
        <f t="shared" si="15"/>
        <v>0.65201040215890294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Dirt Doctor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6750 W Flamingo Rd.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Las Vegas, NV 89103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meN0gnDhd/sQXpdY9wyMkVCwKGpJl2WR4krOxRuEb4M6xD12Wzt+UiLH7htI0GBICMsG5kntrO4rSpbo594Diw==" saltValue="PBPYKa3WON2jRg/c9iVI2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2022-02-04T21:43:34Z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