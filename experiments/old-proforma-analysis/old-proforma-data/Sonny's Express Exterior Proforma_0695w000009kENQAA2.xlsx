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Alaska\Shannon Price\8215 Old Seward Hwy\"/>
    </mc:Choice>
  </mc:AlternateContent>
  <xr:revisionPtr revIDLastSave="0" documentId="8_{40F69245-C9A8-4263-8BF9-7D64CB1D187B}" xr6:coauthVersionLast="45" xr6:coauthVersionMax="45" xr10:uidLastSave="{00000000-0000-0000-0000-000000000000}"/>
  <workbookProtection workbookPassword="FB8D" lockStructure="1"/>
  <bookViews>
    <workbookView xWindow="574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<sst xmlns="http://schemas.openxmlformats.org/spreadsheetml/2006/main" count="434" uniqueCount="201">
  <si>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</si>
  <si>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</si>
  <si>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</si>
  <si>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</si>
  <si>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</si>
  <si>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</si>
  <si>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</si>
  <si>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</si>
  <si>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</si>
  <si>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</si>
  <si>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</si>
  <si>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</si>
  <si>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</si>
  <si>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</si>
  <si>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</si>
  <si>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</si>
  <si>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</si>
  <si>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</si>
  <si>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</si>
  <si>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</si>
  <si>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</si>
  <si>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</si>
  <si>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</si>
  <si>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</si>
  <si>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</si>
  <si>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</si>
  <si>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</si>
  <si>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</si>
  <si>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</si>
  <si>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</si>
  <si>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</si>
  <si>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</si>
  <si>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</si>
  <si>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</si>
  <si>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</si>
  <si>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</si>
  <si>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</si>
  <si>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</si>
  <si>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</si>
  <si>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</si>
  <si>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</si>
  <si>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</si>
  <si>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</si>
  <si>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</si>
  <si>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</si>
  <si>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</si>
  <si>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</si>
  <si>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</si>
  <si>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</si>
  <si>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</si>
  <si>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</si>
  <si>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</si>
  <si>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</si>
  <si>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</si>
  <si>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</si>
  <si>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</si>
  <si>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</si>
  <si>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</si>
  <si>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</si>
  <si>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</si>
  <si>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</si>
  <si>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</si>
  <si>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</si>
  <si>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</si>
  <si>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</si>
  <si>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</si>
  <si>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</si>
  <si>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</si>
  <si>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</si>
  <si>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</si>
  <si>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</si>
  <si>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</si>
  <si>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</si>
  <si>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</si>
  <si>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</si>
  <si>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</si>
  <si>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</si>
  <si>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</si>
  <si>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</si>
  <si>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</si>
  <si>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</si>
  <si>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</si>
  <si>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</si>
  <si>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</si>
  <si>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</si>
  <si>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</si>
  <si>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</si>
  <si>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</si>
  <si>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</si>
  <si>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</si>
  <si>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</si>
  <si>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</si>
  <si>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</si>
  <si>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</si>
  <si>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</si>
  <si>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</si>
  <si>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</si>
  <si>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</si>
  <si>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</si>
  <si>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</si>
  <si>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</si>
  <si>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</si>
  <si>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</si>
  <si>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</si>
  <si>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</si>
  <si>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</si>
  <si>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</si>
  <si>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</si>
  <si>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</si>
  <si>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</si>
  <si>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</si>
  <si>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</si>
  <si>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</si>
  <si>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</si>
  <si>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</si>
  <si>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</si>
  <si>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</si>
  <si>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</si>
  <si>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</si>
  <si>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</si>
  <si>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</si>
  <si>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</si>
  <si>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</si>
  <si>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</si>
  <si>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</si>
  <si>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</si>
  <si>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</si>
  <si>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</si>
  <si>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</si>
  <si>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</si>
  <si>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</si>
  <si>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</si>
  <si>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</si>
  <si>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</si>
  <si>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</si>
  <si>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</si>
  <si>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</si>
  <si>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</si>
  <si>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</si>
  <si>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</si>
  <si>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</si>
  <si>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</si>
  <si>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</si>
  <si>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</si>
  <si>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</si>
  <si>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</si>
  <si>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</si>
  <si>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</si>
  <si>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</si>
  <si>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</si>
  <si>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</si>
  <si>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</si>
  <si>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</si>
  <si>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</si>
  <si>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</si>
  <si>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</si>
  <si>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</si>
  <si>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</si>
  <si>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</si>
  <si>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</si>
  <si>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</si>
  <si>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</si>
  <si>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</si>
  <si>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</si>
  <si>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</si>
  <si>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</si>
  <si>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</si>
  <si>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</si>
  <si>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</si>
  <si>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</si>
  <si>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</si>
  <si>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</si>
  <si>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</si>
  <si>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</si>
  <si>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</si>
  <si>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</si>
  <si>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</si>
  <si>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</si>
  <si>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</si>
  <si>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</si>
  <si>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</si>
  <si>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</si>
  <si>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</si>
  <si>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</si>
  <si>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</si>
  <si>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</si>
  <si>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</si>
  <si>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</si>
  <si>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</si>
  <si>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</si>
  <si>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</si>
  <si>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</si>
  <si>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</si>
  <si>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</si>
  <si>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</si>
  <si>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</si>
  <si>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</si>
  <si>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Shannon Price</t>
  </si>
  <si>
    <t>Pink Elephant Car Wash</t>
  </si>
  <si>
    <t>8215 Old Seward Hwy.</t>
  </si>
  <si>
    <t>Anchorage, AK 99518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</si>
</sst>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0" zoomScaleNormal="100" workbookViewId="0">
      <selection activeCell="E23" sqref="E23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197</v>
      </c>
      <c r="C2" s="100"/>
      <c r="D2" s="101"/>
      <c r="E2" s="34"/>
      <c r="F2" s="34"/>
    </row>
    <row r="3" spans="1:9" ht="15.75" x14ac:dyDescent="0.25">
      <c r="A3" s="35" t="s">
        <v>15</v>
      </c>
      <c r="B3" s="99" t="s">
        <v>198</v>
      </c>
      <c r="C3" s="100"/>
      <c r="D3" s="101"/>
      <c r="E3" s="34"/>
      <c r="F3" s="34"/>
    </row>
    <row r="4" spans="1:9" ht="15.75" x14ac:dyDescent="0.25">
      <c r="A4" s="35" t="s">
        <v>13</v>
      </c>
      <c r="B4" s="99"/>
      <c r="C4" s="100"/>
      <c r="D4" s="101"/>
      <c r="E4" s="34"/>
      <c r="F4" s="34"/>
    </row>
    <row r="5" spans="1:9" ht="15.75" x14ac:dyDescent="0.25">
      <c r="A5" s="35" t="s">
        <v>14</v>
      </c>
      <c r="B5" s="99" t="s">
        <v>199</v>
      </c>
      <c r="C5" s="100"/>
      <c r="D5" s="101"/>
      <c r="E5" s="34"/>
      <c r="F5" s="34"/>
    </row>
    <row r="6" spans="1:9" ht="15.75" x14ac:dyDescent="0.25">
      <c r="A6" s="35" t="s">
        <v>16</v>
      </c>
      <c r="B6" s="99" t="s">
        <v>200</v>
      </c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12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16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19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23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12</v>
      </c>
      <c r="C27" s="47">
        <v>12</v>
      </c>
      <c r="D27" s="47">
        <v>12</v>
      </c>
      <c r="E27" s="47">
        <v>12</v>
      </c>
      <c r="F27" s="34"/>
    </row>
    <row r="28" spans="1:8" ht="15.75" x14ac:dyDescent="0.25">
      <c r="A28" s="43" t="s">
        <v>28</v>
      </c>
      <c r="B28" s="47">
        <v>16</v>
      </c>
      <c r="C28" s="47">
        <v>16</v>
      </c>
      <c r="D28" s="47">
        <v>16</v>
      </c>
      <c r="E28" s="47">
        <v>16</v>
      </c>
      <c r="F28" s="34"/>
    </row>
    <row r="29" spans="1:8" ht="15.75" x14ac:dyDescent="0.25">
      <c r="A29" s="43" t="s">
        <v>29</v>
      </c>
      <c r="B29" s="47">
        <v>19</v>
      </c>
      <c r="C29" s="47">
        <v>19</v>
      </c>
      <c r="D29" s="47">
        <v>19</v>
      </c>
      <c r="E29" s="47">
        <v>19</v>
      </c>
      <c r="F29" s="34"/>
    </row>
    <row r="30" spans="1:8" ht="15.75" x14ac:dyDescent="0.25">
      <c r="A30" s="43" t="s">
        <v>30</v>
      </c>
      <c r="B30" s="47">
        <v>23</v>
      </c>
      <c r="C30" s="47">
        <v>23</v>
      </c>
      <c r="D30" s="47">
        <v>23</v>
      </c>
      <c r="E30" s="47">
        <v>23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1.125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2.7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0.53200000000000003</v>
      </c>
      <c r="F58" s="61">
        <f>-0.3*(0.55-E58)</f>
        <v>-5.4000000000000046E-3</v>
      </c>
    </row>
    <row r="59" spans="1:8" ht="15.75" x14ac:dyDescent="0.25">
      <c r="A59" s="95" t="s">
        <v>3</v>
      </c>
      <c r="B59" s="96"/>
      <c r="C59" s="96"/>
      <c r="D59" s="97"/>
      <c r="E59" s="45">
        <v>0.86099999999999999</v>
      </c>
      <c r="F59" s="61">
        <f>-0.75*(0.5-E59)</f>
        <v>0.27074999999999999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6.6337499999999994E-2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9.8793033088235283E-3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1.3039453124999999E-2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1.5784601151315789E-2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18579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51393.321328897051</v>
      </c>
      <c r="C74" s="68">
        <f>F65*A70*280</f>
        <v>67832.799890625</v>
      </c>
      <c r="D74" s="68">
        <f>($F$54*(1+$F$61))/85*($A$70*(1+B$70))*280</f>
        <v>74153.220774551475</v>
      </c>
      <c r="E74" s="68">
        <f>($F$54*(1+$F$61))/82*($A$70*(1+C$70))*280</f>
        <v>76866.143485815555</v>
      </c>
      <c r="F74" s="68">
        <f>F66*(A70*(1+D70)*280)</f>
        <v>82934.52323469572</v>
      </c>
    </row>
    <row r="75" spans="1:6" ht="15.75" x14ac:dyDescent="0.25">
      <c r="A75" s="35" t="s">
        <v>106</v>
      </c>
      <c r="B75" s="68">
        <f>B74/12</f>
        <v>4282.7767774080876</v>
      </c>
      <c r="C75" s="68">
        <f>C74/12</f>
        <v>5652.7333242187497</v>
      </c>
      <c r="D75" s="68">
        <f t="shared" ref="D75:F75" si="0">D74/12</f>
        <v>6179.4350645459563</v>
      </c>
      <c r="E75" s="68">
        <f t="shared" si="0"/>
        <v>6405.511957151296</v>
      </c>
      <c r="F75" s="68">
        <f t="shared" si="0"/>
        <v>6911.210269557977</v>
      </c>
    </row>
    <row r="76" spans="1:6" ht="15.75" x14ac:dyDescent="0.25">
      <c r="A76" s="35" t="s">
        <v>107</v>
      </c>
      <c r="B76" s="68">
        <f>B75/4.5/7*3</f>
        <v>407.88350261029404</v>
      </c>
      <c r="C76" s="68">
        <f t="shared" ref="C76:F76" si="1">C75/4.5/7*3</f>
        <v>538.35555468749999</v>
      </c>
      <c r="D76" s="68">
        <f t="shared" si="1"/>
        <v>588.51762519485294</v>
      </c>
      <c r="E76" s="68">
        <f t="shared" si="1"/>
        <v>610.04875782393287</v>
      </c>
      <c r="F76" s="68">
        <f t="shared" si="1"/>
        <v>658.21050186266439</v>
      </c>
    </row>
    <row r="77" spans="1:6" ht="15.75" x14ac:dyDescent="0.25">
      <c r="A77" s="35" t="s">
        <v>108</v>
      </c>
      <c r="B77" s="68">
        <f>IFERROR((B76/$B9*1.3),0)</f>
        <v>44.187379449448528</v>
      </c>
      <c r="C77" s="68">
        <f t="shared" ref="C77:F77" si="2">IFERROR((C76/$B9*1.3),0)</f>
        <v>58.321851757812503</v>
      </c>
      <c r="D77" s="68">
        <f t="shared" si="2"/>
        <v>63.75607606277574</v>
      </c>
      <c r="E77" s="68">
        <f t="shared" si="2"/>
        <v>66.088615430926055</v>
      </c>
      <c r="F77" s="68">
        <f t="shared" si="2"/>
        <v>71.306137701788643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zoomScale="130" zoomScaleNormal="100" zoomScalePageLayoutView="130" workbookViewId="0">
      <selection activeCell="I99" sqref="I99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Shannon Price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Pink Elephant Car Wash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>
        <f>'Input Form'!B4</f>
        <v>0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8215 Old Seward Hwy.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 t="str">
        <f>'Input Form'!B6</f>
        <v>Anchorage, AK 99518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Shannon Price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 t="str">
        <f>CompanyName</f>
        <v>Pink Elephant Car Wash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>
        <f>AddressLine1</f>
        <v>0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8215 Old Seward Hwy.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 t="str">
        <f>AddressLine3</f>
        <v>Anchorage, AK 99518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1363.3612090757924</v>
      </c>
      <c r="J65" s="18">
        <f>'Input Form'!B75</f>
        <v>4282.7767774080876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12</v>
      </c>
      <c r="G69" s="140">
        <f>'Input Form'!D19</f>
        <v>0.5</v>
      </c>
      <c r="H69" s="141"/>
      <c r="I69" s="20">
        <f>IFERROR((I$65*G69*F69),0)</f>
        <v>8180.1672544547546</v>
      </c>
      <c r="J69" s="20">
        <f>J$65*F69*G69</f>
        <v>25696.660664448525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16</v>
      </c>
      <c r="G70" s="140">
        <f>'Input Form'!D20</f>
        <v>0.15</v>
      </c>
      <c r="H70" s="141"/>
      <c r="I70" s="20">
        <f>IFERROR((I$65*G70*F70),0)</f>
        <v>3272.0669017819018</v>
      </c>
      <c r="J70" s="20">
        <f t="shared" ref="J70:J73" si="0">J$65*F70*G70</f>
        <v>10278.664265779409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19</v>
      </c>
      <c r="G71" s="140">
        <f>'Input Form'!D21</f>
        <v>0.15</v>
      </c>
      <c r="H71" s="141"/>
      <c r="I71" s="20">
        <f>IFERROR((I$65*G71*F71),0)</f>
        <v>3885.5794458660084</v>
      </c>
      <c r="J71" s="20">
        <f t="shared" si="0"/>
        <v>12205.913815613048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23</v>
      </c>
      <c r="G72" s="140">
        <f>'Input Form'!D22</f>
        <v>0.2</v>
      </c>
      <c r="H72" s="141"/>
      <c r="I72" s="20">
        <f t="shared" ref="I72:I73" si="1">I$65*G72*F72</f>
        <v>6271.4615617486452</v>
      </c>
      <c r="J72" s="20">
        <f t="shared" si="0"/>
        <v>19700.773176077204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21609.275163851311</v>
      </c>
      <c r="J74" s="20">
        <f>SUM(J69:J73)</f>
        <v>67882.011921918194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-388.96695294932357</v>
      </c>
      <c r="J75" s="20">
        <f>-(J74*$F75*$G75)</f>
        <v>-1221.8762145945275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21220.308210901989</v>
      </c>
      <c r="J76" s="20">
        <f>SUM(J74:J75)</f>
        <v>66660.135707323672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15.564700000000002</v>
      </c>
      <c r="J77" s="22">
        <f>J76/(J65+0.000000001)</f>
        <v>15.564699999996368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636.60924632705962</v>
      </c>
      <c r="J80" s="20">
        <f>$G80*J76</f>
        <v>1999.8040712197101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3.9639116719242896E-2</v>
      </c>
      <c r="H81" s="163"/>
      <c r="I81" s="20">
        <f>G81*I76</f>
        <v>841.15427399025236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2690.7829937099532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212.2030821090199</v>
      </c>
      <c r="J82" s="20">
        <f>$G82*J76</f>
        <v>666.60135707323673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4.62764249340872E-2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0.63239511257926206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212.2030821090199</v>
      </c>
      <c r="J85" s="20">
        <f>$G85*J76</f>
        <v>666.60135707323673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212.2030821090199</v>
      </c>
      <c r="J86" s="20">
        <f>$G86*J76</f>
        <v>666.60135707323673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318.30462316352981</v>
      </c>
      <c r="J87" s="20">
        <f>$G87*J76</f>
        <v>999.90203560985503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212.2030821090199</v>
      </c>
      <c r="J88" s="20">
        <f>$G88*J76</f>
        <v>666.60135707323673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9.25528498681744E-2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212.2030821090199</v>
      </c>
      <c r="J90" s="20">
        <f>$G90*J76</f>
        <v>666.60135707323673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1697.6246568721592</v>
      </c>
      <c r="J91" s="20">
        <f>$G91*J76</f>
        <v>5332.8108565858938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21220.3082108981</v>
      </c>
      <c r="J92" s="20">
        <f>SUM(J80:J91)</f>
        <v>31021.906742491592</v>
      </c>
      <c r="K92" s="10"/>
    </row>
    <row r="93" spans="1:12" x14ac:dyDescent="0.2">
      <c r="A93" s="10"/>
      <c r="B93" s="115" t="s">
        <v>196</v>
      </c>
      <c r="C93" s="115"/>
      <c r="D93" s="115"/>
      <c r="E93" s="115"/>
      <c r="F93" s="115"/>
      <c r="G93" s="115"/>
      <c r="H93" s="115"/>
      <c r="I93" s="24">
        <f>I76-I92</f>
        <v>3.8889993447810411E-9</v>
      </c>
      <c r="J93" s="24">
        <f>J76-J92</f>
        <v>35638.22896483208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Shannon Price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 t="str">
        <f>CompanyName</f>
        <v>Pink Elephant Car Wash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>
        <f>AddressLine1</f>
        <v>0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8215 Old Seward Hwy.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 t="str">
        <f>AddressLine3</f>
        <v>Anchorage, AK 99518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7.4999999999999997E-2</v>
      </c>
      <c r="F125" s="153"/>
      <c r="G125" s="141">
        <f>'Input Form'!D89</f>
        <v>300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0</v>
      </c>
      <c r="D126" s="141"/>
      <c r="E126" s="152">
        <f>'Input Form'!C90</f>
        <v>7.4999999999999997E-2</v>
      </c>
      <c r="F126" s="153"/>
      <c r="G126" s="141">
        <f>'Input Form'!D90</f>
        <v>300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7.4999999999999997E-2</v>
      </c>
      <c r="F128" s="153"/>
      <c r="G128" s="141">
        <f>'Input Form'!D92</f>
        <v>300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21220.308210901989</v>
      </c>
      <c r="H138" s="146"/>
      <c r="I138" s="146">
        <f>J76</f>
        <v>66660.135707323672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21220.3082108981</v>
      </c>
      <c r="H139" s="146"/>
      <c r="I139" s="146">
        <f>J92</f>
        <v>31021.906742491592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3.8889993447810411E-9</v>
      </c>
      <c r="H140" s="146"/>
      <c r="I140" s="146">
        <f>J93</f>
        <v>35638.22896483208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3.8889993447810411E-9</v>
      </c>
      <c r="H143" s="146"/>
      <c r="I143" s="146">
        <f>I140-I141-I142</f>
        <v>35638.22896483208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Shannon Price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 t="str">
        <f>CompanyName</f>
        <v>Pink Elephant Car Wash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>
        <f>AddressLine1</f>
        <v>0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8215 Old Seward Hwy.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 t="str">
        <f>AddressLine3</f>
        <v>Anchorage, AK 99518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51393.321328897051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12</v>
      </c>
      <c r="G169" s="140">
        <f>'Input Form'!$D$19</f>
        <v>0.5</v>
      </c>
      <c r="H169" s="141"/>
      <c r="I169" s="20">
        <f>I$166*F169*G169</f>
        <v>308359.92797338229</v>
      </c>
      <c r="J169" s="30">
        <f>IFERROR((I169/I$174),0)</f>
        <v>0.37854889589905361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16</v>
      </c>
      <c r="G170" s="140">
        <f>'Input Form'!$D$20</f>
        <v>0.15</v>
      </c>
      <c r="H170" s="141"/>
      <c r="I170" s="20">
        <f>I$166*F170*G170</f>
        <v>123343.97118935292</v>
      </c>
      <c r="J170" s="30">
        <f t="shared" ref="J170:J176" si="2">IFERROR((I170/I$174),0)</f>
        <v>0.15141955835962145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19</v>
      </c>
      <c r="G171" s="140">
        <f>'Input Form'!$D$21</f>
        <v>0.15</v>
      </c>
      <c r="H171" s="141"/>
      <c r="I171" s="20">
        <f>I$166*F171*G171</f>
        <v>146470.9657873566</v>
      </c>
      <c r="J171" s="30">
        <f t="shared" si="2"/>
        <v>0.17981072555205049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23</v>
      </c>
      <c r="G172" s="140">
        <f>'Input Form'!$D$22</f>
        <v>0.2</v>
      </c>
      <c r="H172" s="141"/>
      <c r="I172" s="20">
        <f>I$166*F172*G172</f>
        <v>236409.27811292643</v>
      </c>
      <c r="J172" s="30">
        <f t="shared" si="2"/>
        <v>0.29022082018927448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814584.14306301821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-14662.514575134328</v>
      </c>
      <c r="J175" s="30">
        <f t="shared" si="2"/>
        <v>-1.7999999999999999E-2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799921.62848788383</v>
      </c>
      <c r="J176" s="30">
        <f t="shared" si="2"/>
        <v>0.98199999999999998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23997.648854636514</v>
      </c>
      <c r="J178" s="30">
        <f>IFERROR((I178/I$176),0)</f>
        <v>0.03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31708.186797878079</v>
      </c>
      <c r="J179" s="30">
        <f t="shared" ref="J179:J196" si="3">IFERROR((I179/I$176),0)</f>
        <v>3.9639116719242896E-2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7999.2162848788385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1.5001469609821608E-2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0.20500408309997817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7999.2162848788385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7999.2162848788385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11998.824427318257</v>
      </c>
      <c r="J185" s="30">
        <f t="shared" si="3"/>
        <v>1.4999999999999999E-2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7999.2162848788385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3.0002939219643216E-2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7999.2162848788385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63993.730279030708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371681.67178325774</v>
      </c>
      <c r="J190" s="30">
        <f t="shared" si="3"/>
        <v>0.46464760864868587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428239.95670462609</v>
      </c>
      <c r="J191" s="30">
        <f t="shared" si="3"/>
        <v>0.53535239135131407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428239.95670462609</v>
      </c>
      <c r="J196" s="30">
        <f t="shared" si="3"/>
        <v>0.53535239135131407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Shannon Price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 t="str">
        <f>CompanyName</f>
        <v>Pink Elephant Car Wash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>
        <f>AddressLine1</f>
        <v>0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8215 Old Seward Hwy.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 t="str">
        <f>AddressLine3</f>
        <v>Anchorage, AK 99518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67832.799890625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12</v>
      </c>
      <c r="G220" s="140">
        <f>'Input Form'!$D$19</f>
        <v>0.5</v>
      </c>
      <c r="H220" s="141"/>
      <c r="I220" s="20">
        <f>I$217*F220*G220</f>
        <v>406996.79934375</v>
      </c>
      <c r="J220" s="30">
        <f>IFERROR((I220/I$225),0)</f>
        <v>0.37854889589905361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16</v>
      </c>
      <c r="G221" s="140">
        <f>'Input Form'!$D$20</f>
        <v>0.15</v>
      </c>
      <c r="H221" s="141"/>
      <c r="I221" s="20">
        <f>I$217*F221*G221</f>
        <v>162798.71973749998</v>
      </c>
      <c r="J221" s="30">
        <f t="shared" ref="J221:J227" si="4">IFERROR((I221/I$225),0)</f>
        <v>0.15141955835962143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19</v>
      </c>
      <c r="G222" s="140">
        <f>'Input Form'!$D$21</f>
        <v>0.15</v>
      </c>
      <c r="H222" s="141"/>
      <c r="I222" s="20">
        <f>I$217*F222*G222</f>
        <v>193323.47968828122</v>
      </c>
      <c r="J222" s="30">
        <f t="shared" si="4"/>
        <v>0.17981072555205044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23</v>
      </c>
      <c r="G223" s="140">
        <f>'Input Form'!$D$22</f>
        <v>0.2</v>
      </c>
      <c r="H223" s="141"/>
      <c r="I223" s="20">
        <f>I$217*F223*G223</f>
        <v>312030.87949687499</v>
      </c>
      <c r="J223" s="30">
        <f t="shared" si="4"/>
        <v>0.29022082018927442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1075149.8782664062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-19352.69780879531</v>
      </c>
      <c r="J226" s="30">
        <f t="shared" si="4"/>
        <v>-1.7999999999999999E-2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1055797.1804576109</v>
      </c>
      <c r="J227" s="30">
        <f t="shared" si="4"/>
        <v>0.98199999999999998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31673.915413728326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41850.867668006795</v>
      </c>
      <c r="J230" s="30">
        <f t="shared" ref="J230:J247" si="5">IFERROR((I230/I$227),0)</f>
        <v>3.9639116719242896E-2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10557.971804576109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1.1365819327911898E-2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0.15532074060751286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10557.971804576109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10557.971804576109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15836.957706864163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10557.971804576109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2.2731638655823797E-2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10557.971804576109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84463.774436608874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426602.57424808876</v>
      </c>
      <c r="J241" s="30">
        <f t="shared" si="5"/>
        <v>0.40405731531049149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629194.60620952211</v>
      </c>
      <c r="J242" s="30">
        <f t="shared" si="5"/>
        <v>0.59594268468950851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629194.60620952211</v>
      </c>
      <c r="J247" s="30">
        <f t="shared" si="5"/>
        <v>0.59594268468950851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Shannon Price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 t="str">
        <f>CompanyName</f>
        <v>Pink Elephant Car Wash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>
        <f>AddressLine1</f>
        <v>0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8215 Old Seward Hwy.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 t="str">
        <f>AddressLine3</f>
        <v>Anchorage, AK 99518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74153.220774551475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12</v>
      </c>
      <c r="G271" s="140">
        <f>'Input Form'!$D$19</f>
        <v>0.5</v>
      </c>
      <c r="H271" s="141"/>
      <c r="I271" s="20">
        <f>I$268*F271*G271</f>
        <v>444919.32464730885</v>
      </c>
      <c r="J271" s="30">
        <f>IFERROR((I271/I$276),0)</f>
        <v>0.37854889589905361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16</v>
      </c>
      <c r="G272" s="140">
        <f>'Input Form'!$D$20</f>
        <v>0.15</v>
      </c>
      <c r="H272" s="141"/>
      <c r="I272" s="20">
        <f t="shared" ref="I272:I275" si="6">I$268*F272*G272</f>
        <v>177967.72985892353</v>
      </c>
      <c r="J272" s="30">
        <f t="shared" ref="J272:J278" si="7">IFERROR((I272/I$276),0)</f>
        <v>0.15141955835962145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19</v>
      </c>
      <c r="G273" s="140">
        <f>'Input Form'!$D$21</f>
        <v>0.15</v>
      </c>
      <c r="H273" s="141"/>
      <c r="I273" s="20">
        <f t="shared" si="6"/>
        <v>211336.67920747169</v>
      </c>
      <c r="J273" s="30">
        <f t="shared" si="7"/>
        <v>0.17981072555205047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23</v>
      </c>
      <c r="G274" s="140">
        <f>'Input Form'!$D$22</f>
        <v>0.2</v>
      </c>
      <c r="H274" s="141"/>
      <c r="I274" s="20">
        <f t="shared" si="6"/>
        <v>341104.81556293683</v>
      </c>
      <c r="J274" s="30">
        <f t="shared" si="7"/>
        <v>0.29022082018927448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1175328.5492766409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-21155.913886979535</v>
      </c>
      <c r="J277" s="30">
        <f t="shared" si="7"/>
        <v>-1.7999999999999999E-2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1154172.6353896614</v>
      </c>
      <c r="J278" s="30">
        <f t="shared" si="7"/>
        <v>0.9820000000000001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34625.179061689843</v>
      </c>
      <c r="J280" s="30">
        <f>IFERROR((I280/I$278),0)</f>
        <v>3.0000000000000002E-2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45750.383808366962</v>
      </c>
      <c r="J281" s="30">
        <f t="shared" ref="J281:J298" si="8">IFERROR((I281/I$278),0)</f>
        <v>3.9639116719242896E-2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11541.726353896614</v>
      </c>
      <c r="J282" s="30">
        <f t="shared" si="8"/>
        <v>0.01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1.0397058145420912E-2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0.14208203779206402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11541.726353896614</v>
      </c>
      <c r="J285" s="30">
        <f t="shared" si="8"/>
        <v>0.01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11541.726353896614</v>
      </c>
      <c r="J286" s="30">
        <f t="shared" si="8"/>
        <v>0.01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17312.589530844922</v>
      </c>
      <c r="J287" s="30">
        <f t="shared" si="8"/>
        <v>1.5000000000000001E-2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11541.726353896614</v>
      </c>
      <c r="J288" s="30">
        <f t="shared" si="8"/>
        <v>0.01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2.0794116290841824E-2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11541.726353896614</v>
      </c>
      <c r="J290" s="30">
        <f t="shared" si="8"/>
        <v>0.01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92333.810831172916</v>
      </c>
      <c r="J291" s="30">
        <f t="shared" si="8"/>
        <v>0.08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447717.79500155774</v>
      </c>
      <c r="J292" s="30">
        <f t="shared" si="8"/>
        <v>0.38791232894756966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706454.84038810362</v>
      </c>
      <c r="J293" s="30">
        <f t="shared" si="8"/>
        <v>0.61208767105243023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706454.84038810362</v>
      </c>
      <c r="J298" s="30">
        <f t="shared" si="8"/>
        <v>0.61208767105243023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Shannon Price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 t="str">
        <f>CompanyName</f>
        <v>Pink Elephant Car Wash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>
        <f>AddressLine1</f>
        <v>0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8215 Old Seward Hwy.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 t="str">
        <f>AddressLine3</f>
        <v>Anchorage, AK 99518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76866.143485815555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12</v>
      </c>
      <c r="G322" s="140">
        <f>'Input Form'!$D$19</f>
        <v>0.5</v>
      </c>
      <c r="H322" s="141"/>
      <c r="I322" s="20">
        <f>I$319*F322*G322</f>
        <v>461196.86091489333</v>
      </c>
      <c r="J322" s="30">
        <f>IFERROR((I322/I$327),0)</f>
        <v>0.37854889589905361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16</v>
      </c>
      <c r="G323" s="140">
        <f>'Input Form'!$D$20</f>
        <v>0.15</v>
      </c>
      <c r="H323" s="141"/>
      <c r="I323" s="20">
        <f>I$319*F323*G323</f>
        <v>184478.74436595733</v>
      </c>
      <c r="J323" s="30">
        <f t="shared" ref="J323:J329" si="9">IFERROR((I323/I$327),0)</f>
        <v>0.15141955835962145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19</v>
      </c>
      <c r="G324" s="140">
        <f>'Input Form'!$D$21</f>
        <v>0.15</v>
      </c>
      <c r="H324" s="141"/>
      <c r="I324" s="20">
        <f>I$319*F324*G324</f>
        <v>219068.50893457435</v>
      </c>
      <c r="J324" s="30">
        <f t="shared" si="9"/>
        <v>0.17981072555205047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23</v>
      </c>
      <c r="G325" s="140">
        <f>'Input Form'!$D$22</f>
        <v>0.2</v>
      </c>
      <c r="H325" s="141"/>
      <c r="I325" s="20">
        <f>I$319*F325*G325</f>
        <v>353584.26003475161</v>
      </c>
      <c r="J325" s="30">
        <f t="shared" si="9"/>
        <v>0.29022082018927448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1218328.3742501766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-21929.910736503178</v>
      </c>
      <c r="J328" s="30">
        <f t="shared" si="9"/>
        <v>-1.7999999999999999E-2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1196398.4635136735</v>
      </c>
      <c r="J329" s="30">
        <f t="shared" si="9"/>
        <v>0.9820000000000001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35891.953905410206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47424.178337941368</v>
      </c>
      <c r="J332" s="30">
        <f t="shared" ref="J332:J344" si="10">IFERROR((I332/I$329),0)</f>
        <v>3.9639116719242896E-2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11963.984635136736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1.0030103152053115E-2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0.13706737763469706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11963.984635136736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11963.984635136736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17945.976952705103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11963.984635136736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2.006020630410623E-2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11963.984635136736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95711.877081093888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456781.10945283424</v>
      </c>
      <c r="J343" s="30">
        <f t="shared" si="10"/>
        <v>0.38179680381009928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739617.35406083928</v>
      </c>
      <c r="J344" s="30">
        <f t="shared" si="10"/>
        <v>0.61820319618990072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739617.35406083928</v>
      </c>
      <c r="J349" s="30">
        <f t="shared" si="11"/>
        <v>0.61820319618990072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Shannon Price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 t="str">
        <f>CompanyName</f>
        <v>Pink Elephant Car Wash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>
        <f>AddressLine1</f>
        <v>0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8215 Old Seward Hwy.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 t="str">
        <f>AddressLine3</f>
        <v>Anchorage, AK 99518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82934.52323469572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12</v>
      </c>
      <c r="G373" s="140">
        <f>'Input Form'!$D$19</f>
        <v>0.5</v>
      </c>
      <c r="H373" s="141"/>
      <c r="I373" s="20">
        <f>I$370*F373*G373</f>
        <v>497607.13940817432</v>
      </c>
      <c r="J373" s="30">
        <f>IFERROR((I373/I$378),0)</f>
        <v>0.37854889589905366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16</v>
      </c>
      <c r="G374" s="140">
        <f>'Input Form'!$D$20</f>
        <v>0.15</v>
      </c>
      <c r="H374" s="141"/>
      <c r="I374" s="20">
        <f t="shared" ref="I374:I377" si="12">I$370*F374*G374</f>
        <v>199042.85576326973</v>
      </c>
      <c r="J374" s="30">
        <f t="shared" ref="J374:J380" si="13">IFERROR((I374/I$378),0)</f>
        <v>0.15141955835962148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19</v>
      </c>
      <c r="G375" s="140">
        <f>'Input Form'!$D$21</f>
        <v>0.15</v>
      </c>
      <c r="H375" s="141"/>
      <c r="I375" s="20">
        <f t="shared" si="12"/>
        <v>236363.39121888281</v>
      </c>
      <c r="J375" s="30">
        <f t="shared" si="13"/>
        <v>0.17981072555205049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23</v>
      </c>
      <c r="G376" s="140">
        <f>'Input Form'!$D$22</f>
        <v>0.2</v>
      </c>
      <c r="H376" s="141"/>
      <c r="I376" s="20">
        <f t="shared" si="12"/>
        <v>381498.80687960034</v>
      </c>
      <c r="J376" s="30">
        <f t="shared" si="13"/>
        <v>0.29022082018927448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1314512.1932699271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-23661.219478858686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1290850.9737910684</v>
      </c>
      <c r="J380" s="30">
        <f t="shared" si="13"/>
        <v>0.9820000000000001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38725.52921373205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51168.19241725251</v>
      </c>
      <c r="J383" s="30">
        <f t="shared" ref="J383:J395" si="14">IFERROR((I383/I$380),0)</f>
        <v>3.9639116719242896E-2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12908.509737910685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9.296193165317523E-3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0.12703805731996315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12908.509737910685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12908.509737910685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19362.764606866025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12908.509737910685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1.8592386330635046E-2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12908.509737910685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103268.07790328548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477054.3128306896</v>
      </c>
      <c r="J394" s="30">
        <f t="shared" si="14"/>
        <v>0.36956575353515869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813796.66096037882</v>
      </c>
      <c r="J395" s="30">
        <f t="shared" si="14"/>
        <v>0.63043424646484125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813796.66096037882</v>
      </c>
      <c r="J400" s="30">
        <f t="shared" si="15"/>
        <v>0.63043424646484125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Shannon Price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 t="str">
        <f>CompanyName</f>
        <v>Pink Elephant Car Wash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>
        <f>AddressLine1</f>
        <v>0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8215 Old Seward Hwy.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 t="str">
        <f>AddressLine3</f>
        <v>Anchorage, AK 99518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algorithmName="SHA-512" hashValue="YpUWtSdGT+BbPs8mPloPhtrJ9G/eZnDj2TBrOSXd9npRb7WkNnv6PHabUXAooy9kVQ1Vb5W7yAACriaPQBJBWw==" saltValue="PciRJD5S2NJLys32HGIH5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2020-02-17T21:38:51Z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