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nysdirect-my.sharepoint.com/personal/ainge_sonnysdirect_com/Documents/Desktop/Demos SA Ep (2024)/"/>
    </mc:Choice>
  </mc:AlternateContent>
  <xr:revisionPtr revIDLastSave="0" documentId="8_{54802B6B-9494-4737-BEC0-4146273E6ACC}" xr6:coauthVersionLast="47" xr6:coauthVersionMax="47" xr10:uidLastSave="{00000000-0000-0000-0000-000000000000}"/>
  <workbookProtection workbookPassword="FB8D" lockStructure="1"/>
  <bookViews>
    <workbookView xWindow="-28920" yWindow="-45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0" i="2" l="1"/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<sst xmlns="http://schemas.openxmlformats.org/spreadsheetml/2006/main" count="461" uniqueCount="203">
  <si>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</si>
  <si>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</si>
  <si>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</si>
  <si>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</si>
  <si>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</si>
  <si>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</si>
  <si>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</si>
  <si>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</si>
  <si>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</si>
  <si>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</si>
  <si>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</si>
  <si>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</si>
  <si>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</si>
  <si>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</si>
  <si>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</si>
  <si>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</si>
  <si>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</si>
  <si>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</si>
  <si>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</si>
  <si>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</si>
  <si>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</si>
  <si>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</si>
  <si>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</si>
  <si>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</si>
  <si>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</si>
  <si>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</si>
  <si>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</si>
  <si>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</si>
  <si>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</si>
  <si>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</si>
  <si>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</si>
  <si>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</si>
  <si>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</si>
  <si>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</si>
  <si>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</si>
  <si>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</si>
  <si>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</si>
  <si>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</si>
  <si>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</si>
  <si>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</si>
  <si>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</si>
  <si>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</si>
  <si>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</si>
  <si>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</si>
  <si>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</si>
  <si>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</si>
  <si>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</si>
  <si>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</si>
  <si>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</si>
  <si>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</si>
  <si>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</si>
  <si>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</si>
  <si>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</si>
  <si>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</si>
  <si>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</si>
  <si>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</si>
  <si>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</si>
  <si>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</si>
  <si>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</si>
  <si>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</si>
  <si>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</si>
  <si>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</si>
  <si>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</si>
  <si>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</si>
  <si>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</si>
  <si>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</si>
  <si>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</si>
  <si>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</si>
  <si>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</si>
  <si>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</si>
  <si>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</si>
  <si>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</si>
  <si>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</si>
  <si>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</si>
  <si>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</si>
  <si>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</si>
  <si>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</si>
  <si>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</si>
  <si>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</si>
  <si>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</si>
  <si>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</si>
  <si>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</si>
  <si>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</si>
  <si>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</si>
  <si>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</si>
  <si>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</si>
  <si>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</si>
  <si>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</si>
  <si>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</si>
  <si>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</si>
  <si>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</si>
  <si>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</si>
  <si>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</si>
  <si>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</si>
  <si>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</si>
  <si>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</si>
  <si>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</si>
  <si>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</si>
  <si>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</si>
  <si>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</si>
  <si>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</si>
  <si>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</si>
  <si>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</si>
  <si>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</si>
  <si>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</si>
  <si>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</si>
  <si>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</si>
  <si>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</si>
  <si>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</si>
  <si>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</si>
  <si>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</si>
  <si>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</si>
  <si>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</si>
  <si>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</si>
  <si>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</si>
  <si>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</si>
  <si>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</si>
  <si>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</si>
  <si>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</si>
  <si>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</si>
  <si>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</si>
  <si>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</si>
  <si>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</si>
  <si>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</si>
  <si>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</si>
  <si>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</si>
  <si>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</si>
  <si>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</si>
  <si>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</si>
  <si>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</si>
  <si>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</si>
  <si>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</si>
  <si>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</si>
  <si>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</si>
  <si>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</si>
  <si>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</si>
  <si>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</si>
  <si>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</si>
  <si>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</si>
  <si>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</si>
  <si>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</si>
  <si>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</si>
  <si>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</si>
  <si>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</si>
  <si>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</si>
  <si>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</si>
  <si>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</si>
  <si>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</si>
  <si>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</si>
  <si>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</si>
  <si>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</si>
  <si>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</si>
  <si>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</si>
  <si>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</si>
  <si>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</si>
  <si>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</si>
  <si>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</si>
  <si>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</si>
  <si>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</si>
  <si>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</si>
  <si>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</si>
  <si>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</si>
  <si>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</si>
  <si>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</si>
  <si>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</si>
  <si>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</si>
  <si>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</si>
  <si>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</si>
  <si>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</si>
  <si>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</si>
  <si>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</si>
  <si>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</si>
  <si>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</si>
  <si>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</si>
  <si>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</si>
  <si>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</si>
  <si>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</si>
  <si>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</si>
  <si>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</si>
  <si>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</si>
  <si>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</si>
  <si>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</si>
  <si>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</si>
  <si>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</si>
  <si>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</si>
  <si>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</si>
  <si>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</si>
  <si>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</si>
  <si>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</si>
  <si>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</si>
  <si>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</si>
  <si>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</si>
  <si>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</si>
  <si>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</si>
  <si>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</si>
  <si>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</si>
  <si>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 </t>
  </si>
  <si>
    <t>REV3/27/24</t>
  </si>
  <si>
    <r>
      <rPr>
        <sz val="9"/>
        <rFont val="Calibri"/>
        <family val="2"/>
        <scheme val="minor"/>
      </rP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  </r>
    <r>
      <rPr>
        <sz val="10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>The proforma does not include additional volume or income generated from a Monthly unlimited Program.  This proforma cannnot account market tunnel competition ratio.</t>
    </r>
    <r>
      <rPr>
        <sz val="10"/>
        <rFont val="Calibri"/>
        <family val="2"/>
        <scheme val="minor"/>
      </rPr>
      <t xml:space="preserve"> </t>
    </r>
  </si>
  <si>
    <t>Todd Oberle</t>
  </si>
  <si>
    <t>Scrubs Car Wash</t>
  </si>
  <si>
    <t>3361 Buford Drive</t>
  </si>
  <si>
    <t>Buford GA 30519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</si>
</sst>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Arial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6" fillId="0" borderId="0" xfId="0" applyFont="1"/>
    <xf numFmtId="0" fontId="0" fillId="0" borderId="2" xfId="0" applyBorder="1"/>
    <xf numFmtId="0" fontId="7" fillId="0" borderId="0" xfId="0" applyFont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5" fontId="7" fillId="0" borderId="0" xfId="0" applyNumberFormat="1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11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7" fillId="0" borderId="0" xfId="0" applyFont="1"/>
    <xf numFmtId="0" fontId="20" fillId="0" borderId="0" xfId="0" applyFont="1" applyProtection="1"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locked="0" hidden="1"/>
    </xf>
    <xf numFmtId="0" fontId="1" fillId="2" borderId="2" xfId="0" applyFont="1" applyFill="1" applyBorder="1" applyAlignment="1" applyProtection="1">
      <alignment horizontal="center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622148</xdr:colOff>
      <xdr:row>25</xdr:row>
      <xdr:rowOff>133291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="110" zoomScaleNormal="110" workbookViewId="0">
      <selection activeCell="B86" sqref="B86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5546875" customWidth="1"/>
    <col min="8" max="8" width="56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87" t="s">
        <v>41</v>
      </c>
      <c r="B1" s="87"/>
      <c r="C1" s="87"/>
      <c r="D1" s="87"/>
      <c r="E1" s="31"/>
      <c r="F1" s="73" t="s">
        <v>197</v>
      </c>
    </row>
    <row r="2" spans="1:9" ht="15.6" x14ac:dyDescent="0.3">
      <c r="A2" s="32" t="s">
        <v>12</v>
      </c>
      <c r="B2" s="83" t="s">
        <v>199</v>
      </c>
      <c r="C2" s="84"/>
      <c r="D2" s="85"/>
      <c r="E2" s="31"/>
      <c r="F2" s="31"/>
    </row>
    <row r="3" spans="1:9" ht="15.6" x14ac:dyDescent="0.3">
      <c r="A3" s="32" t="s">
        <v>15</v>
      </c>
      <c r="B3" s="83" t="s">
        <v>200</v>
      </c>
      <c r="C3" s="84"/>
      <c r="D3" s="85"/>
      <c r="E3" s="31"/>
      <c r="F3" s="31"/>
    </row>
    <row r="4" spans="1:9" ht="15.6" x14ac:dyDescent="0.3">
      <c r="A4" s="32" t="s">
        <v>13</v>
      </c>
      <c r="B4" s="83" t="s">
        <v>196</v>
      </c>
      <c r="C4" s="84"/>
      <c r="D4" s="85"/>
      <c r="E4" s="31"/>
      <c r="F4" s="31"/>
    </row>
    <row r="5" spans="1:9" ht="15.6" x14ac:dyDescent="0.3">
      <c r="A5" s="32" t="s">
        <v>14</v>
      </c>
      <c r="B5" s="83" t="s">
        <v>201</v>
      </c>
      <c r="C5" s="84"/>
      <c r="D5" s="85"/>
      <c r="E5" s="31"/>
      <c r="F5" s="31"/>
    </row>
    <row r="6" spans="1:9" ht="15.6" x14ac:dyDescent="0.3">
      <c r="A6" s="32" t="s">
        <v>16</v>
      </c>
      <c r="B6" s="83" t="s">
        <v>202</v>
      </c>
      <c r="C6" s="84"/>
      <c r="D6" s="85"/>
      <c r="E6" s="31"/>
      <c r="F6" s="31"/>
    </row>
    <row r="7" spans="1:9" ht="15.6" x14ac:dyDescent="0.3">
      <c r="A7" s="33"/>
      <c r="B7" s="34"/>
      <c r="C7" s="34"/>
      <c r="D7" s="34"/>
      <c r="E7" s="31"/>
      <c r="F7" s="31"/>
    </row>
    <row r="8" spans="1:9" ht="31.2" x14ac:dyDescent="0.3">
      <c r="A8" s="35" t="s">
        <v>52</v>
      </c>
      <c r="B8" s="36" t="s">
        <v>109</v>
      </c>
      <c r="C8" s="31"/>
      <c r="D8" s="31"/>
      <c r="E8" s="31"/>
      <c r="F8" s="31"/>
    </row>
    <row r="9" spans="1:9" ht="12.75" customHeight="1" x14ac:dyDescent="0.25">
      <c r="A9" s="37">
        <v>84</v>
      </c>
      <c r="B9" s="38">
        <f>A9/7</f>
        <v>12</v>
      </c>
      <c r="C9" s="31"/>
      <c r="D9" s="31"/>
      <c r="E9" s="31"/>
      <c r="F9" s="31"/>
    </row>
    <row r="10" spans="1:9" x14ac:dyDescent="0.25">
      <c r="A10" s="31"/>
      <c r="B10" s="31"/>
      <c r="C10" s="31"/>
      <c r="D10" s="31"/>
      <c r="E10" s="31"/>
      <c r="F10" s="31"/>
    </row>
    <row r="11" spans="1:9" ht="15.6" x14ac:dyDescent="0.3">
      <c r="A11" s="86" t="s">
        <v>40</v>
      </c>
      <c r="B11" s="86"/>
      <c r="C11" s="86"/>
      <c r="D11" s="86"/>
      <c r="E11" s="31"/>
      <c r="F11" s="31"/>
    </row>
    <row r="12" spans="1:9" ht="15.6" x14ac:dyDescent="0.3">
      <c r="A12" s="39" t="s">
        <v>34</v>
      </c>
      <c r="B12" s="39" t="s">
        <v>23</v>
      </c>
      <c r="C12" s="39" t="s">
        <v>25</v>
      </c>
      <c r="D12" s="39" t="s">
        <v>26</v>
      </c>
      <c r="E12" s="31"/>
      <c r="F12" s="31"/>
    </row>
    <row r="13" spans="1:9" ht="15.6" x14ac:dyDescent="0.3">
      <c r="A13" s="32" t="s">
        <v>20</v>
      </c>
      <c r="B13" s="37">
        <v>49</v>
      </c>
      <c r="C13" s="40">
        <v>30</v>
      </c>
      <c r="D13" s="41">
        <v>0.2</v>
      </c>
      <c r="E13" s="31"/>
      <c r="F13" s="31"/>
      <c r="H13" s="8"/>
    </row>
    <row r="14" spans="1:9" ht="15.6" x14ac:dyDescent="0.3">
      <c r="A14" s="32" t="s">
        <v>21</v>
      </c>
      <c r="B14" s="37">
        <v>42</v>
      </c>
      <c r="C14" s="40">
        <v>20</v>
      </c>
      <c r="D14" s="41">
        <v>0.2</v>
      </c>
      <c r="E14" s="31"/>
      <c r="F14" s="31"/>
      <c r="H14" s="8"/>
    </row>
    <row r="15" spans="1:9" ht="15.6" x14ac:dyDescent="0.3">
      <c r="A15" s="32" t="s">
        <v>22</v>
      </c>
      <c r="B15" s="37">
        <v>160</v>
      </c>
      <c r="C15" s="40">
        <v>15</v>
      </c>
      <c r="D15" s="41">
        <v>0.2</v>
      </c>
      <c r="E15" s="31"/>
      <c r="F15" s="31"/>
      <c r="H15" s="8"/>
      <c r="I15" s="8"/>
    </row>
    <row r="16" spans="1:9" x14ac:dyDescent="0.25">
      <c r="A16" s="31"/>
      <c r="B16" s="31"/>
      <c r="C16" s="31"/>
      <c r="D16" s="31"/>
      <c r="E16" s="31"/>
      <c r="F16" s="31"/>
    </row>
    <row r="17" spans="1:8" ht="15.6" x14ac:dyDescent="0.3">
      <c r="A17" s="76" t="s">
        <v>39</v>
      </c>
      <c r="B17" s="77"/>
      <c r="C17" s="77"/>
      <c r="D17" s="78"/>
      <c r="E17" s="31"/>
      <c r="F17" s="31"/>
    </row>
    <row r="18" spans="1:8" ht="15.6" x14ac:dyDescent="0.3">
      <c r="A18" s="39" t="s">
        <v>43</v>
      </c>
      <c r="B18" s="39" t="s">
        <v>32</v>
      </c>
      <c r="C18" s="39" t="s">
        <v>42</v>
      </c>
      <c r="D18" s="39" t="s">
        <v>33</v>
      </c>
      <c r="E18" s="31"/>
      <c r="F18" s="31"/>
    </row>
    <row r="19" spans="1:8" ht="15.6" x14ac:dyDescent="0.3">
      <c r="A19" s="32" t="s">
        <v>27</v>
      </c>
      <c r="B19" s="42">
        <v>10</v>
      </c>
      <c r="C19" s="43">
        <v>0.47499999999999998</v>
      </c>
      <c r="D19" s="41">
        <v>0.5</v>
      </c>
      <c r="E19" s="31"/>
      <c r="F19" s="31"/>
    </row>
    <row r="20" spans="1:8" ht="15.6" x14ac:dyDescent="0.3">
      <c r="A20" s="32" t="s">
        <v>28</v>
      </c>
      <c r="B20" s="42">
        <v>15</v>
      </c>
      <c r="C20" s="43">
        <v>0.88600000000000001</v>
      </c>
      <c r="D20" s="41">
        <v>0.25</v>
      </c>
      <c r="E20" s="31"/>
      <c r="F20" s="31"/>
    </row>
    <row r="21" spans="1:8" ht="15.6" x14ac:dyDescent="0.3">
      <c r="A21" s="32" t="s">
        <v>29</v>
      </c>
      <c r="B21" s="42">
        <v>20</v>
      </c>
      <c r="C21" s="43">
        <v>1.054</v>
      </c>
      <c r="D21" s="41">
        <v>0.15</v>
      </c>
      <c r="E21" s="31"/>
      <c r="F21" s="31"/>
    </row>
    <row r="22" spans="1:8" ht="15.6" x14ac:dyDescent="0.3">
      <c r="A22" s="32" t="s">
        <v>30</v>
      </c>
      <c r="B22" s="42">
        <v>25</v>
      </c>
      <c r="C22" s="43">
        <v>1.873</v>
      </c>
      <c r="D22" s="41">
        <v>0.1</v>
      </c>
      <c r="E22" s="31"/>
      <c r="F22" s="31"/>
    </row>
    <row r="23" spans="1:8" ht="15.6" x14ac:dyDescent="0.3">
      <c r="A23" s="32" t="s">
        <v>31</v>
      </c>
      <c r="B23" s="42">
        <v>0</v>
      </c>
      <c r="C23" s="43">
        <v>2.121</v>
      </c>
      <c r="D23" s="41">
        <v>0</v>
      </c>
      <c r="E23" s="31"/>
      <c r="F23" s="31"/>
    </row>
    <row r="24" spans="1:8" ht="15.6" x14ac:dyDescent="0.3">
      <c r="A24" s="31"/>
      <c r="B24" s="31"/>
      <c r="C24" s="31"/>
      <c r="D24" s="31"/>
      <c r="E24" s="31"/>
      <c r="F24" s="31"/>
      <c r="H24" s="1"/>
    </row>
    <row r="25" spans="1:8" ht="15.6" x14ac:dyDescent="0.3">
      <c r="A25" s="76" t="s">
        <v>44</v>
      </c>
      <c r="B25" s="77"/>
      <c r="C25" s="77"/>
      <c r="D25" s="77"/>
      <c r="E25" s="78"/>
      <c r="F25" s="31"/>
    </row>
    <row r="26" spans="1:8" ht="15.6" x14ac:dyDescent="0.3">
      <c r="A26" s="39" t="s">
        <v>43</v>
      </c>
      <c r="B26" s="39" t="s">
        <v>35</v>
      </c>
      <c r="C26" s="39" t="s">
        <v>36</v>
      </c>
      <c r="D26" s="39" t="s">
        <v>37</v>
      </c>
      <c r="E26" s="39" t="s">
        <v>38</v>
      </c>
      <c r="F26" s="31"/>
    </row>
    <row r="27" spans="1:8" ht="15.6" x14ac:dyDescent="0.3">
      <c r="A27" s="32" t="s">
        <v>27</v>
      </c>
      <c r="B27" s="42">
        <v>10</v>
      </c>
      <c r="C27" s="42">
        <v>10</v>
      </c>
      <c r="D27" s="42">
        <v>10</v>
      </c>
      <c r="E27" s="42">
        <v>10</v>
      </c>
      <c r="F27" s="31"/>
    </row>
    <row r="28" spans="1:8" ht="15.6" x14ac:dyDescent="0.3">
      <c r="A28" s="32" t="s">
        <v>28</v>
      </c>
      <c r="B28" s="42">
        <v>15</v>
      </c>
      <c r="C28" s="42">
        <v>15</v>
      </c>
      <c r="D28" s="42">
        <v>15</v>
      </c>
      <c r="E28" s="42">
        <v>15</v>
      </c>
      <c r="F28" s="31"/>
    </row>
    <row r="29" spans="1:8" ht="15.6" x14ac:dyDescent="0.3">
      <c r="A29" s="32" t="s">
        <v>29</v>
      </c>
      <c r="B29" s="42">
        <v>20</v>
      </c>
      <c r="C29" s="42">
        <v>20</v>
      </c>
      <c r="D29" s="42">
        <v>20</v>
      </c>
      <c r="E29" s="42">
        <v>20</v>
      </c>
      <c r="F29" s="31"/>
    </row>
    <row r="30" spans="1:8" ht="15.6" x14ac:dyDescent="0.3">
      <c r="A30" s="32" t="s">
        <v>30</v>
      </c>
      <c r="B30" s="42">
        <v>25</v>
      </c>
      <c r="C30" s="42">
        <v>25</v>
      </c>
      <c r="D30" s="42">
        <v>25</v>
      </c>
      <c r="E30" s="42">
        <v>25</v>
      </c>
      <c r="F30" s="31"/>
    </row>
    <row r="31" spans="1:8" ht="15.6" x14ac:dyDescent="0.3">
      <c r="A31" s="32" t="s">
        <v>31</v>
      </c>
      <c r="B31" s="42">
        <v>0</v>
      </c>
      <c r="C31" s="42">
        <v>0</v>
      </c>
      <c r="D31" s="42">
        <v>0</v>
      </c>
      <c r="E31" s="42">
        <v>0</v>
      </c>
      <c r="F31" s="31"/>
    </row>
    <row r="32" spans="1:8" x14ac:dyDescent="0.25">
      <c r="A32" s="31"/>
      <c r="B32" s="31"/>
      <c r="C32" s="31"/>
      <c r="D32" s="31"/>
      <c r="E32" s="31"/>
      <c r="F32" s="31"/>
    </row>
    <row r="33" spans="1:6" ht="15.6" x14ac:dyDescent="0.3">
      <c r="A33" s="76" t="s">
        <v>59</v>
      </c>
      <c r="B33" s="77"/>
      <c r="C33" s="77"/>
      <c r="D33" s="77"/>
      <c r="E33" s="77"/>
      <c r="F33" s="78"/>
    </row>
    <row r="34" spans="1:6" ht="15.6" x14ac:dyDescent="0.25">
      <c r="A34" s="79" t="s">
        <v>45</v>
      </c>
      <c r="B34" s="44" t="s">
        <v>46</v>
      </c>
      <c r="C34" s="44" t="s">
        <v>47</v>
      </c>
      <c r="D34" s="44" t="s">
        <v>48</v>
      </c>
      <c r="E34" s="44" t="s">
        <v>49</v>
      </c>
      <c r="F34" s="44" t="s">
        <v>50</v>
      </c>
    </row>
    <row r="35" spans="1:6" ht="19.2" x14ac:dyDescent="0.45">
      <c r="A35" s="79"/>
      <c r="B35" s="45">
        <v>1</v>
      </c>
      <c r="C35" s="45" t="s">
        <v>196</v>
      </c>
      <c r="D35" s="45" t="s">
        <v>196</v>
      </c>
      <c r="E35" s="45" t="s">
        <v>196</v>
      </c>
      <c r="F35" s="46">
        <f>IF(B35=1,0.15,IF(C35=1,0.1,IF(D35=1,0.05,IF(E35=1,-0.25,0))))</f>
        <v>0.15</v>
      </c>
    </row>
    <row r="36" spans="1:6" ht="15.6" x14ac:dyDescent="0.25">
      <c r="A36" s="79" t="s">
        <v>51</v>
      </c>
      <c r="B36" s="44" t="s">
        <v>53</v>
      </c>
      <c r="C36" s="44" t="s">
        <v>54</v>
      </c>
      <c r="D36" s="44" t="s">
        <v>55</v>
      </c>
      <c r="E36" s="44" t="s">
        <v>56</v>
      </c>
      <c r="F36" s="47" t="s">
        <v>50</v>
      </c>
    </row>
    <row r="37" spans="1:6" ht="19.2" x14ac:dyDescent="0.45">
      <c r="A37" s="79"/>
      <c r="B37" s="45" t="s">
        <v>196</v>
      </c>
      <c r="C37" s="45">
        <v>1</v>
      </c>
      <c r="D37" s="74" t="s">
        <v>196</v>
      </c>
      <c r="E37" s="45" t="s">
        <v>196</v>
      </c>
      <c r="F37" s="46">
        <f>IF(B37=1,0.15,IF(C37=1,0.125,IF(D37=1,0.075,IF(E37=1,-0.025,0))))</f>
        <v>0.125</v>
      </c>
    </row>
    <row r="38" spans="1:6" ht="27.6" x14ac:dyDescent="0.25">
      <c r="A38" s="79" t="s">
        <v>52</v>
      </c>
      <c r="B38" s="48" t="s">
        <v>57</v>
      </c>
      <c r="C38" s="48" t="s">
        <v>79</v>
      </c>
      <c r="D38" s="48" t="s">
        <v>91</v>
      </c>
      <c r="E38" s="48" t="s">
        <v>58</v>
      </c>
      <c r="F38" s="47" t="s">
        <v>50</v>
      </c>
    </row>
    <row r="39" spans="1:6" ht="19.2" x14ac:dyDescent="0.45">
      <c r="A39" s="79"/>
      <c r="B39" s="45">
        <v>1</v>
      </c>
      <c r="C39" s="45" t="s">
        <v>196</v>
      </c>
      <c r="D39" s="45" t="s">
        <v>196</v>
      </c>
      <c r="E39" s="45"/>
      <c r="F39" s="46">
        <f>IF(B39=1,0.15,IF(C39=1,0.1,IF(D39=1,0.025,IF(E39=1,0,0))))</f>
        <v>0.15</v>
      </c>
    </row>
    <row r="40" spans="1:6" ht="31.2" x14ac:dyDescent="0.25">
      <c r="A40" s="79" t="s">
        <v>68</v>
      </c>
      <c r="B40" s="44" t="s">
        <v>60</v>
      </c>
      <c r="C40" s="44" t="s">
        <v>61</v>
      </c>
      <c r="D40" s="44" t="s">
        <v>62</v>
      </c>
      <c r="E40" s="44" t="s">
        <v>63</v>
      </c>
      <c r="F40" s="47" t="s">
        <v>50</v>
      </c>
    </row>
    <row r="41" spans="1:6" ht="19.2" x14ac:dyDescent="0.45">
      <c r="A41" s="79"/>
      <c r="B41" s="45" t="s">
        <v>196</v>
      </c>
      <c r="C41" s="45">
        <v>1</v>
      </c>
      <c r="D41" s="74" t="s">
        <v>196</v>
      </c>
      <c r="E41" s="45" t="s">
        <v>196</v>
      </c>
      <c r="F41" s="46">
        <f>IF(B41=1,0.15,IF(C41=1,0.125,IF(D41=1,0.075,IF(E41=1,0.05,0))))</f>
        <v>0.125</v>
      </c>
    </row>
    <row r="42" spans="1:6" ht="46.8" x14ac:dyDescent="0.25">
      <c r="A42" s="79" t="s">
        <v>69</v>
      </c>
      <c r="B42" s="44" t="s">
        <v>64</v>
      </c>
      <c r="C42" s="44" t="s">
        <v>65</v>
      </c>
      <c r="D42" s="44" t="s">
        <v>66</v>
      </c>
      <c r="E42" s="44" t="s">
        <v>67</v>
      </c>
      <c r="F42" s="47" t="s">
        <v>50</v>
      </c>
    </row>
    <row r="43" spans="1:6" ht="19.2" x14ac:dyDescent="0.45">
      <c r="A43" s="79"/>
      <c r="B43" s="45" t="s">
        <v>196</v>
      </c>
      <c r="C43" s="45">
        <v>1</v>
      </c>
      <c r="D43" s="45" t="s">
        <v>196</v>
      </c>
      <c r="E43" s="45"/>
      <c r="F43" s="46">
        <f>IF(B43=1,0.15,IF(C43=1,0.1,IF(D43=1,0.05,IF(E43=1,0,0))))</f>
        <v>0.1</v>
      </c>
    </row>
    <row r="44" spans="1:6" ht="31.2" x14ac:dyDescent="0.25">
      <c r="A44" s="79" t="s">
        <v>70</v>
      </c>
      <c r="B44" s="44" t="s">
        <v>75</v>
      </c>
      <c r="C44" s="44" t="s">
        <v>89</v>
      </c>
      <c r="D44" s="44" t="s">
        <v>90</v>
      </c>
      <c r="E44" s="44" t="s">
        <v>77</v>
      </c>
      <c r="F44" s="47" t="s">
        <v>50</v>
      </c>
    </row>
    <row r="45" spans="1:6" ht="19.2" x14ac:dyDescent="0.45">
      <c r="A45" s="79"/>
      <c r="B45" s="74">
        <v>1</v>
      </c>
      <c r="C45" s="45" t="s">
        <v>196</v>
      </c>
      <c r="D45" s="45" t="s">
        <v>196</v>
      </c>
      <c r="E45" s="45"/>
      <c r="F45" s="46">
        <f>IF(B45=1,0.15,IF(C45=1,0.125,IF(D45=1,0.075,IF(E45=1,0.05,0))))</f>
        <v>0.15</v>
      </c>
    </row>
    <row r="46" spans="1:6" ht="31.2" x14ac:dyDescent="0.25">
      <c r="A46" s="79" t="s">
        <v>71</v>
      </c>
      <c r="B46" s="44" t="s">
        <v>75</v>
      </c>
      <c r="C46" s="44" t="s">
        <v>80</v>
      </c>
      <c r="D46" s="44" t="s">
        <v>76</v>
      </c>
      <c r="E46" s="44" t="s">
        <v>78</v>
      </c>
      <c r="F46" s="47" t="s">
        <v>50</v>
      </c>
    </row>
    <row r="47" spans="1:6" ht="19.2" x14ac:dyDescent="0.45">
      <c r="A47" s="79"/>
      <c r="B47" s="74" t="s">
        <v>196</v>
      </c>
      <c r="C47" s="45">
        <v>1</v>
      </c>
      <c r="D47" s="45" t="s">
        <v>196</v>
      </c>
      <c r="E47" s="45"/>
      <c r="F47" s="46">
        <f>IF(B47=1,0.15,IF(C47=1,0.1,IF(D47=1,0.05,IF(E47=1,-0.25,0))))</f>
        <v>0.1</v>
      </c>
    </row>
    <row r="48" spans="1:6" ht="15.6" x14ac:dyDescent="0.25">
      <c r="A48" s="79" t="s">
        <v>72</v>
      </c>
      <c r="B48" s="44" t="s">
        <v>81</v>
      </c>
      <c r="C48" s="44">
        <v>2</v>
      </c>
      <c r="D48" s="44">
        <v>1</v>
      </c>
      <c r="E48" s="44" t="s">
        <v>82</v>
      </c>
      <c r="F48" s="47" t="s">
        <v>50</v>
      </c>
    </row>
    <row r="49" spans="1:8" ht="19.2" x14ac:dyDescent="0.45">
      <c r="A49" s="79"/>
      <c r="B49" s="75" t="s">
        <v>196</v>
      </c>
      <c r="C49" s="49">
        <v>1</v>
      </c>
      <c r="D49" s="49" t="s">
        <v>196</v>
      </c>
      <c r="E49" s="49"/>
      <c r="F49" s="46">
        <f>IF(B49=1,0.15,IF(C49=1,0.1,IF(D49=1,0.05,IF(E49=1,0,0))))</f>
        <v>0.1</v>
      </c>
    </row>
    <row r="50" spans="1:8" ht="46.8" x14ac:dyDescent="0.25">
      <c r="A50" s="79" t="s">
        <v>73</v>
      </c>
      <c r="B50" s="44" t="s">
        <v>83</v>
      </c>
      <c r="C50" s="44" t="s">
        <v>85</v>
      </c>
      <c r="D50" s="44" t="s">
        <v>86</v>
      </c>
      <c r="E50" s="44" t="s">
        <v>84</v>
      </c>
      <c r="F50" s="47" t="s">
        <v>50</v>
      </c>
    </row>
    <row r="51" spans="1:8" ht="19.2" x14ac:dyDescent="0.45">
      <c r="A51" s="79"/>
      <c r="B51" s="74" t="s">
        <v>196</v>
      </c>
      <c r="C51" s="45" t="s">
        <v>196</v>
      </c>
      <c r="D51" s="45" t="s">
        <v>196</v>
      </c>
      <c r="E51" s="45">
        <v>1</v>
      </c>
      <c r="F51" s="46">
        <f>IF(B51=1,0.15,IF(C51=1,0.1,IF(D51=1,0.05,IF(E51=1,0,0))))</f>
        <v>0</v>
      </c>
    </row>
    <row r="52" spans="1:8" ht="31.2" x14ac:dyDescent="0.25">
      <c r="A52" s="79" t="s">
        <v>74</v>
      </c>
      <c r="B52" s="44" t="s">
        <v>87</v>
      </c>
      <c r="C52" s="44" t="s">
        <v>88</v>
      </c>
      <c r="D52" s="44" t="s">
        <v>110</v>
      </c>
      <c r="E52" s="44" t="s">
        <v>92</v>
      </c>
      <c r="F52" s="47" t="s">
        <v>50</v>
      </c>
    </row>
    <row r="53" spans="1:8" ht="19.2" x14ac:dyDescent="0.45">
      <c r="A53" s="79"/>
      <c r="B53" s="45" t="s">
        <v>196</v>
      </c>
      <c r="C53" s="45">
        <v>1</v>
      </c>
      <c r="D53" s="45" t="s">
        <v>196</v>
      </c>
      <c r="E53" s="45" t="s">
        <v>196</v>
      </c>
      <c r="F53" s="46">
        <f>IF(B53=1,0.15,IF(C53=1,0.1,IF(D53=1,0.05,IF(E53=1,0,0))))</f>
        <v>0.1</v>
      </c>
    </row>
    <row r="54" spans="1:8" ht="15.6" x14ac:dyDescent="0.3">
      <c r="A54" s="80" t="s">
        <v>0</v>
      </c>
      <c r="B54" s="81"/>
      <c r="C54" s="81"/>
      <c r="D54" s="81"/>
      <c r="E54" s="82"/>
      <c r="F54" s="50">
        <f>F35+F37+F39+F41+F43+F45+F47+F49+F51+F53</f>
        <v>1.1000000000000001</v>
      </c>
      <c r="H54" s="72"/>
    </row>
    <row r="55" spans="1:8" ht="15.6" x14ac:dyDescent="0.3">
      <c r="A55" s="51"/>
      <c r="B55" s="51"/>
      <c r="C55" s="51"/>
      <c r="D55" s="51"/>
      <c r="E55" s="51"/>
      <c r="F55" s="52"/>
    </row>
    <row r="56" spans="1:8" ht="15.6" x14ac:dyDescent="0.3">
      <c r="A56" s="76" t="s">
        <v>1</v>
      </c>
      <c r="B56" s="77"/>
      <c r="C56" s="77"/>
      <c r="D56" s="77"/>
      <c r="E56" s="77"/>
      <c r="F56" s="78"/>
    </row>
    <row r="57" spans="1:8" ht="15.6" x14ac:dyDescent="0.3">
      <c r="A57" s="80" t="s">
        <v>93</v>
      </c>
      <c r="B57" s="81"/>
      <c r="C57" s="81"/>
      <c r="D57" s="82"/>
      <c r="E57" s="53">
        <v>2.9</v>
      </c>
      <c r="F57" s="54">
        <f>IF(E57&lt;2.101,-0.1*(2.1-E57),IF(E57&gt;3,-0.5*(E57-3),0))</f>
        <v>0</v>
      </c>
      <c r="H57" s="2"/>
    </row>
    <row r="58" spans="1:8" ht="15.6" x14ac:dyDescent="0.3">
      <c r="A58" s="80" t="s">
        <v>94</v>
      </c>
      <c r="B58" s="81"/>
      <c r="C58" s="81"/>
      <c r="D58" s="82"/>
      <c r="E58" s="41">
        <v>0.53</v>
      </c>
      <c r="F58" s="55">
        <f>-0.3*(0.55-E58)</f>
        <v>-6.0000000000000053E-3</v>
      </c>
    </row>
    <row r="59" spans="1:8" ht="15.6" x14ac:dyDescent="0.3">
      <c r="A59" s="80" t="s">
        <v>3</v>
      </c>
      <c r="B59" s="81"/>
      <c r="C59" s="81"/>
      <c r="D59" s="82"/>
      <c r="E59" s="41">
        <v>0.85</v>
      </c>
      <c r="F59" s="55">
        <f>-0.75*(0.5-E59)</f>
        <v>0.26249999999999996</v>
      </c>
    </row>
    <row r="60" spans="1:8" ht="15.6" x14ac:dyDescent="0.3">
      <c r="A60" s="80" t="s">
        <v>4</v>
      </c>
      <c r="B60" s="81"/>
      <c r="C60" s="81"/>
      <c r="D60" s="82"/>
      <c r="E60" s="42">
        <v>10</v>
      </c>
      <c r="F60" s="56">
        <f>IF(E60&lt;10.01,0.5*(10-E60),-0.075*(E60-10))</f>
        <v>0</v>
      </c>
    </row>
    <row r="61" spans="1:8" ht="15.6" x14ac:dyDescent="0.3">
      <c r="A61" s="80" t="s">
        <v>95</v>
      </c>
      <c r="B61" s="81"/>
      <c r="C61" s="81"/>
      <c r="D61" s="81"/>
      <c r="E61" s="82"/>
      <c r="F61" s="55">
        <f>SUM(F57:F60)/4</f>
        <v>6.4124999999999988E-2</v>
      </c>
    </row>
    <row r="62" spans="1:8" ht="15.6" x14ac:dyDescent="0.3">
      <c r="A62" s="51"/>
      <c r="B62" s="51"/>
      <c r="C62" s="51"/>
      <c r="D62" s="51"/>
      <c r="E62" s="51"/>
      <c r="F62" s="57"/>
    </row>
    <row r="63" spans="1:8" ht="15.6" x14ac:dyDescent="0.3">
      <c r="A63" s="88" t="s">
        <v>98</v>
      </c>
      <c r="B63" s="88"/>
      <c r="C63" s="88"/>
      <c r="D63" s="88"/>
      <c r="E63" s="88"/>
      <c r="F63" s="88"/>
    </row>
    <row r="64" spans="1:8" ht="15.6" x14ac:dyDescent="0.3">
      <c r="A64" s="80" t="s">
        <v>96</v>
      </c>
      <c r="B64" s="81"/>
      <c r="C64" s="81"/>
      <c r="D64" s="81"/>
      <c r="E64" s="82"/>
      <c r="F64" s="58">
        <f>(F54*0.7)*(1+F61)/85</f>
        <v>9.6397205882352947E-3</v>
      </c>
    </row>
    <row r="65" spans="1:8" ht="15.6" x14ac:dyDescent="0.3">
      <c r="A65" s="80" t="s">
        <v>97</v>
      </c>
      <c r="B65" s="81"/>
      <c r="C65" s="81"/>
      <c r="D65" s="81"/>
      <c r="E65" s="82"/>
      <c r="F65" s="58">
        <f>$F$54*(1+$F$61)/92</f>
        <v>1.2723233695652173E-2</v>
      </c>
    </row>
    <row r="66" spans="1:8" ht="15.6" x14ac:dyDescent="0.3">
      <c r="A66" s="80" t="s">
        <v>10</v>
      </c>
      <c r="B66" s="81"/>
      <c r="C66" s="81"/>
      <c r="D66" s="81"/>
      <c r="E66" s="82"/>
      <c r="F66" s="58">
        <f>$F$54*(1+$F$61)/76</f>
        <v>1.5401809210526316E-2</v>
      </c>
      <c r="H66" s="72"/>
    </row>
    <row r="67" spans="1:8" x14ac:dyDescent="0.25">
      <c r="A67" s="31"/>
      <c r="B67" s="31"/>
      <c r="C67" s="31"/>
      <c r="D67" s="31"/>
      <c r="E67" s="31"/>
      <c r="F67" s="31"/>
    </row>
    <row r="68" spans="1:8" ht="15.6" x14ac:dyDescent="0.3">
      <c r="A68" s="76" t="s">
        <v>103</v>
      </c>
      <c r="B68" s="77"/>
      <c r="C68" s="77"/>
      <c r="D68" s="78"/>
      <c r="E68" s="51"/>
      <c r="F68" s="52"/>
    </row>
    <row r="69" spans="1:8" ht="15.6" x14ac:dyDescent="0.3">
      <c r="A69" s="59" t="s">
        <v>99</v>
      </c>
      <c r="B69" s="59" t="s">
        <v>100</v>
      </c>
      <c r="C69" s="59" t="s">
        <v>101</v>
      </c>
      <c r="D69" s="59" t="s">
        <v>102</v>
      </c>
      <c r="E69" s="51"/>
      <c r="F69" s="52"/>
    </row>
    <row r="70" spans="1:8" ht="15.6" x14ac:dyDescent="0.3">
      <c r="A70" s="71">
        <v>36512</v>
      </c>
      <c r="B70" s="60">
        <v>0</v>
      </c>
      <c r="C70" s="60">
        <v>0</v>
      </c>
      <c r="D70" s="60">
        <v>0</v>
      </c>
      <c r="E70" s="51"/>
      <c r="F70" s="52"/>
    </row>
    <row r="71" spans="1:8" x14ac:dyDescent="0.25">
      <c r="A71" s="31"/>
      <c r="B71" s="31"/>
      <c r="C71" s="31"/>
      <c r="D71" s="31"/>
      <c r="E71" s="31"/>
      <c r="F71" s="31"/>
    </row>
    <row r="72" spans="1:8" ht="15.6" x14ac:dyDescent="0.3">
      <c r="A72" s="76" t="s">
        <v>104</v>
      </c>
      <c r="B72" s="77"/>
      <c r="C72" s="77"/>
      <c r="D72" s="77"/>
      <c r="E72" s="77"/>
      <c r="F72" s="78"/>
    </row>
    <row r="73" spans="1:8" ht="15.6" x14ac:dyDescent="0.3">
      <c r="A73" s="61"/>
      <c r="B73" s="61" t="s">
        <v>8</v>
      </c>
      <c r="C73" s="61" t="s">
        <v>9</v>
      </c>
      <c r="D73" s="61" t="s">
        <v>5</v>
      </c>
      <c r="E73" s="61" t="s">
        <v>6</v>
      </c>
      <c r="F73" s="61" t="s">
        <v>7</v>
      </c>
    </row>
    <row r="74" spans="1:8" ht="15.6" x14ac:dyDescent="0.3">
      <c r="A74" s="32" t="s">
        <v>105</v>
      </c>
      <c r="B74" s="62">
        <f>F64*A70*300</f>
        <v>105589.64343529413</v>
      </c>
      <c r="C74" s="62">
        <f>F65*A70*300</f>
        <v>139365.21260869564</v>
      </c>
      <c r="D74" s="62">
        <f>($F$54*(1+$F$61))/85*($A$70*(1+B$70))*300</f>
        <v>150842.34776470589</v>
      </c>
      <c r="E74" s="62">
        <f>($F$54*(1+$F$61))/82*($A$70*(1+C$70))*300</f>
        <v>156360.97024390244</v>
      </c>
      <c r="F74" s="62">
        <f>F66*(A70*(1+D70)*300)</f>
        <v>168705.25736842107</v>
      </c>
    </row>
    <row r="75" spans="1:8" ht="15.6" x14ac:dyDescent="0.3">
      <c r="A75" s="32" t="s">
        <v>106</v>
      </c>
      <c r="B75" s="62">
        <f>B74/12</f>
        <v>8799.1369529411768</v>
      </c>
      <c r="C75" s="62">
        <f>C74/12</f>
        <v>11613.767717391303</v>
      </c>
      <c r="D75" s="62">
        <f t="shared" ref="D75:F75" si="0">D74/12</f>
        <v>12570.195647058825</v>
      </c>
      <c r="E75" s="62">
        <f t="shared" si="0"/>
        <v>13030.080853658537</v>
      </c>
      <c r="F75" s="62">
        <f t="shared" si="0"/>
        <v>14058.771447368423</v>
      </c>
    </row>
    <row r="76" spans="1:8" ht="15.6" x14ac:dyDescent="0.3">
      <c r="A76" s="32" t="s">
        <v>107</v>
      </c>
      <c r="B76" s="62">
        <f>B75/4.5/7*3</f>
        <v>838.01304313725495</v>
      </c>
      <c r="C76" s="62">
        <f t="shared" ref="C76:F76" si="1">C75/4.5/7*3</f>
        <v>1106.0731159420288</v>
      </c>
      <c r="D76" s="62">
        <f t="shared" si="1"/>
        <v>1197.1614901960784</v>
      </c>
      <c r="E76" s="62">
        <f t="shared" si="1"/>
        <v>1240.9600813008133</v>
      </c>
      <c r="F76" s="62">
        <f t="shared" si="1"/>
        <v>1338.9306140350877</v>
      </c>
    </row>
    <row r="77" spans="1:8" ht="15.6" x14ac:dyDescent="0.3">
      <c r="A77" s="32" t="s">
        <v>108</v>
      </c>
      <c r="B77" s="62">
        <f>IFERROR((B76/$B9*1.3),0)</f>
        <v>90.784746339869287</v>
      </c>
      <c r="C77" s="62">
        <f t="shared" ref="C77:F77" si="2">IFERROR((C76/$B9*1.3),0)</f>
        <v>119.82458756038646</v>
      </c>
      <c r="D77" s="62">
        <f t="shared" si="2"/>
        <v>129.69249477124183</v>
      </c>
      <c r="E77" s="62">
        <f t="shared" si="2"/>
        <v>134.43734214092143</v>
      </c>
      <c r="F77" s="62">
        <f t="shared" si="2"/>
        <v>145.05081652046786</v>
      </c>
    </row>
    <row r="78" spans="1:8" x14ac:dyDescent="0.25">
      <c r="A78" s="31"/>
      <c r="B78" s="31"/>
      <c r="C78" s="31"/>
      <c r="D78" s="31"/>
      <c r="E78" s="31"/>
      <c r="F78" s="31"/>
    </row>
    <row r="79" spans="1:8" ht="15.6" x14ac:dyDescent="0.3">
      <c r="A79" s="86" t="s">
        <v>2</v>
      </c>
      <c r="B79" s="86"/>
      <c r="C79" s="86"/>
      <c r="D79" s="86"/>
      <c r="E79" s="86"/>
      <c r="F79" s="86"/>
    </row>
    <row r="80" spans="1:8" ht="31.2" x14ac:dyDescent="0.25">
      <c r="A80" s="63" t="s">
        <v>111</v>
      </c>
      <c r="B80" s="35" t="s">
        <v>112</v>
      </c>
      <c r="C80" s="35" t="s">
        <v>113</v>
      </c>
      <c r="D80" s="35" t="s">
        <v>114</v>
      </c>
      <c r="E80" s="35" t="s">
        <v>115</v>
      </c>
      <c r="F80" s="35" t="s">
        <v>116</v>
      </c>
    </row>
    <row r="81" spans="1:6" ht="15.6" x14ac:dyDescent="0.3">
      <c r="A81" s="32" t="s">
        <v>118</v>
      </c>
      <c r="B81" s="42">
        <v>2000000</v>
      </c>
      <c r="C81" s="64">
        <v>0.2</v>
      </c>
      <c r="D81" s="58">
        <f>1-C81</f>
        <v>0.8</v>
      </c>
      <c r="E81" s="65">
        <f>C81*B81</f>
        <v>400000</v>
      </c>
      <c r="F81" s="65">
        <f>D81*B81</f>
        <v>1600000</v>
      </c>
    </row>
    <row r="82" spans="1:6" ht="15.6" x14ac:dyDescent="0.25">
      <c r="A82" s="66" t="s">
        <v>120</v>
      </c>
      <c r="B82" s="42">
        <v>1500000</v>
      </c>
      <c r="C82" s="64">
        <v>0.2</v>
      </c>
      <c r="D82" s="58">
        <f t="shared" ref="D82:D85" si="3">1-C82</f>
        <v>0.8</v>
      </c>
      <c r="E82" s="65">
        <f t="shared" ref="E82:E85" si="4">C82*B82</f>
        <v>300000</v>
      </c>
      <c r="F82" s="65">
        <f t="shared" ref="F82:F85" si="5">D82*B82</f>
        <v>1200000</v>
      </c>
    </row>
    <row r="83" spans="1:6" ht="15.6" x14ac:dyDescent="0.3">
      <c r="A83" s="32" t="s">
        <v>117</v>
      </c>
      <c r="B83" s="42">
        <v>1500000</v>
      </c>
      <c r="C83" s="64">
        <v>0.2</v>
      </c>
      <c r="D83" s="58">
        <f t="shared" si="3"/>
        <v>0.8</v>
      </c>
      <c r="E83" s="65">
        <f t="shared" si="4"/>
        <v>300000</v>
      </c>
      <c r="F83" s="65">
        <f t="shared" si="5"/>
        <v>1200000</v>
      </c>
    </row>
    <row r="84" spans="1:6" ht="15.6" x14ac:dyDescent="0.3">
      <c r="A84" s="32" t="s">
        <v>119</v>
      </c>
      <c r="B84" s="42">
        <v>200000</v>
      </c>
      <c r="C84" s="64">
        <v>0.2</v>
      </c>
      <c r="D84" s="58">
        <f t="shared" si="3"/>
        <v>0.8</v>
      </c>
      <c r="E84" s="65">
        <f t="shared" si="4"/>
        <v>40000</v>
      </c>
      <c r="F84" s="65">
        <f t="shared" si="5"/>
        <v>160000</v>
      </c>
    </row>
    <row r="85" spans="1:6" ht="15.6" x14ac:dyDescent="0.3">
      <c r="A85" s="32" t="s">
        <v>160</v>
      </c>
      <c r="B85" s="42">
        <v>100000</v>
      </c>
      <c r="C85" s="64">
        <v>0.2</v>
      </c>
      <c r="D85" s="58">
        <f t="shared" si="3"/>
        <v>0.8</v>
      </c>
      <c r="E85" s="65">
        <f t="shared" si="4"/>
        <v>20000</v>
      </c>
      <c r="F85" s="65">
        <f t="shared" si="5"/>
        <v>80000</v>
      </c>
    </row>
    <row r="86" spans="1:6" ht="15.6" x14ac:dyDescent="0.25">
      <c r="A86" s="66" t="s">
        <v>121</v>
      </c>
      <c r="B86" s="67">
        <f>SUM(B81:B85)</f>
        <v>5300000</v>
      </c>
      <c r="C86" s="68">
        <f>IFERROR((E86/B86),0)</f>
        <v>0.2</v>
      </c>
      <c r="D86" s="58">
        <f>IFERROR((F86/B86),0)</f>
        <v>0.8</v>
      </c>
      <c r="E86" s="65">
        <f>SUM(E81:E85)</f>
        <v>1060000</v>
      </c>
      <c r="F86" s="65">
        <f>SUM(F81:F85)</f>
        <v>4240000</v>
      </c>
    </row>
    <row r="87" spans="1:6" ht="15.6" x14ac:dyDescent="0.3">
      <c r="A87" s="76" t="s">
        <v>122</v>
      </c>
      <c r="B87" s="77"/>
      <c r="C87" s="77"/>
      <c r="D87" s="77"/>
      <c r="E87" s="77"/>
      <c r="F87" s="78"/>
    </row>
    <row r="88" spans="1:6" ht="31.2" x14ac:dyDescent="0.25">
      <c r="A88" s="63" t="s">
        <v>111</v>
      </c>
      <c r="B88" s="35" t="s">
        <v>116</v>
      </c>
      <c r="C88" s="35" t="s">
        <v>128</v>
      </c>
      <c r="D88" s="35" t="s">
        <v>129</v>
      </c>
      <c r="E88" s="35"/>
      <c r="F88" s="35" t="s">
        <v>127</v>
      </c>
    </row>
    <row r="89" spans="1:6" ht="15.6" x14ac:dyDescent="0.3">
      <c r="A89" s="32" t="s">
        <v>118</v>
      </c>
      <c r="B89" s="69">
        <f>F81</f>
        <v>1600000</v>
      </c>
      <c r="C89" s="70">
        <v>0.1</v>
      </c>
      <c r="D89" s="37">
        <v>300</v>
      </c>
      <c r="E89" s="54"/>
      <c r="F89" s="65">
        <f>IFERROR(PMT(C89/12,(D89),B89)*-1,0)</f>
        <v>14539.211928640967</v>
      </c>
    </row>
    <row r="90" spans="1:6" ht="15.6" x14ac:dyDescent="0.25">
      <c r="A90" s="66" t="s">
        <v>120</v>
      </c>
      <c r="B90" s="69">
        <f t="shared" ref="B90:B93" si="6">F82</f>
        <v>1200000</v>
      </c>
      <c r="C90" s="70">
        <v>0.1</v>
      </c>
      <c r="D90" s="37">
        <v>300</v>
      </c>
      <c r="E90" s="54"/>
      <c r="F90" s="65">
        <f t="shared" ref="F90:F93" si="7">IFERROR(PMT(C90/12,(D90),B90)*-1,0)</f>
        <v>10904.408946480726</v>
      </c>
    </row>
    <row r="91" spans="1:6" ht="15.6" x14ac:dyDescent="0.3">
      <c r="A91" s="32" t="s">
        <v>117</v>
      </c>
      <c r="B91" s="69">
        <f t="shared" si="6"/>
        <v>1200000</v>
      </c>
      <c r="C91" s="70">
        <v>0.1</v>
      </c>
      <c r="D91" s="37">
        <v>300</v>
      </c>
      <c r="E91" s="54"/>
      <c r="F91" s="65">
        <f t="shared" si="7"/>
        <v>10904.408946480726</v>
      </c>
    </row>
    <row r="92" spans="1:6" ht="15.6" x14ac:dyDescent="0.3">
      <c r="A92" s="32" t="s">
        <v>119</v>
      </c>
      <c r="B92" s="69">
        <f t="shared" si="6"/>
        <v>160000</v>
      </c>
      <c r="C92" s="70">
        <v>0.1</v>
      </c>
      <c r="D92" s="37">
        <v>300</v>
      </c>
      <c r="E92" s="54"/>
      <c r="F92" s="65">
        <f t="shared" si="7"/>
        <v>1453.9211928640968</v>
      </c>
    </row>
    <row r="93" spans="1:6" ht="15.6" x14ac:dyDescent="0.3">
      <c r="A93" s="32" t="s">
        <v>160</v>
      </c>
      <c r="B93" s="69">
        <f t="shared" si="6"/>
        <v>80000</v>
      </c>
      <c r="C93" s="70">
        <v>0.1</v>
      </c>
      <c r="D93" s="37">
        <v>300</v>
      </c>
      <c r="E93" s="54"/>
      <c r="F93" s="65">
        <f t="shared" si="7"/>
        <v>726.96059643204842</v>
      </c>
    </row>
    <row r="94" spans="1:6" ht="15.6" x14ac:dyDescent="0.25">
      <c r="A94" s="66" t="s">
        <v>123</v>
      </c>
      <c r="B94" s="69">
        <f>SUM(B89:B93)</f>
        <v>4240000</v>
      </c>
      <c r="C94" s="54"/>
      <c r="D94" s="54"/>
      <c r="E94" s="54"/>
      <c r="F94" s="65">
        <f>SUM(F89:F93)</f>
        <v>38528.911610898562</v>
      </c>
    </row>
    <row r="95" spans="1:6" ht="15.6" x14ac:dyDescent="0.3">
      <c r="A95" s="76" t="s">
        <v>124</v>
      </c>
      <c r="B95" s="77"/>
      <c r="C95" s="77"/>
      <c r="D95" s="77"/>
      <c r="E95" s="77"/>
      <c r="F95" s="78"/>
    </row>
    <row r="96" spans="1:6" ht="15.6" x14ac:dyDescent="0.3">
      <c r="A96" s="89" t="s">
        <v>125</v>
      </c>
      <c r="B96" s="90"/>
      <c r="C96" s="90"/>
      <c r="D96" s="91"/>
      <c r="E96" s="92" t="s">
        <v>127</v>
      </c>
      <c r="F96" s="93"/>
    </row>
    <row r="97" spans="1:8" ht="15.6" x14ac:dyDescent="0.3">
      <c r="A97" s="80" t="s">
        <v>117</v>
      </c>
      <c r="B97" s="81"/>
      <c r="C97" s="81"/>
      <c r="D97" s="82"/>
      <c r="E97" s="94">
        <v>7500</v>
      </c>
      <c r="F97" s="95"/>
    </row>
    <row r="98" spans="1:8" ht="15.6" x14ac:dyDescent="0.3">
      <c r="A98" s="80" t="s">
        <v>118</v>
      </c>
      <c r="B98" s="81"/>
      <c r="C98" s="81"/>
      <c r="D98" s="82"/>
      <c r="E98" s="94">
        <v>0</v>
      </c>
      <c r="F98" s="95"/>
    </row>
    <row r="99" spans="1:8" ht="15.6" x14ac:dyDescent="0.3">
      <c r="A99" s="80" t="s">
        <v>120</v>
      </c>
      <c r="B99" s="81"/>
      <c r="C99" s="81"/>
      <c r="D99" s="82"/>
      <c r="E99" s="94">
        <v>0</v>
      </c>
      <c r="F99" s="95"/>
      <c r="H99" s="5"/>
    </row>
    <row r="100" spans="1:8" ht="15.6" x14ac:dyDescent="0.3">
      <c r="A100" s="80" t="s">
        <v>126</v>
      </c>
      <c r="B100" s="81"/>
      <c r="C100" s="81"/>
      <c r="D100" s="82"/>
      <c r="E100" s="96">
        <f>SUM(E97:F99)</f>
        <v>7500</v>
      </c>
      <c r="F100" s="97"/>
    </row>
    <row r="103" spans="1:8" x14ac:dyDescent="0.25">
      <c r="F103" s="5"/>
    </row>
  </sheetData>
  <sheetProtection algorithmName="SHA-512" hashValue="aKsTT6ngnYtUiAcfLJHUjsQp6Yc5Vnuf2GwUKAU6+xMn5resRtx6JuDP85/ky8d+528RkkoV1R9jXvpmJPxnwQ==" saltValue="mdxyQ7fV5oNkMjEQUfgICQ==" spinCount="100000" sheet="1" objects="1" scenarios="1"/>
  <protectedRanges>
    <protectedRange sqref="B2:D6 A9:B9 B13:D15 B19:D23 B27:E31 B35:E35 B37:E37 B39:E39 B41:E41 B43:E43 B45:E45 B47:E47 B49:E49 B51:E51 B53:E53 E57:E60 A70:D70 B81:C85 E97:F99 C89:D93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opLeftCell="A68" zoomScale="110" zoomScaleNormal="110" zoomScalePageLayoutView="130" workbookViewId="0">
      <selection activeCell="N35" sqref="N35"/>
    </sheetView>
  </sheetViews>
  <sheetFormatPr defaultColWidth="9.109375" defaultRowHeight="13.8" x14ac:dyDescent="0.3"/>
  <cols>
    <col min="1" max="1" width="5.44140625" style="3" customWidth="1"/>
    <col min="2" max="2" width="10.5546875" style="3" customWidth="1"/>
    <col min="3" max="3" width="7" style="3" customWidth="1"/>
    <col min="4" max="4" width="12.5546875" style="3" customWidth="1"/>
    <col min="5" max="5" width="11.44140625" style="3" customWidth="1"/>
    <col min="6" max="6" width="10.441406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6" x14ac:dyDescent="0.65">
      <c r="A27" s="98" t="s">
        <v>18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</row>
    <row r="28" spans="1:11" ht="21" x14ac:dyDescent="0.4">
      <c r="A28" s="9"/>
      <c r="B28" s="9"/>
      <c r="C28" s="9"/>
      <c r="D28" s="9"/>
      <c r="E28" s="99" t="s">
        <v>19</v>
      </c>
      <c r="F28" s="100"/>
      <c r="G28" s="100"/>
      <c r="H28" s="9"/>
      <c r="I28" s="9"/>
      <c r="J28" s="9"/>
      <c r="K28" s="9"/>
    </row>
    <row r="29" spans="1:11" ht="15.6" x14ac:dyDescent="0.3">
      <c r="A29" s="9"/>
      <c r="B29" s="9"/>
      <c r="C29" s="9"/>
      <c r="D29" s="9"/>
      <c r="E29" s="101" t="str">
        <f>'Input Form'!B2</f>
        <v>Todd Oberle</v>
      </c>
      <c r="F29" s="101"/>
      <c r="G29" s="101"/>
      <c r="H29" s="9"/>
      <c r="I29" s="9"/>
      <c r="J29" s="9"/>
      <c r="K29" s="9"/>
    </row>
    <row r="30" spans="1:11" ht="15.6" x14ac:dyDescent="0.3">
      <c r="A30" s="9"/>
      <c r="B30" s="9"/>
      <c r="C30" s="9"/>
      <c r="D30" s="9"/>
      <c r="E30" s="101" t="str">
        <f>'Input Form'!B3</f>
        <v>Scrubs Car Wash</v>
      </c>
      <c r="F30" s="101"/>
      <c r="G30" s="101"/>
      <c r="H30" s="9"/>
      <c r="I30" s="9"/>
      <c r="J30" s="9"/>
      <c r="K30" s="9"/>
    </row>
    <row r="31" spans="1:11" ht="15.6" x14ac:dyDescent="0.3">
      <c r="A31" s="9"/>
      <c r="B31" s="9"/>
      <c r="C31" s="9"/>
      <c r="D31" s="9"/>
      <c r="E31" s="101" t="str">
        <f>'Input Form'!B4</f>
        <v xml:space="preserve"> </v>
      </c>
      <c r="F31" s="101"/>
      <c r="G31" s="101"/>
      <c r="H31" s="9"/>
      <c r="I31" s="9"/>
      <c r="J31" s="9"/>
      <c r="K31" s="9"/>
    </row>
    <row r="32" spans="1:11" ht="15.6" x14ac:dyDescent="0.3">
      <c r="A32" s="9"/>
      <c r="B32" s="9"/>
      <c r="C32" s="9"/>
      <c r="D32" s="9"/>
      <c r="E32" s="101" t="str">
        <f>'Input Form'!B5</f>
        <v>3361 Buford Drive</v>
      </c>
      <c r="F32" s="101"/>
      <c r="G32" s="101"/>
      <c r="H32" s="9"/>
      <c r="I32" s="9"/>
      <c r="J32" s="9"/>
      <c r="K32" s="9"/>
    </row>
    <row r="33" spans="1:11" ht="15.6" x14ac:dyDescent="0.3">
      <c r="A33" s="9"/>
      <c r="B33" s="9"/>
      <c r="C33" s="9"/>
      <c r="D33" s="9"/>
      <c r="E33" s="101" t="str">
        <f>'Input Form'!B6</f>
        <v>Buford GA 30519</v>
      </c>
      <c r="F33" s="101"/>
      <c r="G33" s="101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3">
      <c r="A40" s="9"/>
      <c r="B40" s="135" t="s">
        <v>198</v>
      </c>
      <c r="C40" s="136"/>
      <c r="D40" s="136"/>
      <c r="E40" s="136"/>
      <c r="F40" s="136"/>
      <c r="G40" s="136"/>
      <c r="H40" s="136"/>
      <c r="I40" s="136"/>
      <c r="J40" s="137"/>
      <c r="K40" s="9"/>
    </row>
    <row r="41" spans="1:11" ht="12.75" customHeight="1" x14ac:dyDescent="0.3">
      <c r="A41" s="9"/>
      <c r="B41" s="138"/>
      <c r="C41" s="139"/>
      <c r="D41" s="139"/>
      <c r="E41" s="139"/>
      <c r="F41" s="139"/>
      <c r="G41" s="139"/>
      <c r="H41" s="139"/>
      <c r="I41" s="139"/>
      <c r="J41" s="140"/>
      <c r="K41" s="9"/>
    </row>
    <row r="42" spans="1:11" ht="12.75" customHeight="1" x14ac:dyDescent="0.3">
      <c r="A42" s="9"/>
      <c r="B42" s="138"/>
      <c r="C42" s="139"/>
      <c r="D42" s="139"/>
      <c r="E42" s="139"/>
      <c r="F42" s="139"/>
      <c r="G42" s="139"/>
      <c r="H42" s="139"/>
      <c r="I42" s="139"/>
      <c r="J42" s="140"/>
      <c r="K42" s="9"/>
    </row>
    <row r="43" spans="1:11" ht="12.75" customHeight="1" x14ac:dyDescent="0.3">
      <c r="A43" s="9"/>
      <c r="B43" s="138"/>
      <c r="C43" s="139"/>
      <c r="D43" s="139"/>
      <c r="E43" s="139"/>
      <c r="F43" s="139"/>
      <c r="G43" s="139"/>
      <c r="H43" s="139"/>
      <c r="I43" s="139"/>
      <c r="J43" s="140"/>
      <c r="K43" s="9"/>
    </row>
    <row r="44" spans="1:11" ht="12.75" customHeight="1" x14ac:dyDescent="0.3">
      <c r="A44" s="9"/>
      <c r="B44" s="138"/>
      <c r="C44" s="139"/>
      <c r="D44" s="139"/>
      <c r="E44" s="139"/>
      <c r="F44" s="139"/>
      <c r="G44" s="139"/>
      <c r="H44" s="139"/>
      <c r="I44" s="139"/>
      <c r="J44" s="140"/>
      <c r="K44" s="9"/>
    </row>
    <row r="45" spans="1:11" x14ac:dyDescent="0.3">
      <c r="A45" s="9"/>
      <c r="B45" s="141"/>
      <c r="C45" s="142"/>
      <c r="D45" s="142"/>
      <c r="E45" s="142"/>
      <c r="F45" s="142"/>
      <c r="G45" s="142"/>
      <c r="H45" s="142"/>
      <c r="I45" s="142"/>
      <c r="J45" s="143"/>
      <c r="K45" s="9"/>
    </row>
    <row r="46" spans="1:1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5.8" x14ac:dyDescent="0.5">
      <c r="A53" s="9"/>
      <c r="B53" s="144" t="s">
        <v>17</v>
      </c>
      <c r="C53" s="145"/>
      <c r="D53" s="145"/>
      <c r="E53" s="145"/>
      <c r="F53" s="145"/>
      <c r="G53" s="145"/>
      <c r="H53" s="145"/>
      <c r="I53" s="145"/>
      <c r="J53" s="146"/>
      <c r="K53" s="9"/>
    </row>
    <row r="54" spans="1:1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113" t="s">
        <v>188</v>
      </c>
      <c r="D56" s="113"/>
      <c r="E56" s="147" t="str">
        <f>CustomerName</f>
        <v>Todd Oberle</v>
      </c>
      <c r="F56" s="148"/>
      <c r="G56" s="148"/>
      <c r="H56" s="148"/>
      <c r="I56" s="149"/>
      <c r="J56" s="9"/>
      <c r="K56" s="9"/>
    </row>
    <row r="57" spans="1:11" x14ac:dyDescent="0.3">
      <c r="A57" s="9"/>
      <c r="B57" s="9"/>
      <c r="C57" s="114" t="s">
        <v>189</v>
      </c>
      <c r="D57" s="115"/>
      <c r="E57" s="147" t="str">
        <f>CompanyName</f>
        <v>Scrubs Car Wash</v>
      </c>
      <c r="F57" s="148"/>
      <c r="G57" s="148"/>
      <c r="H57" s="148"/>
      <c r="I57" s="149"/>
      <c r="J57" s="9"/>
      <c r="K57" s="9"/>
    </row>
    <row r="58" spans="1:11" x14ac:dyDescent="0.3">
      <c r="A58" s="9"/>
      <c r="B58" s="9"/>
      <c r="C58" s="116" t="s">
        <v>130</v>
      </c>
      <c r="D58" s="117"/>
      <c r="E58" s="154" t="str">
        <f>AddressLine1</f>
        <v xml:space="preserve"> </v>
      </c>
      <c r="F58" s="155"/>
      <c r="G58" s="155"/>
      <c r="H58" s="155"/>
      <c r="I58" s="156"/>
      <c r="J58" s="11"/>
      <c r="K58" s="9"/>
    </row>
    <row r="59" spans="1:11" x14ac:dyDescent="0.3">
      <c r="A59" s="9"/>
      <c r="B59" s="9"/>
      <c r="C59" s="118"/>
      <c r="D59" s="119"/>
      <c r="E59" s="157" t="str">
        <f>AddressLine2</f>
        <v>3361 Buford Drive</v>
      </c>
      <c r="F59" s="158"/>
      <c r="G59" s="158"/>
      <c r="H59" s="158"/>
      <c r="I59" s="159"/>
      <c r="J59" s="9"/>
      <c r="K59" s="9"/>
    </row>
    <row r="60" spans="1:11" x14ac:dyDescent="0.3">
      <c r="A60" s="9"/>
      <c r="B60" s="9"/>
      <c r="C60" s="120"/>
      <c r="D60" s="121"/>
      <c r="E60" s="160" t="str">
        <f>AddressLine3</f>
        <v>Buford GA 30519</v>
      </c>
      <c r="F60" s="161"/>
      <c r="G60" s="161"/>
      <c r="H60" s="161"/>
      <c r="I60" s="162"/>
      <c r="J60" s="9"/>
      <c r="K60" s="9"/>
    </row>
    <row r="61" spans="1:11" x14ac:dyDescent="0.3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4">
      <c r="A63" s="9"/>
      <c r="B63" s="105" t="s">
        <v>131</v>
      </c>
      <c r="C63" s="105"/>
      <c r="D63" s="105"/>
      <c r="E63" s="105"/>
      <c r="F63" s="105"/>
      <c r="G63" s="105"/>
      <c r="H63" s="105"/>
      <c r="I63" s="105"/>
      <c r="J63" s="105"/>
      <c r="K63" s="14"/>
    </row>
    <row r="64" spans="1:11" x14ac:dyDescent="0.3">
      <c r="A64" s="9"/>
      <c r="B64" s="104" t="s">
        <v>156</v>
      </c>
      <c r="C64" s="104"/>
      <c r="D64" s="104"/>
      <c r="E64" s="104"/>
      <c r="F64" s="104"/>
      <c r="G64" s="104"/>
      <c r="H64" s="104"/>
      <c r="I64" s="15" t="s">
        <v>132</v>
      </c>
      <c r="J64" s="15" t="s">
        <v>168</v>
      </c>
      <c r="K64" s="9"/>
    </row>
    <row r="65" spans="1:15" x14ac:dyDescent="0.3">
      <c r="A65" s="9"/>
      <c r="B65" s="104"/>
      <c r="C65" s="104"/>
      <c r="D65" s="104"/>
      <c r="E65" s="104"/>
      <c r="F65" s="104"/>
      <c r="G65" s="104"/>
      <c r="H65" s="104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7034.4434437574473</v>
      </c>
      <c r="J65" s="16">
        <f>'Input Form'!B75</f>
        <v>8799.1369529411768</v>
      </c>
      <c r="K65" s="9"/>
    </row>
    <row r="66" spans="1:15" ht="18" x14ac:dyDescent="0.35">
      <c r="A66" s="9"/>
      <c r="B66" s="106" t="s">
        <v>157</v>
      </c>
      <c r="C66" s="106"/>
      <c r="D66" s="106"/>
      <c r="E66" s="106"/>
      <c r="F66" s="106"/>
      <c r="G66" s="106"/>
      <c r="H66" s="106"/>
      <c r="I66" s="106"/>
      <c r="J66" s="106"/>
      <c r="K66" s="9"/>
    </row>
    <row r="67" spans="1:15" x14ac:dyDescent="0.3">
      <c r="A67" s="9"/>
      <c r="B67" s="112" t="s">
        <v>137</v>
      </c>
      <c r="C67" s="112"/>
      <c r="D67" s="112"/>
      <c r="E67" s="112"/>
      <c r="F67" s="131" t="s">
        <v>136</v>
      </c>
      <c r="G67" s="108" t="s">
        <v>135</v>
      </c>
      <c r="H67" s="109"/>
      <c r="I67" s="107" t="s">
        <v>134</v>
      </c>
      <c r="J67" s="107"/>
      <c r="K67" s="9"/>
    </row>
    <row r="68" spans="1:15" x14ac:dyDescent="0.3">
      <c r="A68" s="9"/>
      <c r="B68" s="112"/>
      <c r="C68" s="112"/>
      <c r="D68" s="112"/>
      <c r="E68" s="112"/>
      <c r="F68" s="132"/>
      <c r="G68" s="110"/>
      <c r="H68" s="111"/>
      <c r="I68" s="15" t="s">
        <v>132</v>
      </c>
      <c r="J68" s="15" t="s">
        <v>168</v>
      </c>
      <c r="K68" s="9"/>
    </row>
    <row r="69" spans="1:15" x14ac:dyDescent="0.3">
      <c r="A69" s="9"/>
      <c r="B69" s="129" t="str">
        <f>BasicPackage</f>
        <v>Basic Package</v>
      </c>
      <c r="C69" s="129"/>
      <c r="D69" s="129"/>
      <c r="E69" s="129"/>
      <c r="F69" s="17">
        <f>'Input Form'!B19</f>
        <v>10</v>
      </c>
      <c r="G69" s="133">
        <f>'Input Form'!D19</f>
        <v>0.5</v>
      </c>
      <c r="H69" s="134"/>
      <c r="I69" s="18">
        <f>IFERROR((I$65*G69*F69),0)</f>
        <v>35172.217218787235</v>
      </c>
      <c r="J69" s="18">
        <f>J$65*F69*G69</f>
        <v>43995.684764705882</v>
      </c>
      <c r="K69" s="9"/>
    </row>
    <row r="70" spans="1:15" x14ac:dyDescent="0.3">
      <c r="A70" s="9"/>
      <c r="B70" s="129" t="str">
        <f>MenuPackage1</f>
        <v>Menu Package #1</v>
      </c>
      <c r="C70" s="129"/>
      <c r="D70" s="129"/>
      <c r="E70" s="129"/>
      <c r="F70" s="17">
        <f>'Input Form'!B20</f>
        <v>15</v>
      </c>
      <c r="G70" s="133">
        <f>'Input Form'!D20</f>
        <v>0.25</v>
      </c>
      <c r="H70" s="134"/>
      <c r="I70" s="18">
        <f>IFERROR((I$65*G70*F70),0)</f>
        <v>26379.162914090426</v>
      </c>
      <c r="J70" s="18">
        <f t="shared" ref="J70:J73" si="0">J$65*F70*G70</f>
        <v>32996.76357352941</v>
      </c>
      <c r="K70" s="9"/>
    </row>
    <row r="71" spans="1:15" x14ac:dyDescent="0.3">
      <c r="A71" s="9"/>
      <c r="B71" s="129" t="str">
        <f>MenuPackage2</f>
        <v>Menu Package #2</v>
      </c>
      <c r="C71" s="129"/>
      <c r="D71" s="129"/>
      <c r="E71" s="129"/>
      <c r="F71" s="17">
        <f>'Input Form'!B21</f>
        <v>20</v>
      </c>
      <c r="G71" s="133">
        <f>'Input Form'!D21</f>
        <v>0.15</v>
      </c>
      <c r="H71" s="134"/>
      <c r="I71" s="18">
        <f>IFERROR((I$65*G71*F71),0)</f>
        <v>21103.33033127234</v>
      </c>
      <c r="J71" s="18">
        <f t="shared" si="0"/>
        <v>26397.410858823529</v>
      </c>
      <c r="K71" s="9"/>
    </row>
    <row r="72" spans="1:15" x14ac:dyDescent="0.3">
      <c r="A72" s="9"/>
      <c r="B72" s="129" t="str">
        <f>MenuPackage3</f>
        <v>Menu Package #3</v>
      </c>
      <c r="C72" s="129"/>
      <c r="D72" s="129"/>
      <c r="E72" s="129"/>
      <c r="F72" s="17">
        <f>'Input Form'!B22</f>
        <v>25</v>
      </c>
      <c r="G72" s="133">
        <f>'Input Form'!D22</f>
        <v>0.1</v>
      </c>
      <c r="H72" s="134"/>
      <c r="I72" s="18">
        <f t="shared" ref="I72:I73" si="1">I$65*G72*F72</f>
        <v>17586.108609393621</v>
      </c>
      <c r="J72" s="18">
        <f t="shared" si="0"/>
        <v>21997.842382352945</v>
      </c>
      <c r="K72" s="9"/>
    </row>
    <row r="73" spans="1:15" x14ac:dyDescent="0.3">
      <c r="A73" s="9"/>
      <c r="B73" s="129" t="str">
        <f>MenuPackage4</f>
        <v>Menu Package #4</v>
      </c>
      <c r="C73" s="129"/>
      <c r="D73" s="129"/>
      <c r="E73" s="129"/>
      <c r="F73" s="17">
        <f>'Input Form'!B23</f>
        <v>0</v>
      </c>
      <c r="G73" s="133">
        <f>'Input Form'!D23</f>
        <v>0</v>
      </c>
      <c r="H73" s="134"/>
      <c r="I73" s="18">
        <f t="shared" si="1"/>
        <v>0</v>
      </c>
      <c r="J73" s="18">
        <f t="shared" si="0"/>
        <v>0</v>
      </c>
      <c r="K73" s="9"/>
    </row>
    <row r="74" spans="1:15" x14ac:dyDescent="0.3">
      <c r="A74" s="9"/>
      <c r="B74" s="129" t="s">
        <v>138</v>
      </c>
      <c r="C74" s="129"/>
      <c r="D74" s="129"/>
      <c r="E74" s="129"/>
      <c r="F74" s="129"/>
      <c r="G74" s="129"/>
      <c r="H74" s="129"/>
      <c r="I74" s="18">
        <f>SUM(I69:I73)</f>
        <v>100240.81907354362</v>
      </c>
      <c r="J74" s="18">
        <f>SUM(J69:J73)</f>
        <v>125387.70157941176</v>
      </c>
      <c r="K74" s="9"/>
      <c r="O74" s="4"/>
    </row>
    <row r="75" spans="1:15" x14ac:dyDescent="0.3">
      <c r="A75" s="9"/>
      <c r="B75" s="126" t="s">
        <v>139</v>
      </c>
      <c r="C75" s="127"/>
      <c r="D75" s="127"/>
      <c r="E75" s="127"/>
      <c r="F75" s="19">
        <v>0.03</v>
      </c>
      <c r="G75" s="130">
        <v>0.75</v>
      </c>
      <c r="H75" s="130"/>
      <c r="I75" s="18">
        <f>-(I74*$F75*$G75)</f>
        <v>-2255.4184291547313</v>
      </c>
      <c r="J75" s="18">
        <f>-(J74*$F75*$G75)</f>
        <v>-2821.2232855367647</v>
      </c>
      <c r="K75" s="9"/>
      <c r="L75" s="6"/>
    </row>
    <row r="76" spans="1:15" x14ac:dyDescent="0.3">
      <c r="A76" s="9"/>
      <c r="B76" s="129" t="s">
        <v>140</v>
      </c>
      <c r="C76" s="129"/>
      <c r="D76" s="129"/>
      <c r="E76" s="129"/>
      <c r="F76" s="129"/>
      <c r="G76" s="129"/>
      <c r="H76" s="129"/>
      <c r="I76" s="18">
        <f>SUM(I74:I75)</f>
        <v>97985.400644388894</v>
      </c>
      <c r="J76" s="18">
        <f>SUM(J74:J75)</f>
        <v>122566.478293875</v>
      </c>
      <c r="K76" s="9"/>
      <c r="L76" s="4"/>
      <c r="N76" s="7"/>
    </row>
    <row r="77" spans="1:15" x14ac:dyDescent="0.3">
      <c r="A77" s="9"/>
      <c r="B77" s="129" t="s">
        <v>155</v>
      </c>
      <c r="C77" s="129"/>
      <c r="D77" s="129"/>
      <c r="E77" s="129"/>
      <c r="F77" s="129"/>
      <c r="G77" s="129"/>
      <c r="H77" s="129"/>
      <c r="I77" s="18">
        <f>IFERROR((I76/I65),0)</f>
        <v>13.929375</v>
      </c>
      <c r="J77" s="18">
        <f>J76/(J65+0.000000001)</f>
        <v>13.929374999998416</v>
      </c>
      <c r="K77" s="9"/>
      <c r="M77" s="4"/>
      <c r="N77" s="6"/>
    </row>
    <row r="78" spans="1:15" ht="18" x14ac:dyDescent="0.35">
      <c r="A78" s="9"/>
      <c r="B78" s="106" t="s">
        <v>158</v>
      </c>
      <c r="C78" s="106"/>
      <c r="D78" s="106"/>
      <c r="E78" s="106"/>
      <c r="F78" s="106"/>
      <c r="G78" s="106"/>
      <c r="H78" s="106"/>
      <c r="I78" s="106"/>
      <c r="J78" s="106"/>
      <c r="K78" s="9"/>
    </row>
    <row r="79" spans="1:15" x14ac:dyDescent="0.3">
      <c r="A79" s="9"/>
      <c r="B79" s="113" t="s">
        <v>141</v>
      </c>
      <c r="C79" s="113"/>
      <c r="D79" s="113"/>
      <c r="E79" s="113"/>
      <c r="F79" s="113"/>
      <c r="G79" s="107" t="s">
        <v>142</v>
      </c>
      <c r="H79" s="107"/>
      <c r="I79" s="15" t="s">
        <v>132</v>
      </c>
      <c r="J79" s="15" t="s">
        <v>133</v>
      </c>
      <c r="K79" s="9"/>
      <c r="M79" s="4"/>
    </row>
    <row r="80" spans="1:15" x14ac:dyDescent="0.3">
      <c r="A80" s="9"/>
      <c r="B80" s="126" t="s">
        <v>145</v>
      </c>
      <c r="C80" s="127"/>
      <c r="D80" s="127"/>
      <c r="E80" s="127"/>
      <c r="F80" s="128"/>
      <c r="G80" s="122">
        <v>0.03</v>
      </c>
      <c r="H80" s="123"/>
      <c r="I80" s="18">
        <f>$G80*I76</f>
        <v>2939.5620193316668</v>
      </c>
      <c r="J80" s="18">
        <f>$G80*J76</f>
        <v>3676.9943488162498</v>
      </c>
      <c r="K80" s="9"/>
    </row>
    <row r="81" spans="1:12" x14ac:dyDescent="0.3">
      <c r="A81" s="9"/>
      <c r="B81" s="126" t="s">
        <v>143</v>
      </c>
      <c r="C81" s="127"/>
      <c r="D81" s="127"/>
      <c r="E81" s="127"/>
      <c r="F81" s="128"/>
      <c r="G81" s="124">
        <f>IFERROR((J81/J74),0)</f>
        <v>5.6449122807017547E-2</v>
      </c>
      <c r="H81" s="125"/>
      <c r="I81" s="18">
        <f>G81*I76</f>
        <v>5531.1899142699249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7078.0257649458827</v>
      </c>
      <c r="K81" s="9"/>
    </row>
    <row r="82" spans="1:12" x14ac:dyDescent="0.3">
      <c r="A82" s="9"/>
      <c r="B82" s="126" t="s">
        <v>146</v>
      </c>
      <c r="C82" s="127"/>
      <c r="D82" s="127"/>
      <c r="E82" s="127"/>
      <c r="F82" s="128"/>
      <c r="G82" s="122">
        <v>0.01</v>
      </c>
      <c r="H82" s="123"/>
      <c r="I82" s="18">
        <f>$G82*I76</f>
        <v>979.85400644388892</v>
      </c>
      <c r="J82" s="18">
        <f>$G82*J76</f>
        <v>1225.66478293875</v>
      </c>
      <c r="K82" s="9"/>
    </row>
    <row r="83" spans="1:12" x14ac:dyDescent="0.3">
      <c r="A83" s="9"/>
      <c r="B83" s="126" t="s">
        <v>152</v>
      </c>
      <c r="C83" s="127"/>
      <c r="D83" s="127"/>
      <c r="E83" s="127"/>
      <c r="F83" s="128"/>
      <c r="G83" s="124">
        <f>IFERROR((I83/I74),0)</f>
        <v>9.9759759471471452E-3</v>
      </c>
      <c r="H83" s="125"/>
      <c r="I83" s="20">
        <v>1000</v>
      </c>
      <c r="J83" s="18">
        <f>I83</f>
        <v>1000</v>
      </c>
      <c r="K83" s="9"/>
    </row>
    <row r="84" spans="1:12" x14ac:dyDescent="0.3">
      <c r="A84" s="9"/>
      <c r="B84" s="126" t="s">
        <v>24</v>
      </c>
      <c r="C84" s="127"/>
      <c r="D84" s="127"/>
      <c r="E84" s="127"/>
      <c r="F84" s="128"/>
      <c r="G84" s="124">
        <f>IFERROR((I84/I74),0)</f>
        <v>0.25237223951092846</v>
      </c>
      <c r="H84" s="125"/>
      <c r="I84" s="18">
        <f>J84</f>
        <v>25298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25298</v>
      </c>
      <c r="K84" s="9"/>
    </row>
    <row r="85" spans="1:12" x14ac:dyDescent="0.3">
      <c r="A85" s="9"/>
      <c r="B85" s="126" t="s">
        <v>147</v>
      </c>
      <c r="C85" s="127"/>
      <c r="D85" s="127"/>
      <c r="E85" s="127"/>
      <c r="F85" s="128"/>
      <c r="G85" s="122">
        <v>0.01</v>
      </c>
      <c r="H85" s="123"/>
      <c r="I85" s="18">
        <f>$G85*I76</f>
        <v>979.85400644388892</v>
      </c>
      <c r="J85" s="18">
        <f>$G85*J76</f>
        <v>1225.66478293875</v>
      </c>
      <c r="K85" s="9"/>
    </row>
    <row r="86" spans="1:12" x14ac:dyDescent="0.3">
      <c r="A86" s="9"/>
      <c r="B86" s="126" t="s">
        <v>148</v>
      </c>
      <c r="C86" s="127"/>
      <c r="D86" s="127"/>
      <c r="E86" s="127"/>
      <c r="F86" s="128"/>
      <c r="G86" s="122">
        <v>0.01</v>
      </c>
      <c r="H86" s="123"/>
      <c r="I86" s="18">
        <f>$G86*I76</f>
        <v>979.85400644388892</v>
      </c>
      <c r="J86" s="18">
        <f>$G86*J76</f>
        <v>1225.66478293875</v>
      </c>
      <c r="K86" s="9"/>
    </row>
    <row r="87" spans="1:12" x14ac:dyDescent="0.3">
      <c r="A87" s="9"/>
      <c r="B87" s="126" t="s">
        <v>150</v>
      </c>
      <c r="C87" s="127"/>
      <c r="D87" s="127"/>
      <c r="E87" s="127"/>
      <c r="F87" s="128"/>
      <c r="G87" s="122">
        <v>1.4999999999999999E-2</v>
      </c>
      <c r="H87" s="123"/>
      <c r="I87" s="18">
        <f>$G87*I76</f>
        <v>1469.7810096658334</v>
      </c>
      <c r="J87" s="18">
        <f>$G87*J76</f>
        <v>1838.4971744081249</v>
      </c>
      <c r="K87" s="9"/>
    </row>
    <row r="88" spans="1:12" x14ac:dyDescent="0.3">
      <c r="A88" s="9"/>
      <c r="B88" s="126" t="s">
        <v>153</v>
      </c>
      <c r="C88" s="127"/>
      <c r="D88" s="127"/>
      <c r="E88" s="127"/>
      <c r="F88" s="128"/>
      <c r="G88" s="122">
        <v>0.01</v>
      </c>
      <c r="H88" s="123"/>
      <c r="I88" s="18">
        <f>$G88*I76</f>
        <v>979.85400644388892</v>
      </c>
      <c r="J88" s="18">
        <f>$G88*J76</f>
        <v>1225.66478293875</v>
      </c>
      <c r="K88" s="9"/>
    </row>
    <row r="89" spans="1:12" x14ac:dyDescent="0.3">
      <c r="A89" s="9"/>
      <c r="B89" s="126" t="s">
        <v>151</v>
      </c>
      <c r="C89" s="127"/>
      <c r="D89" s="127"/>
      <c r="E89" s="127"/>
      <c r="F89" s="128"/>
      <c r="G89" s="124">
        <f>IFERROR((I89/I74),0)</f>
        <v>1.995195189429429E-2</v>
      </c>
      <c r="H89" s="125"/>
      <c r="I89" s="20">
        <v>2000</v>
      </c>
      <c r="J89" s="18">
        <f>I89</f>
        <v>2000</v>
      </c>
      <c r="K89" s="9"/>
    </row>
    <row r="90" spans="1:12" x14ac:dyDescent="0.3">
      <c r="A90" s="9"/>
      <c r="B90" s="126" t="s">
        <v>149</v>
      </c>
      <c r="C90" s="127"/>
      <c r="D90" s="127"/>
      <c r="E90" s="127"/>
      <c r="F90" s="128"/>
      <c r="G90" s="122">
        <v>0.01</v>
      </c>
      <c r="H90" s="123"/>
      <c r="I90" s="18">
        <f>$G90*I76</f>
        <v>979.85400644388892</v>
      </c>
      <c r="J90" s="18">
        <f>$G90*J76</f>
        <v>1225.66478293875</v>
      </c>
      <c r="K90" s="9"/>
      <c r="L90" s="4"/>
    </row>
    <row r="91" spans="1:12" x14ac:dyDescent="0.3">
      <c r="A91" s="9"/>
      <c r="B91" s="126" t="s">
        <v>144</v>
      </c>
      <c r="C91" s="127"/>
      <c r="D91" s="127"/>
      <c r="E91" s="127"/>
      <c r="F91" s="128"/>
      <c r="G91" s="122">
        <v>0.09</v>
      </c>
      <c r="H91" s="123"/>
      <c r="I91" s="18">
        <f>$G91*I76</f>
        <v>8818.6860579950007</v>
      </c>
      <c r="J91" s="18">
        <f>$G91*J76</f>
        <v>11030.98304644875</v>
      </c>
      <c r="K91" s="9"/>
      <c r="L91" s="4"/>
    </row>
    <row r="92" spans="1:12" x14ac:dyDescent="0.3">
      <c r="A92" s="9"/>
      <c r="B92" s="129" t="s">
        <v>154</v>
      </c>
      <c r="C92" s="129"/>
      <c r="D92" s="129"/>
      <c r="E92" s="129"/>
      <c r="F92" s="129"/>
      <c r="G92" s="129"/>
      <c r="H92" s="129"/>
      <c r="I92" s="18">
        <f>SUM(I80:I91)</f>
        <v>51956.489033481863</v>
      </c>
      <c r="J92" s="18">
        <f>SUM(J80:J91)</f>
        <v>58050.824249312762</v>
      </c>
      <c r="K92" s="9"/>
    </row>
    <row r="93" spans="1:12" x14ac:dyDescent="0.3">
      <c r="A93" s="9"/>
      <c r="B93" s="113" t="s">
        <v>159</v>
      </c>
      <c r="C93" s="113"/>
      <c r="D93" s="113"/>
      <c r="E93" s="113"/>
      <c r="F93" s="113"/>
      <c r="G93" s="113"/>
      <c r="H93" s="113"/>
      <c r="I93" s="21">
        <f>I76-I92</f>
        <v>46028.911610907031</v>
      </c>
      <c r="J93" s="21">
        <f>J76-J92</f>
        <v>64515.654044562238</v>
      </c>
      <c r="K93" s="9"/>
    </row>
    <row r="94" spans="1:12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2" x14ac:dyDescent="0.3">
      <c r="A95" s="9"/>
      <c r="B95" s="9"/>
      <c r="C95" s="9"/>
      <c r="D95" s="9"/>
      <c r="E95" s="9"/>
      <c r="F95" s="9"/>
      <c r="G95" s="9"/>
      <c r="H95" s="9"/>
      <c r="I95" s="22"/>
      <c r="J95" s="9"/>
      <c r="K95" s="9"/>
    </row>
    <row r="96" spans="1:12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5.8" x14ac:dyDescent="0.5">
      <c r="A105" s="9"/>
      <c r="B105" s="144" t="s">
        <v>17</v>
      </c>
      <c r="C105" s="145"/>
      <c r="D105" s="145"/>
      <c r="E105" s="145"/>
      <c r="F105" s="145"/>
      <c r="G105" s="145"/>
      <c r="H105" s="145"/>
      <c r="I105" s="145"/>
      <c r="J105" s="146"/>
      <c r="K105" s="9"/>
    </row>
    <row r="106" spans="1:11" x14ac:dyDescent="0.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">
      <c r="A108" s="9"/>
      <c r="B108" s="9"/>
      <c r="C108" s="113" t="s">
        <v>188</v>
      </c>
      <c r="D108" s="113"/>
      <c r="E108" s="147" t="str">
        <f>CustomerName</f>
        <v>Todd Oberle</v>
      </c>
      <c r="F108" s="148"/>
      <c r="G108" s="148"/>
      <c r="H108" s="148"/>
      <c r="I108" s="149"/>
      <c r="J108" s="9"/>
      <c r="K108" s="9"/>
    </row>
    <row r="109" spans="1:11" x14ac:dyDescent="0.3">
      <c r="A109" s="9"/>
      <c r="B109" s="9"/>
      <c r="C109" s="114" t="s">
        <v>189</v>
      </c>
      <c r="D109" s="115"/>
      <c r="E109" s="147" t="str">
        <f>CompanyName</f>
        <v>Scrubs Car Wash</v>
      </c>
      <c r="F109" s="148"/>
      <c r="G109" s="148"/>
      <c r="H109" s="148"/>
      <c r="I109" s="149"/>
      <c r="J109" s="9"/>
      <c r="K109" s="9"/>
    </row>
    <row r="110" spans="1:11" x14ac:dyDescent="0.3">
      <c r="A110" s="9"/>
      <c r="B110" s="9"/>
      <c r="C110" s="116" t="s">
        <v>130</v>
      </c>
      <c r="D110" s="117"/>
      <c r="E110" s="154" t="str">
        <f>AddressLine1</f>
        <v xml:space="preserve"> </v>
      </c>
      <c r="F110" s="155"/>
      <c r="G110" s="155"/>
      <c r="H110" s="155"/>
      <c r="I110" s="156"/>
      <c r="J110" s="9"/>
      <c r="K110" s="9"/>
    </row>
    <row r="111" spans="1:11" x14ac:dyDescent="0.3">
      <c r="A111" s="9"/>
      <c r="B111" s="9"/>
      <c r="C111" s="118"/>
      <c r="D111" s="119"/>
      <c r="E111" s="157" t="str">
        <f>AddressLine2</f>
        <v>3361 Buford Drive</v>
      </c>
      <c r="F111" s="158"/>
      <c r="G111" s="158"/>
      <c r="H111" s="158"/>
      <c r="I111" s="159"/>
      <c r="J111" s="9"/>
      <c r="K111" s="9"/>
    </row>
    <row r="112" spans="1:11" x14ac:dyDescent="0.3">
      <c r="A112" s="9"/>
      <c r="B112" s="9"/>
      <c r="C112" s="120"/>
      <c r="D112" s="121"/>
      <c r="E112" s="160" t="str">
        <f>AddressLine3</f>
        <v>Buford GA 30519</v>
      </c>
      <c r="F112" s="161"/>
      <c r="G112" s="161"/>
      <c r="H112" s="161"/>
      <c r="I112" s="162"/>
      <c r="J112" s="9"/>
      <c r="K112" s="9"/>
    </row>
    <row r="113" spans="1:11" x14ac:dyDescent="0.3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4">
      <c r="A115" s="9"/>
      <c r="B115" s="105" t="s">
        <v>131</v>
      </c>
      <c r="C115" s="105"/>
      <c r="D115" s="105"/>
      <c r="E115" s="105"/>
      <c r="F115" s="105"/>
      <c r="G115" s="105"/>
      <c r="H115" s="105"/>
      <c r="I115" s="105"/>
      <c r="J115" s="105"/>
      <c r="K115" s="9"/>
    </row>
    <row r="116" spans="1:11" ht="41.4" x14ac:dyDescent="0.3">
      <c r="A116" s="9"/>
      <c r="B116" s="23" t="s">
        <v>111</v>
      </c>
      <c r="C116" s="151" t="s">
        <v>112</v>
      </c>
      <c r="D116" s="151"/>
      <c r="E116" s="23" t="s">
        <v>113</v>
      </c>
      <c r="F116" s="23" t="s">
        <v>114</v>
      </c>
      <c r="G116" s="151" t="s">
        <v>115</v>
      </c>
      <c r="H116" s="151"/>
      <c r="I116" s="151" t="s">
        <v>116</v>
      </c>
      <c r="J116" s="151"/>
      <c r="K116" s="9"/>
    </row>
    <row r="117" spans="1:11" x14ac:dyDescent="0.3">
      <c r="A117" s="9"/>
      <c r="B117" s="24" t="s">
        <v>118</v>
      </c>
      <c r="C117" s="150">
        <f>'Input Form'!B81</f>
        <v>2000000</v>
      </c>
      <c r="D117" s="134"/>
      <c r="E117" s="25">
        <f>'Input Form'!C81</f>
        <v>0.2</v>
      </c>
      <c r="F117" s="25">
        <f>'Input Form'!D81</f>
        <v>0.8</v>
      </c>
      <c r="G117" s="152">
        <f>'Input Form'!E81</f>
        <v>400000</v>
      </c>
      <c r="H117" s="153"/>
      <c r="I117" s="150">
        <f>'Input Form'!F81</f>
        <v>1600000</v>
      </c>
      <c r="J117" s="134"/>
      <c r="K117" s="9"/>
    </row>
    <row r="118" spans="1:11" x14ac:dyDescent="0.3">
      <c r="A118" s="9"/>
      <c r="B118" s="24" t="s">
        <v>120</v>
      </c>
      <c r="C118" s="150">
        <f>'Input Form'!B82</f>
        <v>1500000</v>
      </c>
      <c r="D118" s="134"/>
      <c r="E118" s="25">
        <f>'Input Form'!C82</f>
        <v>0.2</v>
      </c>
      <c r="F118" s="25">
        <f>'Input Form'!D82</f>
        <v>0.8</v>
      </c>
      <c r="G118" s="152">
        <f>'Input Form'!E82</f>
        <v>300000</v>
      </c>
      <c r="H118" s="153"/>
      <c r="I118" s="150">
        <f>'Input Form'!F82</f>
        <v>1200000</v>
      </c>
      <c r="J118" s="134"/>
      <c r="K118" s="9"/>
    </row>
    <row r="119" spans="1:11" x14ac:dyDescent="0.3">
      <c r="A119" s="9"/>
      <c r="B119" s="24" t="s">
        <v>117</v>
      </c>
      <c r="C119" s="150">
        <f>'Input Form'!B83</f>
        <v>1500000</v>
      </c>
      <c r="D119" s="134"/>
      <c r="E119" s="25">
        <f>'Input Form'!C83</f>
        <v>0.2</v>
      </c>
      <c r="F119" s="25">
        <f>'Input Form'!D83</f>
        <v>0.8</v>
      </c>
      <c r="G119" s="152">
        <f>'Input Form'!E83</f>
        <v>300000</v>
      </c>
      <c r="H119" s="153"/>
      <c r="I119" s="150">
        <f>'Input Form'!F83</f>
        <v>1200000</v>
      </c>
      <c r="J119" s="134"/>
      <c r="K119" s="9"/>
    </row>
    <row r="120" spans="1:11" x14ac:dyDescent="0.3">
      <c r="A120" s="9"/>
      <c r="B120" s="24" t="s">
        <v>119</v>
      </c>
      <c r="C120" s="150">
        <f>'Input Form'!B84</f>
        <v>200000</v>
      </c>
      <c r="D120" s="134"/>
      <c r="E120" s="25">
        <f>'Input Form'!C84</f>
        <v>0.2</v>
      </c>
      <c r="F120" s="25">
        <f>'Input Form'!D84</f>
        <v>0.8</v>
      </c>
      <c r="G120" s="152">
        <f>'Input Form'!E84</f>
        <v>40000</v>
      </c>
      <c r="H120" s="153"/>
      <c r="I120" s="150">
        <f>'Input Form'!F84</f>
        <v>160000</v>
      </c>
      <c r="J120" s="134"/>
      <c r="K120" s="9"/>
    </row>
    <row r="121" spans="1:11" x14ac:dyDescent="0.3">
      <c r="A121" s="9"/>
      <c r="B121" s="24" t="s">
        <v>160</v>
      </c>
      <c r="C121" s="150">
        <f>'Input Form'!B85</f>
        <v>100000</v>
      </c>
      <c r="D121" s="134"/>
      <c r="E121" s="25">
        <f>'Input Form'!C85</f>
        <v>0.2</v>
      </c>
      <c r="F121" s="25">
        <f>'Input Form'!D85</f>
        <v>0.8</v>
      </c>
      <c r="G121" s="152">
        <f>'Input Form'!E85</f>
        <v>20000</v>
      </c>
      <c r="H121" s="153"/>
      <c r="I121" s="150">
        <f>'Input Form'!F85</f>
        <v>80000</v>
      </c>
      <c r="J121" s="134"/>
      <c r="K121" s="9"/>
    </row>
    <row r="122" spans="1:11" x14ac:dyDescent="0.3">
      <c r="A122" s="9"/>
      <c r="B122" s="24" t="s">
        <v>161</v>
      </c>
      <c r="C122" s="150">
        <f>'Input Form'!B86</f>
        <v>5300000</v>
      </c>
      <c r="D122" s="134"/>
      <c r="E122" s="25">
        <f>'Input Form'!C86</f>
        <v>0.2</v>
      </c>
      <c r="F122" s="25">
        <f>'Input Form'!D86</f>
        <v>0.8</v>
      </c>
      <c r="G122" s="152">
        <f>'Input Form'!E86</f>
        <v>1060000</v>
      </c>
      <c r="H122" s="153"/>
      <c r="I122" s="150">
        <f>'Input Form'!F86</f>
        <v>4240000</v>
      </c>
      <c r="J122" s="134"/>
      <c r="K122" s="9"/>
    </row>
    <row r="123" spans="1:11" ht="18" x14ac:dyDescent="0.35">
      <c r="A123" s="9"/>
      <c r="B123" s="106" t="s">
        <v>122</v>
      </c>
      <c r="C123" s="106"/>
      <c r="D123" s="106"/>
      <c r="E123" s="106"/>
      <c r="F123" s="106"/>
      <c r="G123" s="106"/>
      <c r="H123" s="106"/>
      <c r="I123" s="106"/>
      <c r="J123" s="106"/>
      <c r="K123" s="9"/>
    </row>
    <row r="124" spans="1:11" ht="27.6" x14ac:dyDescent="0.3">
      <c r="A124" s="9"/>
      <c r="B124" s="23" t="s">
        <v>111</v>
      </c>
      <c r="C124" s="151" t="s">
        <v>116</v>
      </c>
      <c r="D124" s="151"/>
      <c r="E124" s="164" t="s">
        <v>128</v>
      </c>
      <c r="F124" s="165"/>
      <c r="G124" s="151" t="s">
        <v>162</v>
      </c>
      <c r="H124" s="151"/>
      <c r="I124" s="151" t="s">
        <v>127</v>
      </c>
      <c r="J124" s="151"/>
      <c r="K124" s="9"/>
    </row>
    <row r="125" spans="1:11" x14ac:dyDescent="0.3">
      <c r="A125" s="9"/>
      <c r="B125" s="24" t="s">
        <v>118</v>
      </c>
      <c r="C125" s="150">
        <f>'Input Form'!B89</f>
        <v>1600000</v>
      </c>
      <c r="D125" s="134"/>
      <c r="E125" s="102">
        <f>'Input Form'!C89</f>
        <v>0.1</v>
      </c>
      <c r="F125" s="103"/>
      <c r="G125" s="134">
        <f>'Input Form'!D89</f>
        <v>300</v>
      </c>
      <c r="H125" s="134"/>
      <c r="I125" s="163">
        <f>'Input Form'!F89</f>
        <v>14539.211928640967</v>
      </c>
      <c r="J125" s="163"/>
      <c r="K125" s="9"/>
    </row>
    <row r="126" spans="1:11" x14ac:dyDescent="0.3">
      <c r="A126" s="9"/>
      <c r="B126" s="24" t="s">
        <v>120</v>
      </c>
      <c r="C126" s="150">
        <f>'Input Form'!B90</f>
        <v>1200000</v>
      </c>
      <c r="D126" s="134"/>
      <c r="E126" s="102">
        <f>'Input Form'!C90</f>
        <v>0.1</v>
      </c>
      <c r="F126" s="103"/>
      <c r="G126" s="134">
        <f>'Input Form'!D90</f>
        <v>300</v>
      </c>
      <c r="H126" s="134"/>
      <c r="I126" s="163">
        <f>'Input Form'!F90</f>
        <v>10904.408946480726</v>
      </c>
      <c r="J126" s="163"/>
      <c r="K126" s="9"/>
    </row>
    <row r="127" spans="1:11" x14ac:dyDescent="0.3">
      <c r="A127" s="9"/>
      <c r="B127" s="24" t="s">
        <v>117</v>
      </c>
      <c r="C127" s="150">
        <f>'Input Form'!B91</f>
        <v>1200000</v>
      </c>
      <c r="D127" s="134"/>
      <c r="E127" s="102">
        <f>'Input Form'!C91</f>
        <v>0.1</v>
      </c>
      <c r="F127" s="103"/>
      <c r="G127" s="134">
        <f>'Input Form'!D91</f>
        <v>300</v>
      </c>
      <c r="H127" s="134"/>
      <c r="I127" s="163">
        <f>'Input Form'!F91</f>
        <v>10904.408946480726</v>
      </c>
      <c r="J127" s="163"/>
      <c r="K127" s="9"/>
    </row>
    <row r="128" spans="1:11" x14ac:dyDescent="0.3">
      <c r="A128" s="9"/>
      <c r="B128" s="24" t="s">
        <v>119</v>
      </c>
      <c r="C128" s="150">
        <f>'Input Form'!B92</f>
        <v>160000</v>
      </c>
      <c r="D128" s="134"/>
      <c r="E128" s="102">
        <f>'Input Form'!C92</f>
        <v>0.1</v>
      </c>
      <c r="F128" s="103"/>
      <c r="G128" s="134">
        <f>'Input Form'!D92</f>
        <v>300</v>
      </c>
      <c r="H128" s="134"/>
      <c r="I128" s="163">
        <f>'Input Form'!F92</f>
        <v>1453.9211928640968</v>
      </c>
      <c r="J128" s="163"/>
      <c r="K128" s="9"/>
    </row>
    <row r="129" spans="1:11" x14ac:dyDescent="0.3">
      <c r="A129" s="9"/>
      <c r="B129" s="24" t="s">
        <v>160</v>
      </c>
      <c r="C129" s="150">
        <f>'Input Form'!B93</f>
        <v>80000</v>
      </c>
      <c r="D129" s="134"/>
      <c r="E129" s="102">
        <f>'Input Form'!C93</f>
        <v>0.1</v>
      </c>
      <c r="F129" s="103"/>
      <c r="G129" s="134">
        <f>'Input Form'!D93</f>
        <v>300</v>
      </c>
      <c r="H129" s="134"/>
      <c r="I129" s="163">
        <f>'Input Form'!F93</f>
        <v>726.96059643204842</v>
      </c>
      <c r="J129" s="163"/>
      <c r="K129" s="9"/>
    </row>
    <row r="130" spans="1:11" x14ac:dyDescent="0.3">
      <c r="A130" s="9"/>
      <c r="B130" s="24" t="s">
        <v>123</v>
      </c>
      <c r="C130" s="150">
        <f>'Input Form'!B94</f>
        <v>4240000</v>
      </c>
      <c r="D130" s="134"/>
      <c r="E130" s="166"/>
      <c r="F130" s="167"/>
      <c r="G130" s="167"/>
      <c r="H130" s="168"/>
      <c r="I130" s="163">
        <f>'Input Form'!F94</f>
        <v>38528.911610898562</v>
      </c>
      <c r="J130" s="163"/>
      <c r="K130" s="9"/>
    </row>
    <row r="131" spans="1:11" ht="18" x14ac:dyDescent="0.35">
      <c r="A131" s="9"/>
      <c r="B131" s="106" t="s">
        <v>124</v>
      </c>
      <c r="C131" s="106"/>
      <c r="D131" s="106"/>
      <c r="E131" s="106"/>
      <c r="F131" s="106"/>
      <c r="G131" s="106"/>
      <c r="H131" s="106"/>
      <c r="I131" s="106"/>
      <c r="J131" s="106"/>
      <c r="K131" s="9"/>
    </row>
    <row r="132" spans="1:11" x14ac:dyDescent="0.3">
      <c r="A132" s="9"/>
      <c r="B132" s="113" t="s">
        <v>125</v>
      </c>
      <c r="C132" s="113"/>
      <c r="D132" s="113"/>
      <c r="E132" s="113"/>
      <c r="F132" s="113"/>
      <c r="G132" s="113"/>
      <c r="H132" s="113"/>
      <c r="I132" s="107" t="s">
        <v>127</v>
      </c>
      <c r="J132" s="107"/>
      <c r="K132" s="9"/>
    </row>
    <row r="133" spans="1:11" x14ac:dyDescent="0.3">
      <c r="A133" s="9"/>
      <c r="B133" s="129" t="s">
        <v>118</v>
      </c>
      <c r="C133" s="129"/>
      <c r="D133" s="129"/>
      <c r="E133" s="129"/>
      <c r="F133" s="129"/>
      <c r="G133" s="129"/>
      <c r="H133" s="129"/>
      <c r="I133" s="163">
        <f>'Input Form'!E97</f>
        <v>7500</v>
      </c>
      <c r="J133" s="163"/>
      <c r="K133" s="9"/>
    </row>
    <row r="134" spans="1:11" x14ac:dyDescent="0.3">
      <c r="A134" s="9"/>
      <c r="B134" s="129" t="s">
        <v>120</v>
      </c>
      <c r="C134" s="129"/>
      <c r="D134" s="129"/>
      <c r="E134" s="129"/>
      <c r="F134" s="129"/>
      <c r="G134" s="129"/>
      <c r="H134" s="129"/>
      <c r="I134" s="163">
        <f>'Input Form'!E98</f>
        <v>0</v>
      </c>
      <c r="J134" s="163"/>
      <c r="K134" s="9"/>
    </row>
    <row r="135" spans="1:11" x14ac:dyDescent="0.3">
      <c r="A135" s="9"/>
      <c r="B135" s="129" t="s">
        <v>117</v>
      </c>
      <c r="C135" s="129"/>
      <c r="D135" s="129"/>
      <c r="E135" s="129"/>
      <c r="F135" s="129"/>
      <c r="G135" s="129"/>
      <c r="H135" s="129"/>
      <c r="I135" s="163">
        <f>'Input Form'!E99</f>
        <v>0</v>
      </c>
      <c r="J135" s="163"/>
      <c r="K135" s="9"/>
    </row>
    <row r="136" spans="1:11" x14ac:dyDescent="0.3">
      <c r="A136" s="9"/>
      <c r="B136" s="129" t="s">
        <v>126</v>
      </c>
      <c r="C136" s="129"/>
      <c r="D136" s="129"/>
      <c r="E136" s="129"/>
      <c r="F136" s="129"/>
      <c r="G136" s="129"/>
      <c r="H136" s="129"/>
      <c r="I136" s="163">
        <f>'Input Form'!E100</f>
        <v>7500</v>
      </c>
      <c r="J136" s="163"/>
      <c r="K136" s="9"/>
    </row>
    <row r="137" spans="1:11" ht="18" x14ac:dyDescent="0.35">
      <c r="A137" s="9"/>
      <c r="B137" s="171" t="s">
        <v>163</v>
      </c>
      <c r="C137" s="172"/>
      <c r="D137" s="172"/>
      <c r="E137" s="172"/>
      <c r="F137" s="172"/>
      <c r="G137" s="169" t="s">
        <v>132</v>
      </c>
      <c r="H137" s="169"/>
      <c r="I137" s="169" t="s">
        <v>168</v>
      </c>
      <c r="J137" s="170"/>
      <c r="K137" s="9"/>
    </row>
    <row r="138" spans="1:11" x14ac:dyDescent="0.3">
      <c r="A138" s="9"/>
      <c r="B138" s="129" t="s">
        <v>140</v>
      </c>
      <c r="C138" s="129"/>
      <c r="D138" s="129"/>
      <c r="E138" s="129"/>
      <c r="F138" s="129"/>
      <c r="G138" s="163">
        <f>I76</f>
        <v>97985.400644388894</v>
      </c>
      <c r="H138" s="163"/>
      <c r="I138" s="163">
        <f>J76</f>
        <v>122566.478293875</v>
      </c>
      <c r="J138" s="163"/>
      <c r="K138" s="9"/>
    </row>
    <row r="139" spans="1:11" x14ac:dyDescent="0.3">
      <c r="A139" s="9"/>
      <c r="B139" s="129" t="s">
        <v>164</v>
      </c>
      <c r="C139" s="129"/>
      <c r="D139" s="129"/>
      <c r="E139" s="129"/>
      <c r="F139" s="129"/>
      <c r="G139" s="163">
        <f>I92</f>
        <v>51956.489033481863</v>
      </c>
      <c r="H139" s="163"/>
      <c r="I139" s="163">
        <f>J92</f>
        <v>58050.824249312762</v>
      </c>
      <c r="J139" s="163"/>
      <c r="K139" s="9"/>
    </row>
    <row r="140" spans="1:11" x14ac:dyDescent="0.3">
      <c r="A140" s="9"/>
      <c r="B140" s="129" t="s">
        <v>159</v>
      </c>
      <c r="C140" s="129"/>
      <c r="D140" s="129"/>
      <c r="E140" s="129"/>
      <c r="F140" s="129"/>
      <c r="G140" s="163">
        <f>G138-G139</f>
        <v>46028.911610907031</v>
      </c>
      <c r="H140" s="163"/>
      <c r="I140" s="163">
        <f>J93</f>
        <v>64515.654044562238</v>
      </c>
      <c r="J140" s="163"/>
      <c r="K140" s="9"/>
    </row>
    <row r="141" spans="1:11" x14ac:dyDescent="0.3">
      <c r="A141" s="9"/>
      <c r="B141" s="129" t="s">
        <v>165</v>
      </c>
      <c r="C141" s="129"/>
      <c r="D141" s="129"/>
      <c r="E141" s="129"/>
      <c r="F141" s="129"/>
      <c r="G141" s="163">
        <f>I130</f>
        <v>38528.911610898562</v>
      </c>
      <c r="H141" s="163"/>
      <c r="I141" s="163">
        <f>I130</f>
        <v>38528.911610898562</v>
      </c>
      <c r="J141" s="163"/>
      <c r="K141" s="9"/>
    </row>
    <row r="142" spans="1:11" x14ac:dyDescent="0.3">
      <c r="A142" s="9"/>
      <c r="B142" s="129" t="s">
        <v>166</v>
      </c>
      <c r="C142" s="129"/>
      <c r="D142" s="129"/>
      <c r="E142" s="129"/>
      <c r="F142" s="129"/>
      <c r="G142" s="163">
        <f>I136</f>
        <v>7500</v>
      </c>
      <c r="H142" s="163"/>
      <c r="I142" s="163">
        <f>I136</f>
        <v>7500</v>
      </c>
      <c r="J142" s="163"/>
      <c r="K142" s="9"/>
    </row>
    <row r="143" spans="1:11" x14ac:dyDescent="0.3">
      <c r="A143" s="9"/>
      <c r="B143" s="129" t="s">
        <v>167</v>
      </c>
      <c r="C143" s="129"/>
      <c r="D143" s="129"/>
      <c r="E143" s="129"/>
      <c r="F143" s="129"/>
      <c r="G143" s="163">
        <f>G140-G141-G142</f>
        <v>8.4692146629095078E-9</v>
      </c>
      <c r="H143" s="163"/>
      <c r="I143" s="163">
        <f>I140-I141-I142</f>
        <v>18486.742433663676</v>
      </c>
      <c r="J143" s="163"/>
      <c r="K143" s="9"/>
    </row>
    <row r="144" spans="1:1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5.8" x14ac:dyDescent="0.5">
      <c r="A154" s="9"/>
      <c r="B154" s="144" t="s">
        <v>17</v>
      </c>
      <c r="C154" s="145"/>
      <c r="D154" s="145"/>
      <c r="E154" s="145"/>
      <c r="F154" s="145"/>
      <c r="G154" s="145"/>
      <c r="H154" s="145"/>
      <c r="I154" s="145"/>
      <c r="J154" s="146"/>
      <c r="K154" s="9"/>
    </row>
    <row r="155" spans="1:11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">
      <c r="A157" s="9"/>
      <c r="B157" s="9"/>
      <c r="C157" s="113" t="s">
        <v>188</v>
      </c>
      <c r="D157" s="113"/>
      <c r="E157" s="147" t="str">
        <f>CustomerName</f>
        <v>Todd Oberle</v>
      </c>
      <c r="F157" s="148"/>
      <c r="G157" s="148"/>
      <c r="H157" s="148"/>
      <c r="I157" s="149"/>
      <c r="J157" s="9"/>
      <c r="K157" s="9"/>
    </row>
    <row r="158" spans="1:11" x14ac:dyDescent="0.3">
      <c r="A158" s="9"/>
      <c r="B158" s="9"/>
      <c r="C158" s="114" t="s">
        <v>189</v>
      </c>
      <c r="D158" s="115"/>
      <c r="E158" s="147" t="str">
        <f>CompanyName</f>
        <v>Scrubs Car Wash</v>
      </c>
      <c r="F158" s="148"/>
      <c r="G158" s="148"/>
      <c r="H158" s="148"/>
      <c r="I158" s="149"/>
      <c r="J158" s="9"/>
      <c r="K158" s="9"/>
    </row>
    <row r="159" spans="1:11" x14ac:dyDescent="0.3">
      <c r="A159" s="9"/>
      <c r="B159" s="9"/>
      <c r="C159" s="116" t="s">
        <v>130</v>
      </c>
      <c r="D159" s="117"/>
      <c r="E159" s="154" t="str">
        <f>AddressLine1</f>
        <v xml:space="preserve"> </v>
      </c>
      <c r="F159" s="155"/>
      <c r="G159" s="155"/>
      <c r="H159" s="155"/>
      <c r="I159" s="156"/>
      <c r="J159" s="9"/>
      <c r="K159" s="9"/>
    </row>
    <row r="160" spans="1:11" x14ac:dyDescent="0.3">
      <c r="A160" s="9"/>
      <c r="B160" s="9"/>
      <c r="C160" s="118"/>
      <c r="D160" s="119"/>
      <c r="E160" s="157" t="str">
        <f>AddressLine2</f>
        <v>3361 Buford Drive</v>
      </c>
      <c r="F160" s="158"/>
      <c r="G160" s="158"/>
      <c r="H160" s="158"/>
      <c r="I160" s="159"/>
      <c r="J160" s="9"/>
      <c r="K160" s="9"/>
    </row>
    <row r="161" spans="1:11" x14ac:dyDescent="0.3">
      <c r="A161" s="9"/>
      <c r="B161" s="9"/>
      <c r="C161" s="120"/>
      <c r="D161" s="121"/>
      <c r="E161" s="160" t="str">
        <f>AddressLine3</f>
        <v>Buford GA 30519</v>
      </c>
      <c r="F161" s="161"/>
      <c r="G161" s="161"/>
      <c r="H161" s="161"/>
      <c r="I161" s="162"/>
      <c r="J161" s="9"/>
      <c r="K161" s="9"/>
    </row>
    <row r="162" spans="1:11" x14ac:dyDescent="0.3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4">
      <c r="A164" s="9"/>
      <c r="B164" s="105" t="s">
        <v>190</v>
      </c>
      <c r="C164" s="105"/>
      <c r="D164" s="105"/>
      <c r="E164" s="105"/>
      <c r="F164" s="105"/>
      <c r="G164" s="105"/>
      <c r="H164" s="105"/>
      <c r="I164" s="105"/>
      <c r="J164" s="105"/>
      <c r="K164" s="9"/>
    </row>
    <row r="165" spans="1:11" x14ac:dyDescent="0.3">
      <c r="A165" s="9"/>
      <c r="B165" s="106" t="s">
        <v>169</v>
      </c>
      <c r="C165" s="106"/>
      <c r="D165" s="106"/>
      <c r="E165" s="106"/>
      <c r="F165" s="106"/>
      <c r="G165" s="106"/>
      <c r="H165" s="106"/>
      <c r="I165" s="15" t="s">
        <v>168</v>
      </c>
      <c r="J165" s="173" t="s">
        <v>170</v>
      </c>
      <c r="K165" s="9"/>
    </row>
    <row r="166" spans="1:11" x14ac:dyDescent="0.3">
      <c r="A166" s="9"/>
      <c r="B166" s="106"/>
      <c r="C166" s="106"/>
      <c r="D166" s="106"/>
      <c r="E166" s="106"/>
      <c r="F166" s="106"/>
      <c r="G166" s="106"/>
      <c r="H166" s="106"/>
      <c r="I166" s="16">
        <f>'Input Form'!B74</f>
        <v>105589.64343529413</v>
      </c>
      <c r="J166" s="173"/>
      <c r="K166" s="9"/>
    </row>
    <row r="167" spans="1:11" ht="18" x14ac:dyDescent="0.35">
      <c r="A167" s="9"/>
      <c r="B167" s="174" t="s">
        <v>157</v>
      </c>
      <c r="C167" s="174"/>
      <c r="D167" s="174"/>
      <c r="E167" s="174"/>
      <c r="F167" s="174"/>
      <c r="G167" s="174"/>
      <c r="H167" s="174"/>
      <c r="I167" s="174"/>
      <c r="J167" s="174"/>
      <c r="K167" s="9"/>
    </row>
    <row r="168" spans="1:11" ht="25.5" customHeight="1" x14ac:dyDescent="0.3">
      <c r="A168" s="9"/>
      <c r="B168" s="107" t="s">
        <v>137</v>
      </c>
      <c r="C168" s="107"/>
      <c r="D168" s="107"/>
      <c r="E168" s="107"/>
      <c r="F168" s="26" t="s">
        <v>136</v>
      </c>
      <c r="G168" s="173" t="s">
        <v>135</v>
      </c>
      <c r="H168" s="173"/>
      <c r="I168" s="107"/>
      <c r="J168" s="107"/>
      <c r="K168" s="9"/>
    </row>
    <row r="169" spans="1:11" x14ac:dyDescent="0.3">
      <c r="A169" s="9"/>
      <c r="B169" s="129" t="str">
        <f>BasicPackage</f>
        <v>Basic Package</v>
      </c>
      <c r="C169" s="129"/>
      <c r="D169" s="129"/>
      <c r="E169" s="129"/>
      <c r="F169" s="17">
        <f>BasicPackagePrice</f>
        <v>10</v>
      </c>
      <c r="G169" s="133">
        <f>'Input Form'!$D$19</f>
        <v>0.5</v>
      </c>
      <c r="H169" s="134"/>
      <c r="I169" s="18">
        <f>I$166*F169*G169</f>
        <v>527948.21717647067</v>
      </c>
      <c r="J169" s="27">
        <f>IFERROR((I169/I$174),0)</f>
        <v>0.35087719298245612</v>
      </c>
      <c r="K169" s="9"/>
    </row>
    <row r="170" spans="1:11" x14ac:dyDescent="0.3">
      <c r="A170" s="9"/>
      <c r="B170" s="129" t="str">
        <f>MenuPackage1</f>
        <v>Menu Package #1</v>
      </c>
      <c r="C170" s="129"/>
      <c r="D170" s="129"/>
      <c r="E170" s="129"/>
      <c r="F170" s="17">
        <f>MenuPackage1Price</f>
        <v>15</v>
      </c>
      <c r="G170" s="133">
        <f>'Input Form'!$D$20</f>
        <v>0.25</v>
      </c>
      <c r="H170" s="134"/>
      <c r="I170" s="18">
        <f>I$166*F170*G170</f>
        <v>395961.162882353</v>
      </c>
      <c r="J170" s="27">
        <f t="shared" ref="J170:J176" si="2">IFERROR((I170/I$174),0)</f>
        <v>0.26315789473684209</v>
      </c>
      <c r="K170" s="9"/>
    </row>
    <row r="171" spans="1:11" x14ac:dyDescent="0.3">
      <c r="A171" s="9"/>
      <c r="B171" s="129" t="str">
        <f>MenuPackage2</f>
        <v>Menu Package #2</v>
      </c>
      <c r="C171" s="129"/>
      <c r="D171" s="129"/>
      <c r="E171" s="129"/>
      <c r="F171" s="17">
        <f>MenuPackage2Price</f>
        <v>20</v>
      </c>
      <c r="G171" s="133">
        <f>'Input Form'!$D$21</f>
        <v>0.15</v>
      </c>
      <c r="H171" s="134"/>
      <c r="I171" s="18">
        <f>I$166*F171*G171</f>
        <v>316768.93030588242</v>
      </c>
      <c r="J171" s="27">
        <f t="shared" si="2"/>
        <v>0.2105263157894737</v>
      </c>
      <c r="K171" s="9"/>
    </row>
    <row r="172" spans="1:11" x14ac:dyDescent="0.3">
      <c r="A172" s="9"/>
      <c r="B172" s="129" t="str">
        <f>MenuPackage3</f>
        <v>Menu Package #3</v>
      </c>
      <c r="C172" s="129"/>
      <c r="D172" s="129"/>
      <c r="E172" s="129"/>
      <c r="F172" s="17">
        <f>MenuPackage3Price</f>
        <v>25</v>
      </c>
      <c r="G172" s="133">
        <f>'Input Form'!$D$22</f>
        <v>0.1</v>
      </c>
      <c r="H172" s="134"/>
      <c r="I172" s="18">
        <f>I$166*F172*G172</f>
        <v>263974.10858823534</v>
      </c>
      <c r="J172" s="27">
        <f t="shared" si="2"/>
        <v>0.17543859649122806</v>
      </c>
      <c r="K172" s="9"/>
    </row>
    <row r="173" spans="1:11" x14ac:dyDescent="0.3">
      <c r="A173" s="9"/>
      <c r="B173" s="129" t="str">
        <f>MenuPackage4</f>
        <v>Menu Package #4</v>
      </c>
      <c r="C173" s="129"/>
      <c r="D173" s="129"/>
      <c r="E173" s="129"/>
      <c r="F173" s="17">
        <f>MenuPackagePrice4</f>
        <v>0</v>
      </c>
      <c r="G173" s="133">
        <f>'Input Form'!$D$23</f>
        <v>0</v>
      </c>
      <c r="H173" s="134"/>
      <c r="I173" s="18">
        <f>I$166*F173*G173</f>
        <v>0</v>
      </c>
      <c r="J173" s="27">
        <f t="shared" si="2"/>
        <v>0</v>
      </c>
      <c r="K173" s="9"/>
    </row>
    <row r="174" spans="1:11" x14ac:dyDescent="0.3">
      <c r="A174" s="9"/>
      <c r="B174" s="129" t="s">
        <v>138</v>
      </c>
      <c r="C174" s="129"/>
      <c r="D174" s="129"/>
      <c r="E174" s="129"/>
      <c r="F174" s="129"/>
      <c r="G174" s="129"/>
      <c r="H174" s="129"/>
      <c r="I174" s="18">
        <f>SUM(I169:I173)</f>
        <v>1504652.4189529414</v>
      </c>
      <c r="J174" s="27">
        <f t="shared" si="2"/>
        <v>1</v>
      </c>
      <c r="K174" s="9"/>
    </row>
    <row r="175" spans="1:11" x14ac:dyDescent="0.3">
      <c r="A175" s="9"/>
      <c r="B175" s="129" t="s">
        <v>139</v>
      </c>
      <c r="C175" s="129"/>
      <c r="D175" s="129"/>
      <c r="E175" s="129"/>
      <c r="F175" s="28">
        <f>$F$75</f>
        <v>0.03</v>
      </c>
      <c r="G175" s="175">
        <f>$G$75</f>
        <v>0.75</v>
      </c>
      <c r="H175" s="175"/>
      <c r="I175" s="18">
        <f>-(I174*F175*G175)</f>
        <v>-33854.67942644118</v>
      </c>
      <c r="J175" s="27">
        <f t="shared" si="2"/>
        <v>-2.2499999999999999E-2</v>
      </c>
      <c r="K175" s="9"/>
    </row>
    <row r="176" spans="1:11" x14ac:dyDescent="0.3">
      <c r="A176" s="9"/>
      <c r="B176" s="129" t="s">
        <v>140</v>
      </c>
      <c r="C176" s="129"/>
      <c r="D176" s="129"/>
      <c r="E176" s="129"/>
      <c r="F176" s="129"/>
      <c r="G176" s="129"/>
      <c r="H176" s="129"/>
      <c r="I176" s="18">
        <f>I174+I175</f>
        <v>1470797.7395265002</v>
      </c>
      <c r="J176" s="27">
        <f t="shared" si="2"/>
        <v>0.97750000000000004</v>
      </c>
      <c r="K176" s="9"/>
    </row>
    <row r="177" spans="1:11" ht="18" x14ac:dyDescent="0.35">
      <c r="A177" s="9"/>
      <c r="B177" s="106" t="s">
        <v>158</v>
      </c>
      <c r="C177" s="106"/>
      <c r="D177" s="106"/>
      <c r="E177" s="106"/>
      <c r="F177" s="106"/>
      <c r="G177" s="106"/>
      <c r="H177" s="106"/>
      <c r="I177" s="106"/>
      <c r="J177" s="106"/>
      <c r="K177" s="9"/>
    </row>
    <row r="178" spans="1:11" x14ac:dyDescent="0.3">
      <c r="A178" s="9"/>
      <c r="B178" s="126" t="s">
        <v>145</v>
      </c>
      <c r="C178" s="127"/>
      <c r="D178" s="127"/>
      <c r="E178" s="127"/>
      <c r="F178" s="127"/>
      <c r="G178" s="127"/>
      <c r="H178" s="128"/>
      <c r="I178" s="18">
        <f>$G$80*I176</f>
        <v>44123.932185795005</v>
      </c>
      <c r="J178" s="27">
        <f>IFERROR((I178/I$176),0)</f>
        <v>0.03</v>
      </c>
      <c r="K178" s="9"/>
    </row>
    <row r="179" spans="1:11" x14ac:dyDescent="0.3">
      <c r="A179" s="9"/>
      <c r="B179" s="126" t="s">
        <v>143</v>
      </c>
      <c r="C179" s="127"/>
      <c r="D179" s="127"/>
      <c r="E179" s="127"/>
      <c r="F179" s="127"/>
      <c r="G179" s="127"/>
      <c r="H179" s="128"/>
      <c r="I179" s="18">
        <f>$G$81*I176</f>
        <v>83025.242222815214</v>
      </c>
      <c r="J179" s="27">
        <f t="shared" ref="J179:J196" si="3">IFERROR((I179/I$176),0)</f>
        <v>5.6449122807017547E-2</v>
      </c>
      <c r="K179" s="9"/>
    </row>
    <row r="180" spans="1:11" x14ac:dyDescent="0.3">
      <c r="A180" s="9"/>
      <c r="B180" s="126" t="s">
        <v>146</v>
      </c>
      <c r="C180" s="127"/>
      <c r="D180" s="127"/>
      <c r="E180" s="127"/>
      <c r="F180" s="127"/>
      <c r="G180" s="127"/>
      <c r="H180" s="128"/>
      <c r="I180" s="18">
        <f>$G$82*I176</f>
        <v>14707.977395265003</v>
      </c>
      <c r="J180" s="27">
        <f t="shared" si="3"/>
        <v>0.01</v>
      </c>
      <c r="K180" s="9"/>
    </row>
    <row r="181" spans="1:11" x14ac:dyDescent="0.3">
      <c r="A181" s="9"/>
      <c r="B181" s="126" t="s">
        <v>152</v>
      </c>
      <c r="C181" s="127"/>
      <c r="D181" s="127"/>
      <c r="E181" s="127"/>
      <c r="F181" s="127"/>
      <c r="G181" s="127"/>
      <c r="H181" s="128"/>
      <c r="I181" s="29">
        <f>$I$83*12</f>
        <v>12000</v>
      </c>
      <c r="J181" s="27">
        <f t="shared" si="3"/>
        <v>8.1588376685044449E-3</v>
      </c>
      <c r="K181" s="9"/>
    </row>
    <row r="182" spans="1:11" x14ac:dyDescent="0.3">
      <c r="A182" s="9"/>
      <c r="B182" s="126" t="s">
        <v>24</v>
      </c>
      <c r="C182" s="127"/>
      <c r="D182" s="127"/>
      <c r="E182" s="127"/>
      <c r="F182" s="127"/>
      <c r="G182" s="127"/>
      <c r="H182" s="128"/>
      <c r="I182" s="18">
        <f>$I$84*12</f>
        <v>303576</v>
      </c>
      <c r="J182" s="27">
        <f t="shared" si="3"/>
        <v>0.20640227533782546</v>
      </c>
      <c r="K182" s="9"/>
    </row>
    <row r="183" spans="1:11" x14ac:dyDescent="0.3">
      <c r="A183" s="9"/>
      <c r="B183" s="126" t="s">
        <v>147</v>
      </c>
      <c r="C183" s="127"/>
      <c r="D183" s="127"/>
      <c r="E183" s="127"/>
      <c r="F183" s="127"/>
      <c r="G183" s="127"/>
      <c r="H183" s="128"/>
      <c r="I183" s="18">
        <f>$G$85*I176</f>
        <v>14707.977395265003</v>
      </c>
      <c r="J183" s="27">
        <f t="shared" si="3"/>
        <v>0.01</v>
      </c>
      <c r="K183" s="9"/>
    </row>
    <row r="184" spans="1:11" x14ac:dyDescent="0.3">
      <c r="A184" s="9"/>
      <c r="B184" s="126" t="s">
        <v>148</v>
      </c>
      <c r="C184" s="127"/>
      <c r="D184" s="127"/>
      <c r="E184" s="127"/>
      <c r="F184" s="127"/>
      <c r="G184" s="127"/>
      <c r="H184" s="128"/>
      <c r="I184" s="18">
        <f>$G$86*I176</f>
        <v>14707.977395265003</v>
      </c>
      <c r="J184" s="27">
        <f t="shared" si="3"/>
        <v>0.01</v>
      </c>
      <c r="K184" s="9"/>
    </row>
    <row r="185" spans="1:11" x14ac:dyDescent="0.3">
      <c r="A185" s="9"/>
      <c r="B185" s="126" t="s">
        <v>150</v>
      </c>
      <c r="C185" s="127"/>
      <c r="D185" s="127"/>
      <c r="E185" s="127"/>
      <c r="F185" s="127"/>
      <c r="G185" s="127"/>
      <c r="H185" s="128"/>
      <c r="I185" s="18">
        <f>$G$87*I176</f>
        <v>22061.966092897503</v>
      </c>
      <c r="J185" s="27">
        <f t="shared" si="3"/>
        <v>1.4999999999999999E-2</v>
      </c>
      <c r="K185" s="9"/>
    </row>
    <row r="186" spans="1:11" x14ac:dyDescent="0.3">
      <c r="A186" s="9"/>
      <c r="B186" s="126" t="s">
        <v>153</v>
      </c>
      <c r="C186" s="127"/>
      <c r="D186" s="127"/>
      <c r="E186" s="127"/>
      <c r="F186" s="127"/>
      <c r="G186" s="127"/>
      <c r="H186" s="128"/>
      <c r="I186" s="18">
        <f>$G$88*I176</f>
        <v>14707.977395265003</v>
      </c>
      <c r="J186" s="27">
        <f t="shared" si="3"/>
        <v>0.01</v>
      </c>
      <c r="K186" s="9"/>
    </row>
    <row r="187" spans="1:11" x14ac:dyDescent="0.3">
      <c r="A187" s="9"/>
      <c r="B187" s="126" t="s">
        <v>151</v>
      </c>
      <c r="C187" s="127"/>
      <c r="D187" s="127"/>
      <c r="E187" s="127"/>
      <c r="F187" s="127"/>
      <c r="G187" s="127"/>
      <c r="H187" s="128"/>
      <c r="I187" s="29">
        <f>$I$89*12</f>
        <v>24000</v>
      </c>
      <c r="J187" s="27">
        <f t="shared" si="3"/>
        <v>1.631767533700889E-2</v>
      </c>
      <c r="K187" s="9"/>
    </row>
    <row r="188" spans="1:11" x14ac:dyDescent="0.3">
      <c r="A188" s="9"/>
      <c r="B188" s="126" t="s">
        <v>149</v>
      </c>
      <c r="C188" s="127"/>
      <c r="D188" s="127"/>
      <c r="E188" s="127"/>
      <c r="F188" s="127"/>
      <c r="G188" s="127"/>
      <c r="H188" s="128"/>
      <c r="I188" s="18">
        <f>$G$90*I176</f>
        <v>14707.977395265003</v>
      </c>
      <c r="J188" s="27">
        <f t="shared" si="3"/>
        <v>0.01</v>
      </c>
      <c r="K188" s="9"/>
    </row>
    <row r="189" spans="1:11" x14ac:dyDescent="0.3">
      <c r="A189" s="9"/>
      <c r="B189" s="126" t="s">
        <v>144</v>
      </c>
      <c r="C189" s="127"/>
      <c r="D189" s="127"/>
      <c r="E189" s="127"/>
      <c r="F189" s="127"/>
      <c r="G189" s="127"/>
      <c r="H189" s="128"/>
      <c r="I189" s="18">
        <f>$G$91*I176</f>
        <v>132371.79655738501</v>
      </c>
      <c r="J189" s="27">
        <f t="shared" si="3"/>
        <v>0.09</v>
      </c>
      <c r="K189" s="9"/>
    </row>
    <row r="190" spans="1:11" x14ac:dyDescent="0.3">
      <c r="A190" s="9"/>
      <c r="B190" s="129" t="s">
        <v>154</v>
      </c>
      <c r="C190" s="129"/>
      <c r="D190" s="129"/>
      <c r="E190" s="129"/>
      <c r="F190" s="129"/>
      <c r="G190" s="129"/>
      <c r="H190" s="129"/>
      <c r="I190" s="18">
        <f>SUM(I178:I189)</f>
        <v>694698.82403521787</v>
      </c>
      <c r="J190" s="27">
        <f t="shared" si="3"/>
        <v>0.47232791115035644</v>
      </c>
      <c r="K190" s="9"/>
    </row>
    <row r="191" spans="1:11" x14ac:dyDescent="0.3">
      <c r="A191" s="9"/>
      <c r="B191" s="113" t="s">
        <v>159</v>
      </c>
      <c r="C191" s="113"/>
      <c r="D191" s="113"/>
      <c r="E191" s="113"/>
      <c r="F191" s="113"/>
      <c r="G191" s="113"/>
      <c r="H191" s="113"/>
      <c r="I191" s="21">
        <f>I176-I190</f>
        <v>776098.91549128236</v>
      </c>
      <c r="J191" s="27">
        <f t="shared" si="3"/>
        <v>0.52767208884964356</v>
      </c>
      <c r="K191" s="9"/>
    </row>
    <row r="192" spans="1:11" ht="18" x14ac:dyDescent="0.35">
      <c r="A192" s="9"/>
      <c r="B192" s="106" t="s">
        <v>171</v>
      </c>
      <c r="C192" s="106"/>
      <c r="D192" s="106"/>
      <c r="E192" s="106"/>
      <c r="F192" s="106"/>
      <c r="G192" s="106"/>
      <c r="H192" s="106"/>
      <c r="I192" s="106"/>
      <c r="J192" s="106"/>
      <c r="K192" s="9"/>
    </row>
    <row r="193" spans="1:11" x14ac:dyDescent="0.3">
      <c r="A193" s="9"/>
      <c r="B193" s="126" t="s">
        <v>172</v>
      </c>
      <c r="C193" s="127"/>
      <c r="D193" s="127"/>
      <c r="E193" s="127"/>
      <c r="F193" s="127"/>
      <c r="G193" s="127"/>
      <c r="H193" s="128"/>
      <c r="I193" s="18">
        <f>$I$130*12</f>
        <v>462346.93933078274</v>
      </c>
      <c r="J193" s="27">
        <f t="shared" si="3"/>
        <v>0.3143511353774775</v>
      </c>
      <c r="K193" s="9"/>
    </row>
    <row r="194" spans="1:11" x14ac:dyDescent="0.3">
      <c r="A194" s="9"/>
      <c r="B194" s="126" t="s">
        <v>126</v>
      </c>
      <c r="C194" s="127"/>
      <c r="D194" s="127"/>
      <c r="E194" s="127"/>
      <c r="F194" s="127"/>
      <c r="G194" s="127"/>
      <c r="H194" s="128"/>
      <c r="I194" s="18">
        <f>$I$136*12</f>
        <v>90000</v>
      </c>
      <c r="J194" s="27">
        <f t="shared" si="3"/>
        <v>6.1191282513783342E-2</v>
      </c>
      <c r="K194" s="9"/>
    </row>
    <row r="195" spans="1:11" x14ac:dyDescent="0.3">
      <c r="A195" s="9"/>
      <c r="B195" s="129" t="s">
        <v>173</v>
      </c>
      <c r="C195" s="129"/>
      <c r="D195" s="129"/>
      <c r="E195" s="129"/>
      <c r="F195" s="129"/>
      <c r="G195" s="129"/>
      <c r="H195" s="129"/>
      <c r="I195" s="18">
        <f>I193+I194</f>
        <v>552346.93933078274</v>
      </c>
      <c r="J195" s="27">
        <f t="shared" si="3"/>
        <v>0.3755424178912608</v>
      </c>
      <c r="K195" s="9"/>
    </row>
    <row r="196" spans="1:11" x14ac:dyDescent="0.3">
      <c r="A196" s="9"/>
      <c r="B196" s="113" t="s">
        <v>195</v>
      </c>
      <c r="C196" s="113"/>
      <c r="D196" s="113"/>
      <c r="E196" s="113"/>
      <c r="F196" s="113"/>
      <c r="G196" s="113"/>
      <c r="H196" s="113"/>
      <c r="I196" s="21">
        <f>I191-I195</f>
        <v>223751.97616049962</v>
      </c>
      <c r="J196" s="27">
        <f t="shared" si="3"/>
        <v>0.15212967095838276</v>
      </c>
      <c r="K196" s="9"/>
    </row>
    <row r="197" spans="1:1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5.8" x14ac:dyDescent="0.5">
      <c r="A205" s="9"/>
      <c r="B205" s="144" t="s">
        <v>17</v>
      </c>
      <c r="C205" s="145"/>
      <c r="D205" s="145"/>
      <c r="E205" s="145"/>
      <c r="F205" s="145"/>
      <c r="G205" s="145"/>
      <c r="H205" s="145"/>
      <c r="I205" s="145"/>
      <c r="J205" s="146"/>
      <c r="K205" s="9"/>
    </row>
    <row r="206" spans="1:11" x14ac:dyDescent="0.3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">
      <c r="A208" s="9"/>
      <c r="B208" s="9"/>
      <c r="C208" s="113" t="s">
        <v>188</v>
      </c>
      <c r="D208" s="113"/>
      <c r="E208" s="147" t="str">
        <f>CustomerName</f>
        <v>Todd Oberle</v>
      </c>
      <c r="F208" s="148"/>
      <c r="G208" s="148"/>
      <c r="H208" s="148"/>
      <c r="I208" s="149"/>
      <c r="J208" s="9"/>
      <c r="K208" s="9"/>
    </row>
    <row r="209" spans="1:11" x14ac:dyDescent="0.3">
      <c r="A209" s="9"/>
      <c r="B209" s="9"/>
      <c r="C209" s="114" t="s">
        <v>189</v>
      </c>
      <c r="D209" s="115"/>
      <c r="E209" s="147" t="str">
        <f>CompanyName</f>
        <v>Scrubs Car Wash</v>
      </c>
      <c r="F209" s="148"/>
      <c r="G209" s="148"/>
      <c r="H209" s="148"/>
      <c r="I209" s="149"/>
      <c r="J209" s="9"/>
      <c r="K209" s="9"/>
    </row>
    <row r="210" spans="1:11" x14ac:dyDescent="0.3">
      <c r="A210" s="9"/>
      <c r="B210" s="9"/>
      <c r="C210" s="116" t="s">
        <v>130</v>
      </c>
      <c r="D210" s="117"/>
      <c r="E210" s="154" t="str">
        <f>AddressLine1</f>
        <v xml:space="preserve"> </v>
      </c>
      <c r="F210" s="155"/>
      <c r="G210" s="155"/>
      <c r="H210" s="155"/>
      <c r="I210" s="156"/>
      <c r="J210" s="9"/>
      <c r="K210" s="9"/>
    </row>
    <row r="211" spans="1:11" x14ac:dyDescent="0.3">
      <c r="A211" s="9"/>
      <c r="B211" s="9"/>
      <c r="C211" s="118"/>
      <c r="D211" s="119"/>
      <c r="E211" s="157" t="str">
        <f>AddressLine2</f>
        <v>3361 Buford Drive</v>
      </c>
      <c r="F211" s="158"/>
      <c r="G211" s="158"/>
      <c r="H211" s="158"/>
      <c r="I211" s="159"/>
      <c r="J211" s="9"/>
      <c r="K211" s="9"/>
    </row>
    <row r="212" spans="1:11" x14ac:dyDescent="0.3">
      <c r="A212" s="9"/>
      <c r="B212" s="9"/>
      <c r="C212" s="120"/>
      <c r="D212" s="121"/>
      <c r="E212" s="160" t="str">
        <f>AddressLine3</f>
        <v>Buford GA 30519</v>
      </c>
      <c r="F212" s="161"/>
      <c r="G212" s="161"/>
      <c r="H212" s="161"/>
      <c r="I212" s="162"/>
      <c r="J212" s="9"/>
      <c r="K212" s="9"/>
    </row>
    <row r="213" spans="1:11" x14ac:dyDescent="0.3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4">
      <c r="A215" s="9"/>
      <c r="B215" s="105" t="s">
        <v>191</v>
      </c>
      <c r="C215" s="105"/>
      <c r="D215" s="105"/>
      <c r="E215" s="105"/>
      <c r="F215" s="105"/>
      <c r="G215" s="105"/>
      <c r="H215" s="105"/>
      <c r="I215" s="105"/>
      <c r="J215" s="105"/>
      <c r="K215" s="9"/>
    </row>
    <row r="216" spans="1:11" x14ac:dyDescent="0.3">
      <c r="A216" s="9"/>
      <c r="B216" s="106" t="s">
        <v>169</v>
      </c>
      <c r="C216" s="106"/>
      <c r="D216" s="106"/>
      <c r="E216" s="106"/>
      <c r="F216" s="106"/>
      <c r="G216" s="106"/>
      <c r="H216" s="106"/>
      <c r="I216" s="15" t="s">
        <v>174</v>
      </c>
      <c r="J216" s="173" t="s">
        <v>170</v>
      </c>
      <c r="K216" s="9"/>
    </row>
    <row r="217" spans="1:11" x14ac:dyDescent="0.3">
      <c r="A217" s="9"/>
      <c r="B217" s="106"/>
      <c r="C217" s="106"/>
      <c r="D217" s="106"/>
      <c r="E217" s="106"/>
      <c r="F217" s="106"/>
      <c r="G217" s="106"/>
      <c r="H217" s="106"/>
      <c r="I217" s="16">
        <f>'Input Form'!C74</f>
        <v>139365.21260869564</v>
      </c>
      <c r="J217" s="173"/>
      <c r="K217" s="9"/>
    </row>
    <row r="218" spans="1:11" ht="18" x14ac:dyDescent="0.35">
      <c r="A218" s="9"/>
      <c r="B218" s="106" t="s">
        <v>157</v>
      </c>
      <c r="C218" s="106"/>
      <c r="D218" s="106"/>
      <c r="E218" s="106"/>
      <c r="F218" s="106"/>
      <c r="G218" s="106"/>
      <c r="H218" s="106"/>
      <c r="I218" s="106"/>
      <c r="J218" s="106"/>
      <c r="K218" s="9"/>
    </row>
    <row r="219" spans="1:11" ht="27.6" x14ac:dyDescent="0.3">
      <c r="A219" s="9"/>
      <c r="B219" s="107" t="s">
        <v>137</v>
      </c>
      <c r="C219" s="107"/>
      <c r="D219" s="107"/>
      <c r="E219" s="107"/>
      <c r="F219" s="26" t="s">
        <v>136</v>
      </c>
      <c r="G219" s="173" t="s">
        <v>135</v>
      </c>
      <c r="H219" s="173"/>
      <c r="I219" s="107"/>
      <c r="J219" s="107"/>
      <c r="K219" s="9"/>
    </row>
    <row r="220" spans="1:11" x14ac:dyDescent="0.3">
      <c r="A220" s="9"/>
      <c r="B220" s="129" t="str">
        <f>BasicPackage</f>
        <v>Basic Package</v>
      </c>
      <c r="C220" s="129"/>
      <c r="D220" s="129"/>
      <c r="E220" s="129"/>
      <c r="F220" s="17">
        <f>'Input Form'!B27</f>
        <v>10</v>
      </c>
      <c r="G220" s="133">
        <f>'Input Form'!$D$19</f>
        <v>0.5</v>
      </c>
      <c r="H220" s="134"/>
      <c r="I220" s="18">
        <f>I$217*F220*G220</f>
        <v>696826.06304347818</v>
      </c>
      <c r="J220" s="27">
        <f>IFERROR((I220/I$225),0)</f>
        <v>0.35087719298245612</v>
      </c>
      <c r="K220" s="9"/>
    </row>
    <row r="221" spans="1:11" x14ac:dyDescent="0.3">
      <c r="A221" s="9"/>
      <c r="B221" s="129" t="str">
        <f>MenuPackage1</f>
        <v>Menu Package #1</v>
      </c>
      <c r="C221" s="129"/>
      <c r="D221" s="129"/>
      <c r="E221" s="129"/>
      <c r="F221" s="17">
        <f>'Input Form'!B28</f>
        <v>15</v>
      </c>
      <c r="G221" s="133">
        <f>'Input Form'!$D$20</f>
        <v>0.25</v>
      </c>
      <c r="H221" s="134"/>
      <c r="I221" s="18">
        <f>I$217*F221*G221</f>
        <v>522619.54728260863</v>
      </c>
      <c r="J221" s="27">
        <f t="shared" ref="J221:J227" si="4">IFERROR((I221/I$225),0)</f>
        <v>0.26315789473684209</v>
      </c>
      <c r="K221" s="9"/>
    </row>
    <row r="222" spans="1:11" x14ac:dyDescent="0.3">
      <c r="A222" s="9"/>
      <c r="B222" s="129" t="str">
        <f>MenuPackage2</f>
        <v>Menu Package #2</v>
      </c>
      <c r="C222" s="129"/>
      <c r="D222" s="129"/>
      <c r="E222" s="129"/>
      <c r="F222" s="17">
        <f>'Input Form'!B29</f>
        <v>20</v>
      </c>
      <c r="G222" s="133">
        <f>'Input Form'!$D$21</f>
        <v>0.15</v>
      </c>
      <c r="H222" s="134"/>
      <c r="I222" s="18">
        <f>I$217*F222*G222</f>
        <v>418095.6378260869</v>
      </c>
      <c r="J222" s="27">
        <f t="shared" si="4"/>
        <v>0.21052631578947364</v>
      </c>
      <c r="K222" s="9"/>
    </row>
    <row r="223" spans="1:11" x14ac:dyDescent="0.3">
      <c r="A223" s="9"/>
      <c r="B223" s="129" t="str">
        <f>MenuPackage3</f>
        <v>Menu Package #3</v>
      </c>
      <c r="C223" s="129"/>
      <c r="D223" s="129"/>
      <c r="E223" s="129"/>
      <c r="F223" s="17">
        <f>'Input Form'!B30</f>
        <v>25</v>
      </c>
      <c r="G223" s="133">
        <f>'Input Form'!$D$22</f>
        <v>0.1</v>
      </c>
      <c r="H223" s="134"/>
      <c r="I223" s="18">
        <f>I$217*F223*G223</f>
        <v>348413.03152173915</v>
      </c>
      <c r="J223" s="27">
        <f t="shared" si="4"/>
        <v>0.17543859649122809</v>
      </c>
      <c r="K223" s="9"/>
    </row>
    <row r="224" spans="1:11" x14ac:dyDescent="0.3">
      <c r="A224" s="9"/>
      <c r="B224" s="129" t="str">
        <f>MenuPackage4</f>
        <v>Menu Package #4</v>
      </c>
      <c r="C224" s="129"/>
      <c r="D224" s="129"/>
      <c r="E224" s="129"/>
      <c r="F224" s="17">
        <f>'Input Form'!B31</f>
        <v>0</v>
      </c>
      <c r="G224" s="133">
        <f>'Input Form'!$D$23</f>
        <v>0</v>
      </c>
      <c r="H224" s="134"/>
      <c r="I224" s="18">
        <f>I$217*F224*G224</f>
        <v>0</v>
      </c>
      <c r="J224" s="27">
        <f t="shared" si="4"/>
        <v>0</v>
      </c>
      <c r="K224" s="9"/>
    </row>
    <row r="225" spans="1:11" x14ac:dyDescent="0.3">
      <c r="A225" s="9"/>
      <c r="B225" s="129" t="s">
        <v>138</v>
      </c>
      <c r="C225" s="129"/>
      <c r="D225" s="129"/>
      <c r="E225" s="129"/>
      <c r="F225" s="129"/>
      <c r="G225" s="129"/>
      <c r="H225" s="129"/>
      <c r="I225" s="18">
        <f>SUM(I220:I224)</f>
        <v>1985954.279673913</v>
      </c>
      <c r="J225" s="27">
        <f t="shared" si="4"/>
        <v>1</v>
      </c>
      <c r="K225" s="9"/>
    </row>
    <row r="226" spans="1:11" x14ac:dyDescent="0.3">
      <c r="A226" s="9"/>
      <c r="B226" s="129" t="s">
        <v>139</v>
      </c>
      <c r="C226" s="129"/>
      <c r="D226" s="129"/>
      <c r="E226" s="129"/>
      <c r="F226" s="28">
        <f>$F$75</f>
        <v>0.03</v>
      </c>
      <c r="G226" s="175">
        <f>$G$75</f>
        <v>0.75</v>
      </c>
      <c r="H226" s="175"/>
      <c r="I226" s="18">
        <f>-(I225*F226*G226)</f>
        <v>-44683.971292663045</v>
      </c>
      <c r="J226" s="27">
        <f t="shared" si="4"/>
        <v>-2.2500000000000003E-2</v>
      </c>
      <c r="K226" s="9"/>
    </row>
    <row r="227" spans="1:11" x14ac:dyDescent="0.3">
      <c r="A227" s="9"/>
      <c r="B227" s="129" t="s">
        <v>140</v>
      </c>
      <c r="C227" s="129"/>
      <c r="D227" s="129"/>
      <c r="E227" s="129"/>
      <c r="F227" s="129"/>
      <c r="G227" s="129"/>
      <c r="H227" s="129"/>
      <c r="I227" s="18">
        <f>I225+I226</f>
        <v>1941270.3083812499</v>
      </c>
      <c r="J227" s="27">
        <f t="shared" si="4"/>
        <v>0.97749999999999992</v>
      </c>
      <c r="K227" s="9"/>
    </row>
    <row r="228" spans="1:11" ht="18" x14ac:dyDescent="0.35">
      <c r="A228" s="9"/>
      <c r="B228" s="106" t="s">
        <v>158</v>
      </c>
      <c r="C228" s="106"/>
      <c r="D228" s="106"/>
      <c r="E228" s="106"/>
      <c r="F228" s="106"/>
      <c r="G228" s="106"/>
      <c r="H228" s="106"/>
      <c r="I228" s="106"/>
      <c r="J228" s="106"/>
      <c r="K228" s="9"/>
    </row>
    <row r="229" spans="1:11" x14ac:dyDescent="0.3">
      <c r="A229" s="9"/>
      <c r="B229" s="126" t="s">
        <v>145</v>
      </c>
      <c r="C229" s="127"/>
      <c r="D229" s="127"/>
      <c r="E229" s="127"/>
      <c r="F229" s="127"/>
      <c r="G229" s="127"/>
      <c r="H229" s="128"/>
      <c r="I229" s="18">
        <f>$G$80*I227</f>
        <v>58238.109251437498</v>
      </c>
      <c r="J229" s="27">
        <f>IFERROR((I229/I$227),0)</f>
        <v>0.03</v>
      </c>
      <c r="K229" s="9"/>
    </row>
    <row r="230" spans="1:11" x14ac:dyDescent="0.3">
      <c r="A230" s="9"/>
      <c r="B230" s="126" t="s">
        <v>143</v>
      </c>
      <c r="C230" s="127"/>
      <c r="D230" s="127"/>
      <c r="E230" s="127"/>
      <c r="F230" s="127"/>
      <c r="G230" s="127"/>
      <c r="H230" s="128"/>
      <c r="I230" s="18">
        <f>$G$81*I227</f>
        <v>109583.00603942999</v>
      </c>
      <c r="J230" s="27">
        <f t="shared" ref="J230:J247" si="5">IFERROR((I230/I$227),0)</f>
        <v>5.6449122807017547E-2</v>
      </c>
      <c r="K230" s="9"/>
    </row>
    <row r="231" spans="1:11" x14ac:dyDescent="0.3">
      <c r="A231" s="9"/>
      <c r="B231" s="126" t="s">
        <v>146</v>
      </c>
      <c r="C231" s="127"/>
      <c r="D231" s="127"/>
      <c r="E231" s="127"/>
      <c r="F231" s="127"/>
      <c r="G231" s="127"/>
      <c r="H231" s="128"/>
      <c r="I231" s="18">
        <f>$G$82*I227</f>
        <v>19412.703083812499</v>
      </c>
      <c r="J231" s="27">
        <f t="shared" si="5"/>
        <v>0.01</v>
      </c>
      <c r="K231" s="9"/>
    </row>
    <row r="232" spans="1:11" x14ac:dyDescent="0.3">
      <c r="A232" s="9"/>
      <c r="B232" s="126" t="s">
        <v>152</v>
      </c>
      <c r="C232" s="127"/>
      <c r="D232" s="127"/>
      <c r="E232" s="127"/>
      <c r="F232" s="127"/>
      <c r="G232" s="127"/>
      <c r="H232" s="128"/>
      <c r="I232" s="29">
        <f>$I$83*12</f>
        <v>12000</v>
      </c>
      <c r="J232" s="27">
        <f t="shared" si="5"/>
        <v>6.1815193629610162E-3</v>
      </c>
      <c r="K232" s="9"/>
    </row>
    <row r="233" spans="1:11" x14ac:dyDescent="0.3">
      <c r="A233" s="9"/>
      <c r="B233" s="126" t="s">
        <v>24</v>
      </c>
      <c r="C233" s="127"/>
      <c r="D233" s="127"/>
      <c r="E233" s="127"/>
      <c r="F233" s="127"/>
      <c r="G233" s="127"/>
      <c r="H233" s="128"/>
      <c r="I233" s="18">
        <f>$I$84*12</f>
        <v>303576</v>
      </c>
      <c r="J233" s="27">
        <f t="shared" si="5"/>
        <v>0.15638007684418781</v>
      </c>
      <c r="K233" s="9"/>
    </row>
    <row r="234" spans="1:11" x14ac:dyDescent="0.3">
      <c r="A234" s="9"/>
      <c r="B234" s="126" t="s">
        <v>147</v>
      </c>
      <c r="C234" s="127"/>
      <c r="D234" s="127"/>
      <c r="E234" s="127"/>
      <c r="F234" s="127"/>
      <c r="G234" s="127"/>
      <c r="H234" s="128"/>
      <c r="I234" s="18">
        <f>$G$85*I227</f>
        <v>19412.703083812499</v>
      </c>
      <c r="J234" s="27">
        <f t="shared" si="5"/>
        <v>0.01</v>
      </c>
      <c r="K234" s="9"/>
    </row>
    <row r="235" spans="1:11" x14ac:dyDescent="0.3">
      <c r="A235" s="9"/>
      <c r="B235" s="126" t="s">
        <v>148</v>
      </c>
      <c r="C235" s="127"/>
      <c r="D235" s="127"/>
      <c r="E235" s="127"/>
      <c r="F235" s="127"/>
      <c r="G235" s="127"/>
      <c r="H235" s="128"/>
      <c r="I235" s="18">
        <f>$G$86*I227</f>
        <v>19412.703083812499</v>
      </c>
      <c r="J235" s="27">
        <f t="shared" si="5"/>
        <v>0.01</v>
      </c>
      <c r="K235" s="9"/>
    </row>
    <row r="236" spans="1:11" x14ac:dyDescent="0.3">
      <c r="A236" s="9"/>
      <c r="B236" s="126" t="s">
        <v>150</v>
      </c>
      <c r="C236" s="127"/>
      <c r="D236" s="127"/>
      <c r="E236" s="127"/>
      <c r="F236" s="127"/>
      <c r="G236" s="127"/>
      <c r="H236" s="128"/>
      <c r="I236" s="18">
        <f>$G$87*I227</f>
        <v>29119.054625718749</v>
      </c>
      <c r="J236" s="27">
        <f t="shared" si="5"/>
        <v>1.4999999999999999E-2</v>
      </c>
      <c r="K236" s="9"/>
    </row>
    <row r="237" spans="1:11" x14ac:dyDescent="0.3">
      <c r="A237" s="9"/>
      <c r="B237" s="126" t="s">
        <v>153</v>
      </c>
      <c r="C237" s="127"/>
      <c r="D237" s="127"/>
      <c r="E237" s="127"/>
      <c r="F237" s="127"/>
      <c r="G237" s="127"/>
      <c r="H237" s="128"/>
      <c r="I237" s="18">
        <f>$G$88*I227</f>
        <v>19412.703083812499</v>
      </c>
      <c r="J237" s="27">
        <f t="shared" si="5"/>
        <v>0.01</v>
      </c>
      <c r="K237" s="9"/>
    </row>
    <row r="238" spans="1:11" x14ac:dyDescent="0.3">
      <c r="A238" s="9"/>
      <c r="B238" s="126" t="s">
        <v>151</v>
      </c>
      <c r="C238" s="127"/>
      <c r="D238" s="127"/>
      <c r="E238" s="127"/>
      <c r="F238" s="127"/>
      <c r="G238" s="127"/>
      <c r="H238" s="128"/>
      <c r="I238" s="29">
        <f>$I$89*12</f>
        <v>24000</v>
      </c>
      <c r="J238" s="27">
        <f t="shared" si="5"/>
        <v>1.2363038725922032E-2</v>
      </c>
      <c r="K238" s="9"/>
    </row>
    <row r="239" spans="1:11" x14ac:dyDescent="0.3">
      <c r="A239" s="9"/>
      <c r="B239" s="126" t="s">
        <v>149</v>
      </c>
      <c r="C239" s="127"/>
      <c r="D239" s="127"/>
      <c r="E239" s="127"/>
      <c r="F239" s="127"/>
      <c r="G239" s="127"/>
      <c r="H239" s="128"/>
      <c r="I239" s="18">
        <f>$G$90*I227</f>
        <v>19412.703083812499</v>
      </c>
      <c r="J239" s="27">
        <f t="shared" si="5"/>
        <v>0.01</v>
      </c>
      <c r="K239" s="9"/>
    </row>
    <row r="240" spans="1:11" x14ac:dyDescent="0.3">
      <c r="A240" s="9"/>
      <c r="B240" s="126" t="s">
        <v>144</v>
      </c>
      <c r="C240" s="127"/>
      <c r="D240" s="127"/>
      <c r="E240" s="127"/>
      <c r="F240" s="127"/>
      <c r="G240" s="127"/>
      <c r="H240" s="128"/>
      <c r="I240" s="18">
        <f>$G$91*I227</f>
        <v>174714.32775431249</v>
      </c>
      <c r="J240" s="27">
        <f t="shared" si="5"/>
        <v>0.09</v>
      </c>
      <c r="K240" s="9"/>
    </row>
    <row r="241" spans="1:11" x14ac:dyDescent="0.3">
      <c r="A241" s="9"/>
      <c r="B241" s="129" t="s">
        <v>154</v>
      </c>
      <c r="C241" s="129"/>
      <c r="D241" s="129"/>
      <c r="E241" s="129"/>
      <c r="F241" s="129"/>
      <c r="G241" s="129"/>
      <c r="H241" s="129"/>
      <c r="I241" s="18">
        <f>SUM(I229:I240)</f>
        <v>808294.01308996114</v>
      </c>
      <c r="J241" s="27">
        <f t="shared" si="5"/>
        <v>0.41637375774008833</v>
      </c>
      <c r="K241" s="9"/>
    </row>
    <row r="242" spans="1:11" x14ac:dyDescent="0.3">
      <c r="A242" s="9"/>
      <c r="B242" s="113" t="s">
        <v>159</v>
      </c>
      <c r="C242" s="113"/>
      <c r="D242" s="113"/>
      <c r="E242" s="113"/>
      <c r="F242" s="113"/>
      <c r="G242" s="113"/>
      <c r="H242" s="113"/>
      <c r="I242" s="21">
        <f>I227-I241</f>
        <v>1132976.2952912888</v>
      </c>
      <c r="J242" s="27">
        <f t="shared" si="5"/>
        <v>0.58362624225991167</v>
      </c>
      <c r="K242" s="9"/>
    </row>
    <row r="243" spans="1:11" ht="18" x14ac:dyDescent="0.35">
      <c r="A243" s="9"/>
      <c r="B243" s="106" t="s">
        <v>171</v>
      </c>
      <c r="C243" s="106"/>
      <c r="D243" s="106"/>
      <c r="E243" s="106"/>
      <c r="F243" s="106"/>
      <c r="G243" s="106"/>
      <c r="H243" s="106"/>
      <c r="I243" s="106"/>
      <c r="J243" s="106"/>
      <c r="K243" s="9"/>
    </row>
    <row r="244" spans="1:11" x14ac:dyDescent="0.3">
      <c r="A244" s="9"/>
      <c r="B244" s="126" t="s">
        <v>172</v>
      </c>
      <c r="C244" s="127"/>
      <c r="D244" s="127"/>
      <c r="E244" s="127"/>
      <c r="F244" s="127"/>
      <c r="G244" s="127"/>
      <c r="H244" s="128"/>
      <c r="I244" s="18">
        <f>$I$130*12</f>
        <v>462346.93933078274</v>
      </c>
      <c r="J244" s="27">
        <f t="shared" si="5"/>
        <v>0.23816721315658299</v>
      </c>
      <c r="K244" s="9"/>
    </row>
    <row r="245" spans="1:11" x14ac:dyDescent="0.3">
      <c r="A245" s="9"/>
      <c r="B245" s="126" t="s">
        <v>126</v>
      </c>
      <c r="C245" s="127"/>
      <c r="D245" s="127"/>
      <c r="E245" s="127"/>
      <c r="F245" s="127"/>
      <c r="G245" s="127"/>
      <c r="H245" s="128"/>
      <c r="I245" s="18">
        <f>$I$136*12</f>
        <v>90000</v>
      </c>
      <c r="J245" s="27">
        <f t="shared" si="5"/>
        <v>4.6361395222207627E-2</v>
      </c>
      <c r="K245" s="9"/>
    </row>
    <row r="246" spans="1:11" x14ac:dyDescent="0.3">
      <c r="A246" s="9"/>
      <c r="B246" s="129" t="s">
        <v>173</v>
      </c>
      <c r="C246" s="129"/>
      <c r="D246" s="129"/>
      <c r="E246" s="129"/>
      <c r="F246" s="129"/>
      <c r="G246" s="129"/>
      <c r="H246" s="129"/>
      <c r="I246" s="18">
        <f>I244+I245</f>
        <v>552346.93933078274</v>
      </c>
      <c r="J246" s="27">
        <f t="shared" si="5"/>
        <v>0.28452860837879063</v>
      </c>
      <c r="K246" s="9"/>
    </row>
    <row r="247" spans="1:11" x14ac:dyDescent="0.3">
      <c r="A247" s="9"/>
      <c r="B247" s="113" t="s">
        <v>195</v>
      </c>
      <c r="C247" s="113"/>
      <c r="D247" s="113"/>
      <c r="E247" s="113"/>
      <c r="F247" s="113"/>
      <c r="G247" s="113"/>
      <c r="H247" s="113"/>
      <c r="I247" s="21">
        <f>I242-I246</f>
        <v>580629.35596050601</v>
      </c>
      <c r="J247" s="27">
        <f t="shared" si="5"/>
        <v>0.29909763388112104</v>
      </c>
      <c r="K247" s="9"/>
    </row>
    <row r="248" spans="1:1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5.8" x14ac:dyDescent="0.5">
      <c r="A256" s="9"/>
      <c r="B256" s="144" t="s">
        <v>17</v>
      </c>
      <c r="C256" s="145"/>
      <c r="D256" s="145"/>
      <c r="E256" s="145"/>
      <c r="F256" s="145"/>
      <c r="G256" s="145"/>
      <c r="H256" s="145"/>
      <c r="I256" s="145"/>
      <c r="J256" s="146"/>
      <c r="K256" s="9"/>
    </row>
    <row r="257" spans="1:11" x14ac:dyDescent="0.3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3">
      <c r="A259" s="9"/>
      <c r="B259" s="9"/>
      <c r="C259" s="113" t="s">
        <v>188</v>
      </c>
      <c r="D259" s="113"/>
      <c r="E259" s="147" t="str">
        <f>CustomerName</f>
        <v>Todd Oberle</v>
      </c>
      <c r="F259" s="148"/>
      <c r="G259" s="148"/>
      <c r="H259" s="148"/>
      <c r="I259" s="149"/>
      <c r="J259" s="9"/>
      <c r="K259" s="9"/>
    </row>
    <row r="260" spans="1:11" x14ac:dyDescent="0.3">
      <c r="A260" s="9"/>
      <c r="B260" s="9"/>
      <c r="C260" s="114" t="s">
        <v>189</v>
      </c>
      <c r="D260" s="115"/>
      <c r="E260" s="147" t="str">
        <f>CompanyName</f>
        <v>Scrubs Car Wash</v>
      </c>
      <c r="F260" s="148"/>
      <c r="G260" s="148"/>
      <c r="H260" s="148"/>
      <c r="I260" s="149"/>
      <c r="J260" s="9"/>
      <c r="K260" s="9"/>
    </row>
    <row r="261" spans="1:11" x14ac:dyDescent="0.3">
      <c r="A261" s="9"/>
      <c r="B261" s="9"/>
      <c r="C261" s="116" t="s">
        <v>130</v>
      </c>
      <c r="D261" s="117"/>
      <c r="E261" s="154" t="str">
        <f>AddressLine1</f>
        <v xml:space="preserve"> </v>
      </c>
      <c r="F261" s="155"/>
      <c r="G261" s="155"/>
      <c r="H261" s="155"/>
      <c r="I261" s="156"/>
      <c r="J261" s="9"/>
      <c r="K261" s="9"/>
    </row>
    <row r="262" spans="1:11" x14ac:dyDescent="0.3">
      <c r="A262" s="9"/>
      <c r="B262" s="9"/>
      <c r="C262" s="118"/>
      <c r="D262" s="119"/>
      <c r="E262" s="157" t="str">
        <f>AddressLine2</f>
        <v>3361 Buford Drive</v>
      </c>
      <c r="F262" s="158"/>
      <c r="G262" s="158"/>
      <c r="H262" s="158"/>
      <c r="I262" s="159"/>
      <c r="J262" s="9"/>
      <c r="K262" s="9"/>
    </row>
    <row r="263" spans="1:11" x14ac:dyDescent="0.3">
      <c r="A263" s="9"/>
      <c r="B263" s="9"/>
      <c r="C263" s="120"/>
      <c r="D263" s="121"/>
      <c r="E263" s="160" t="str">
        <f>AddressLine3</f>
        <v>Buford GA 30519</v>
      </c>
      <c r="F263" s="161"/>
      <c r="G263" s="161"/>
      <c r="H263" s="161"/>
      <c r="I263" s="162"/>
      <c r="J263" s="9"/>
      <c r="K263" s="9"/>
    </row>
    <row r="264" spans="1:11" x14ac:dyDescent="0.3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4">
      <c r="A266" s="9"/>
      <c r="B266" s="105" t="s">
        <v>192</v>
      </c>
      <c r="C266" s="105"/>
      <c r="D266" s="105"/>
      <c r="E266" s="105"/>
      <c r="F266" s="105"/>
      <c r="G266" s="105"/>
      <c r="H266" s="105"/>
      <c r="I266" s="105"/>
      <c r="J266" s="105"/>
      <c r="K266" s="9"/>
    </row>
    <row r="267" spans="1:11" x14ac:dyDescent="0.3">
      <c r="A267" s="9"/>
      <c r="B267" s="106" t="s">
        <v>169</v>
      </c>
      <c r="C267" s="106"/>
      <c r="D267" s="106"/>
      <c r="E267" s="106"/>
      <c r="F267" s="106"/>
      <c r="G267" s="106"/>
      <c r="H267" s="106"/>
      <c r="I267" s="15" t="s">
        <v>175</v>
      </c>
      <c r="J267" s="173" t="s">
        <v>170</v>
      </c>
      <c r="K267" s="9"/>
    </row>
    <row r="268" spans="1:11" x14ac:dyDescent="0.3">
      <c r="A268" s="9"/>
      <c r="B268" s="106"/>
      <c r="C268" s="106"/>
      <c r="D268" s="106"/>
      <c r="E268" s="106"/>
      <c r="F268" s="106"/>
      <c r="G268" s="106"/>
      <c r="H268" s="106"/>
      <c r="I268" s="16">
        <f>'Input Form'!D74</f>
        <v>150842.34776470589</v>
      </c>
      <c r="J268" s="173"/>
      <c r="K268" s="9"/>
    </row>
    <row r="269" spans="1:11" ht="18" x14ac:dyDescent="0.35">
      <c r="A269" s="9"/>
      <c r="B269" s="106" t="s">
        <v>157</v>
      </c>
      <c r="C269" s="106"/>
      <c r="D269" s="106"/>
      <c r="E269" s="106"/>
      <c r="F269" s="106"/>
      <c r="G269" s="106"/>
      <c r="H269" s="106"/>
      <c r="I269" s="106"/>
      <c r="J269" s="106"/>
      <c r="K269" s="9"/>
    </row>
    <row r="270" spans="1:11" ht="27.6" x14ac:dyDescent="0.3">
      <c r="A270" s="9"/>
      <c r="B270" s="107" t="s">
        <v>137</v>
      </c>
      <c r="C270" s="107"/>
      <c r="D270" s="107"/>
      <c r="E270" s="107"/>
      <c r="F270" s="26" t="s">
        <v>136</v>
      </c>
      <c r="G270" s="173" t="s">
        <v>135</v>
      </c>
      <c r="H270" s="173"/>
      <c r="I270" s="107"/>
      <c r="J270" s="107"/>
      <c r="K270" s="9"/>
    </row>
    <row r="271" spans="1:11" x14ac:dyDescent="0.3">
      <c r="A271" s="9"/>
      <c r="B271" s="129" t="str">
        <f>BasicPackage</f>
        <v>Basic Package</v>
      </c>
      <c r="C271" s="129"/>
      <c r="D271" s="129"/>
      <c r="E271" s="129"/>
      <c r="F271" s="17">
        <f>'Input Form'!C27</f>
        <v>10</v>
      </c>
      <c r="G271" s="133">
        <f>'Input Form'!$D$19</f>
        <v>0.5</v>
      </c>
      <c r="H271" s="134"/>
      <c r="I271" s="18">
        <f>I$268*F271*G271</f>
        <v>754211.73882352945</v>
      </c>
      <c r="J271" s="27">
        <f>IFERROR((I271/I$276),0)</f>
        <v>0.35087719298245618</v>
      </c>
      <c r="K271" s="9"/>
    </row>
    <row r="272" spans="1:11" x14ac:dyDescent="0.3">
      <c r="A272" s="9"/>
      <c r="B272" s="129" t="str">
        <f>MenuPackage1</f>
        <v>Menu Package #1</v>
      </c>
      <c r="C272" s="129"/>
      <c r="D272" s="129"/>
      <c r="E272" s="129"/>
      <c r="F272" s="17">
        <f>'Input Form'!C28</f>
        <v>15</v>
      </c>
      <c r="G272" s="133">
        <f>'Input Form'!$D$20</f>
        <v>0.25</v>
      </c>
      <c r="H272" s="134"/>
      <c r="I272" s="18">
        <f t="shared" ref="I272:I275" si="6">I$268*F272*G272</f>
        <v>565658.80411764712</v>
      </c>
      <c r="J272" s="27">
        <f t="shared" ref="J272:J278" si="7">IFERROR((I272/I$276),0)</f>
        <v>0.26315789473684215</v>
      </c>
      <c r="K272" s="9"/>
    </row>
    <row r="273" spans="1:11" x14ac:dyDescent="0.3">
      <c r="A273" s="9"/>
      <c r="B273" s="129" t="str">
        <f>MenuPackage2</f>
        <v>Menu Package #2</v>
      </c>
      <c r="C273" s="129"/>
      <c r="D273" s="129"/>
      <c r="E273" s="129"/>
      <c r="F273" s="17">
        <f>'Input Form'!C29</f>
        <v>20</v>
      </c>
      <c r="G273" s="133">
        <f>'Input Form'!$D$21</f>
        <v>0.15</v>
      </c>
      <c r="H273" s="134"/>
      <c r="I273" s="18">
        <f t="shared" si="6"/>
        <v>452527.04329411767</v>
      </c>
      <c r="J273" s="27">
        <f t="shared" si="7"/>
        <v>0.2105263157894737</v>
      </c>
      <c r="K273" s="9"/>
    </row>
    <row r="274" spans="1:11" x14ac:dyDescent="0.3">
      <c r="A274" s="9"/>
      <c r="B274" s="129" t="str">
        <f>MenuPackage3</f>
        <v>Menu Package #3</v>
      </c>
      <c r="C274" s="129"/>
      <c r="D274" s="129"/>
      <c r="E274" s="129"/>
      <c r="F274" s="17">
        <f>'Input Form'!C30</f>
        <v>25</v>
      </c>
      <c r="G274" s="133">
        <f>'Input Form'!$D$22</f>
        <v>0.1</v>
      </c>
      <c r="H274" s="134"/>
      <c r="I274" s="18">
        <f t="shared" si="6"/>
        <v>377105.86941176472</v>
      </c>
      <c r="J274" s="27">
        <f t="shared" si="7"/>
        <v>0.17543859649122809</v>
      </c>
      <c r="K274" s="9"/>
    </row>
    <row r="275" spans="1:11" x14ac:dyDescent="0.3">
      <c r="A275" s="9"/>
      <c r="B275" s="129" t="str">
        <f>MenuPackage4</f>
        <v>Menu Package #4</v>
      </c>
      <c r="C275" s="129"/>
      <c r="D275" s="129"/>
      <c r="E275" s="129"/>
      <c r="F275" s="17">
        <f>'Input Form'!C31</f>
        <v>0</v>
      </c>
      <c r="G275" s="133">
        <f>'Input Form'!$D$23</f>
        <v>0</v>
      </c>
      <c r="H275" s="134"/>
      <c r="I275" s="18">
        <f t="shared" si="6"/>
        <v>0</v>
      </c>
      <c r="J275" s="27">
        <f t="shared" si="7"/>
        <v>0</v>
      </c>
      <c r="K275" s="9"/>
    </row>
    <row r="276" spans="1:11" x14ac:dyDescent="0.3">
      <c r="A276" s="9"/>
      <c r="B276" s="129" t="s">
        <v>138</v>
      </c>
      <c r="C276" s="129"/>
      <c r="D276" s="129"/>
      <c r="E276" s="129"/>
      <c r="F276" s="129"/>
      <c r="G276" s="129"/>
      <c r="H276" s="129"/>
      <c r="I276" s="18">
        <f>SUM(I271:I275)</f>
        <v>2149503.4556470588</v>
      </c>
      <c r="J276" s="27">
        <f t="shared" si="7"/>
        <v>1</v>
      </c>
      <c r="K276" s="9"/>
    </row>
    <row r="277" spans="1:11" x14ac:dyDescent="0.3">
      <c r="A277" s="9"/>
      <c r="B277" s="129" t="s">
        <v>139</v>
      </c>
      <c r="C277" s="129"/>
      <c r="D277" s="129"/>
      <c r="E277" s="129"/>
      <c r="F277" s="28">
        <f>$F$75</f>
        <v>0.03</v>
      </c>
      <c r="G277" s="175">
        <f>$G$75</f>
        <v>0.75</v>
      </c>
      <c r="H277" s="175"/>
      <c r="I277" s="18">
        <f>-(I276*F277*G277)</f>
        <v>-48363.827752058824</v>
      </c>
      <c r="J277" s="27">
        <f t="shared" si="7"/>
        <v>-2.2499999999999999E-2</v>
      </c>
      <c r="K277" s="9"/>
    </row>
    <row r="278" spans="1:11" x14ac:dyDescent="0.3">
      <c r="A278" s="9"/>
      <c r="B278" s="129" t="s">
        <v>140</v>
      </c>
      <c r="C278" s="129"/>
      <c r="D278" s="129"/>
      <c r="E278" s="129"/>
      <c r="F278" s="129"/>
      <c r="G278" s="129"/>
      <c r="H278" s="129"/>
      <c r="I278" s="18">
        <f>I276+I277</f>
        <v>2101139.6278949999</v>
      </c>
      <c r="J278" s="27">
        <f t="shared" si="7"/>
        <v>0.97750000000000004</v>
      </c>
      <c r="K278" s="9"/>
    </row>
    <row r="279" spans="1:11" ht="18" x14ac:dyDescent="0.35">
      <c r="A279" s="9"/>
      <c r="B279" s="106" t="s">
        <v>158</v>
      </c>
      <c r="C279" s="106"/>
      <c r="D279" s="106"/>
      <c r="E279" s="106"/>
      <c r="F279" s="106"/>
      <c r="G279" s="106"/>
      <c r="H279" s="106"/>
      <c r="I279" s="106"/>
      <c r="J279" s="106"/>
      <c r="K279" s="9"/>
    </row>
    <row r="280" spans="1:11" x14ac:dyDescent="0.3">
      <c r="A280" s="9"/>
      <c r="B280" s="126" t="s">
        <v>145</v>
      </c>
      <c r="C280" s="127"/>
      <c r="D280" s="127"/>
      <c r="E280" s="127"/>
      <c r="F280" s="127"/>
      <c r="G280" s="127"/>
      <c r="H280" s="128"/>
      <c r="I280" s="18">
        <f>$G$80*I278</f>
        <v>63034.188836849993</v>
      </c>
      <c r="J280" s="27">
        <f>IFERROR((I280/I$278),0)</f>
        <v>0.03</v>
      </c>
      <c r="K280" s="9"/>
    </row>
    <row r="281" spans="1:11" x14ac:dyDescent="0.3">
      <c r="A281" s="9"/>
      <c r="B281" s="126" t="s">
        <v>143</v>
      </c>
      <c r="C281" s="127"/>
      <c r="D281" s="127"/>
      <c r="E281" s="127"/>
      <c r="F281" s="127"/>
      <c r="G281" s="127"/>
      <c r="H281" s="128"/>
      <c r="I281" s="18">
        <f>$G$81*I278</f>
        <v>118607.48888973601</v>
      </c>
      <c r="J281" s="27">
        <f t="shared" ref="J281:J298" si="8">IFERROR((I281/I$278),0)</f>
        <v>5.6449122807017547E-2</v>
      </c>
      <c r="K281" s="9"/>
    </row>
    <row r="282" spans="1:11" x14ac:dyDescent="0.3">
      <c r="A282" s="9"/>
      <c r="B282" s="126" t="s">
        <v>146</v>
      </c>
      <c r="C282" s="127"/>
      <c r="D282" s="127"/>
      <c r="E282" s="127"/>
      <c r="F282" s="127"/>
      <c r="G282" s="127"/>
      <c r="H282" s="128"/>
      <c r="I282" s="18">
        <f>$G$82*I278</f>
        <v>21011.39627895</v>
      </c>
      <c r="J282" s="27">
        <f t="shared" si="8"/>
        <v>0.01</v>
      </c>
      <c r="K282" s="9"/>
    </row>
    <row r="283" spans="1:11" x14ac:dyDescent="0.3">
      <c r="A283" s="9"/>
      <c r="B283" s="126" t="s">
        <v>152</v>
      </c>
      <c r="C283" s="127"/>
      <c r="D283" s="127"/>
      <c r="E283" s="127"/>
      <c r="F283" s="127"/>
      <c r="G283" s="127"/>
      <c r="H283" s="128"/>
      <c r="I283" s="29">
        <f>$I$83*12</f>
        <v>12000</v>
      </c>
      <c r="J283" s="27">
        <f t="shared" si="8"/>
        <v>5.7111863679531133E-3</v>
      </c>
      <c r="K283" s="9"/>
    </row>
    <row r="284" spans="1:11" x14ac:dyDescent="0.3">
      <c r="A284" s="9"/>
      <c r="B284" s="126" t="s">
        <v>24</v>
      </c>
      <c r="C284" s="127"/>
      <c r="D284" s="127"/>
      <c r="E284" s="127"/>
      <c r="F284" s="127"/>
      <c r="G284" s="127"/>
      <c r="H284" s="128"/>
      <c r="I284" s="18">
        <f>$I$84*12</f>
        <v>303576</v>
      </c>
      <c r="J284" s="27">
        <f t="shared" si="8"/>
        <v>0.14448159273647784</v>
      </c>
      <c r="K284" s="9"/>
    </row>
    <row r="285" spans="1:11" x14ac:dyDescent="0.3">
      <c r="A285" s="9"/>
      <c r="B285" s="126" t="s">
        <v>147</v>
      </c>
      <c r="C285" s="127"/>
      <c r="D285" s="127"/>
      <c r="E285" s="127"/>
      <c r="F285" s="127"/>
      <c r="G285" s="127"/>
      <c r="H285" s="128"/>
      <c r="I285" s="18">
        <f>$G$85*I278</f>
        <v>21011.39627895</v>
      </c>
      <c r="J285" s="27">
        <f t="shared" si="8"/>
        <v>0.01</v>
      </c>
      <c r="K285" s="9"/>
    </row>
    <row r="286" spans="1:11" x14ac:dyDescent="0.3">
      <c r="A286" s="9"/>
      <c r="B286" s="126" t="s">
        <v>148</v>
      </c>
      <c r="C286" s="127"/>
      <c r="D286" s="127"/>
      <c r="E286" s="127"/>
      <c r="F286" s="127"/>
      <c r="G286" s="127"/>
      <c r="H286" s="128"/>
      <c r="I286" s="18">
        <f>$G$86*I278</f>
        <v>21011.39627895</v>
      </c>
      <c r="J286" s="27">
        <f t="shared" si="8"/>
        <v>0.01</v>
      </c>
      <c r="K286" s="9"/>
    </row>
    <row r="287" spans="1:11" x14ac:dyDescent="0.3">
      <c r="A287" s="9"/>
      <c r="B287" s="126" t="s">
        <v>150</v>
      </c>
      <c r="C287" s="127"/>
      <c r="D287" s="127"/>
      <c r="E287" s="127"/>
      <c r="F287" s="127"/>
      <c r="G287" s="127"/>
      <c r="H287" s="128"/>
      <c r="I287" s="18">
        <f>$G$87*I278</f>
        <v>31517.094418424997</v>
      </c>
      <c r="J287" s="27">
        <f t="shared" si="8"/>
        <v>1.4999999999999999E-2</v>
      </c>
      <c r="K287" s="9"/>
    </row>
    <row r="288" spans="1:11" x14ac:dyDescent="0.3">
      <c r="A288" s="9"/>
      <c r="B288" s="126" t="s">
        <v>153</v>
      </c>
      <c r="C288" s="127"/>
      <c r="D288" s="127"/>
      <c r="E288" s="127"/>
      <c r="F288" s="127"/>
      <c r="G288" s="127"/>
      <c r="H288" s="128"/>
      <c r="I288" s="18">
        <f>$G$88*I278</f>
        <v>21011.39627895</v>
      </c>
      <c r="J288" s="27">
        <f t="shared" si="8"/>
        <v>0.01</v>
      </c>
      <c r="K288" s="9"/>
    </row>
    <row r="289" spans="1:11" x14ac:dyDescent="0.3">
      <c r="A289" s="9"/>
      <c r="B289" s="126" t="s">
        <v>151</v>
      </c>
      <c r="C289" s="127"/>
      <c r="D289" s="127"/>
      <c r="E289" s="127"/>
      <c r="F289" s="127"/>
      <c r="G289" s="127"/>
      <c r="H289" s="128"/>
      <c r="I289" s="29">
        <f>$I$89*12</f>
        <v>24000</v>
      </c>
      <c r="J289" s="27">
        <f t="shared" si="8"/>
        <v>1.1422372735906227E-2</v>
      </c>
      <c r="K289" s="9"/>
    </row>
    <row r="290" spans="1:11" x14ac:dyDescent="0.3">
      <c r="A290" s="9"/>
      <c r="B290" s="126" t="s">
        <v>149</v>
      </c>
      <c r="C290" s="127"/>
      <c r="D290" s="127"/>
      <c r="E290" s="127"/>
      <c r="F290" s="127"/>
      <c r="G290" s="127"/>
      <c r="H290" s="128"/>
      <c r="I290" s="18">
        <f>$G$90*I278</f>
        <v>21011.39627895</v>
      </c>
      <c r="J290" s="27">
        <f t="shared" si="8"/>
        <v>0.01</v>
      </c>
      <c r="K290" s="9"/>
    </row>
    <row r="291" spans="1:11" x14ac:dyDescent="0.3">
      <c r="A291" s="9"/>
      <c r="B291" s="126" t="s">
        <v>144</v>
      </c>
      <c r="C291" s="127"/>
      <c r="D291" s="127"/>
      <c r="E291" s="127"/>
      <c r="F291" s="127"/>
      <c r="G291" s="127"/>
      <c r="H291" s="128"/>
      <c r="I291" s="18">
        <f>$G$91*I278</f>
        <v>189102.56651054998</v>
      </c>
      <c r="J291" s="27">
        <f t="shared" si="8"/>
        <v>0.09</v>
      </c>
      <c r="K291" s="9"/>
    </row>
    <row r="292" spans="1:11" x14ac:dyDescent="0.3">
      <c r="A292" s="9"/>
      <c r="B292" s="129" t="s">
        <v>154</v>
      </c>
      <c r="C292" s="129"/>
      <c r="D292" s="129"/>
      <c r="E292" s="129"/>
      <c r="F292" s="129"/>
      <c r="G292" s="129"/>
      <c r="H292" s="129"/>
      <c r="I292" s="18">
        <f>SUM(I280:I291)</f>
        <v>846894.32005031116</v>
      </c>
      <c r="J292" s="27">
        <f t="shared" si="8"/>
        <v>0.40306427464735484</v>
      </c>
      <c r="K292" s="9"/>
    </row>
    <row r="293" spans="1:11" x14ac:dyDescent="0.3">
      <c r="A293" s="9"/>
      <c r="B293" s="113" t="s">
        <v>159</v>
      </c>
      <c r="C293" s="113"/>
      <c r="D293" s="113"/>
      <c r="E293" s="113"/>
      <c r="F293" s="113"/>
      <c r="G293" s="113"/>
      <c r="H293" s="113"/>
      <c r="I293" s="21">
        <f>I278-I292</f>
        <v>1254245.3078446887</v>
      </c>
      <c r="J293" s="27">
        <f t="shared" si="8"/>
        <v>0.59693572535264516</v>
      </c>
      <c r="K293" s="9"/>
    </row>
    <row r="294" spans="1:11" ht="18" x14ac:dyDescent="0.35">
      <c r="A294" s="9"/>
      <c r="B294" s="106" t="s">
        <v>171</v>
      </c>
      <c r="C294" s="106"/>
      <c r="D294" s="106"/>
      <c r="E294" s="106"/>
      <c r="F294" s="106"/>
      <c r="G294" s="106"/>
      <c r="H294" s="106"/>
      <c r="I294" s="106"/>
      <c r="J294" s="106"/>
      <c r="K294" s="9"/>
    </row>
    <row r="295" spans="1:11" x14ac:dyDescent="0.3">
      <c r="A295" s="9"/>
      <c r="B295" s="126" t="s">
        <v>172</v>
      </c>
      <c r="C295" s="127"/>
      <c r="D295" s="127"/>
      <c r="E295" s="127"/>
      <c r="F295" s="127"/>
      <c r="G295" s="127"/>
      <c r="H295" s="128"/>
      <c r="I295" s="18">
        <f>$I$130*12</f>
        <v>462346.93933078274</v>
      </c>
      <c r="J295" s="27">
        <f t="shared" si="8"/>
        <v>0.22004579476423428</v>
      </c>
      <c r="K295" s="9"/>
    </row>
    <row r="296" spans="1:11" x14ac:dyDescent="0.3">
      <c r="A296" s="9"/>
      <c r="B296" s="126" t="s">
        <v>126</v>
      </c>
      <c r="C296" s="127"/>
      <c r="D296" s="127"/>
      <c r="E296" s="127"/>
      <c r="F296" s="127"/>
      <c r="G296" s="127"/>
      <c r="H296" s="128"/>
      <c r="I296" s="18">
        <f>$I$136*12</f>
        <v>90000</v>
      </c>
      <c r="J296" s="27">
        <f t="shared" si="8"/>
        <v>4.2833897759648347E-2</v>
      </c>
      <c r="K296" s="9"/>
    </row>
    <row r="297" spans="1:11" x14ac:dyDescent="0.3">
      <c r="A297" s="9"/>
      <c r="B297" s="129" t="s">
        <v>173</v>
      </c>
      <c r="C297" s="129"/>
      <c r="D297" s="129"/>
      <c r="E297" s="129"/>
      <c r="F297" s="129"/>
      <c r="G297" s="129"/>
      <c r="H297" s="129"/>
      <c r="I297" s="18">
        <f>I295+I296</f>
        <v>552346.93933078274</v>
      </c>
      <c r="J297" s="27">
        <f t="shared" si="8"/>
        <v>0.2628796925238826</v>
      </c>
      <c r="K297" s="9"/>
    </row>
    <row r="298" spans="1:11" x14ac:dyDescent="0.3">
      <c r="A298" s="9"/>
      <c r="B298" s="113" t="s">
        <v>195</v>
      </c>
      <c r="C298" s="113"/>
      <c r="D298" s="113"/>
      <c r="E298" s="113"/>
      <c r="F298" s="113"/>
      <c r="G298" s="113"/>
      <c r="H298" s="113"/>
      <c r="I298" s="21">
        <f>I293-I297</f>
        <v>701898.36851390591</v>
      </c>
      <c r="J298" s="27">
        <f t="shared" si="8"/>
        <v>0.33405603282876251</v>
      </c>
      <c r="K298" s="9"/>
    </row>
    <row r="299" spans="1:1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5.8" x14ac:dyDescent="0.5">
      <c r="A307" s="9"/>
      <c r="B307" s="144" t="s">
        <v>17</v>
      </c>
      <c r="C307" s="145"/>
      <c r="D307" s="145"/>
      <c r="E307" s="145"/>
      <c r="F307" s="145"/>
      <c r="G307" s="145"/>
      <c r="H307" s="145"/>
      <c r="I307" s="145"/>
      <c r="J307" s="146"/>
      <c r="K307" s="9"/>
    </row>
    <row r="308" spans="1:11" x14ac:dyDescent="0.3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3">
      <c r="A310" s="9"/>
      <c r="B310" s="9"/>
      <c r="C310" s="113" t="s">
        <v>188</v>
      </c>
      <c r="D310" s="113"/>
      <c r="E310" s="147" t="str">
        <f>CustomerName</f>
        <v>Todd Oberle</v>
      </c>
      <c r="F310" s="148"/>
      <c r="G310" s="148"/>
      <c r="H310" s="148"/>
      <c r="I310" s="149"/>
      <c r="J310" s="9"/>
      <c r="K310" s="9"/>
    </row>
    <row r="311" spans="1:11" x14ac:dyDescent="0.3">
      <c r="A311" s="9"/>
      <c r="B311" s="9"/>
      <c r="C311" s="114" t="s">
        <v>189</v>
      </c>
      <c r="D311" s="115"/>
      <c r="E311" s="147" t="str">
        <f>CompanyName</f>
        <v>Scrubs Car Wash</v>
      </c>
      <c r="F311" s="148"/>
      <c r="G311" s="148"/>
      <c r="H311" s="148"/>
      <c r="I311" s="149"/>
      <c r="J311" s="9"/>
      <c r="K311" s="9"/>
    </row>
    <row r="312" spans="1:11" x14ac:dyDescent="0.3">
      <c r="A312" s="9"/>
      <c r="B312" s="9"/>
      <c r="C312" s="116" t="s">
        <v>130</v>
      </c>
      <c r="D312" s="117"/>
      <c r="E312" s="154" t="str">
        <f>AddressLine1</f>
        <v xml:space="preserve"> </v>
      </c>
      <c r="F312" s="155"/>
      <c r="G312" s="155"/>
      <c r="H312" s="155"/>
      <c r="I312" s="156"/>
      <c r="J312" s="9"/>
      <c r="K312" s="9"/>
    </row>
    <row r="313" spans="1:11" x14ac:dyDescent="0.3">
      <c r="A313" s="9"/>
      <c r="B313" s="9"/>
      <c r="C313" s="118"/>
      <c r="D313" s="119"/>
      <c r="E313" s="157" t="str">
        <f>AddressLine2</f>
        <v>3361 Buford Drive</v>
      </c>
      <c r="F313" s="158"/>
      <c r="G313" s="158"/>
      <c r="H313" s="158"/>
      <c r="I313" s="159"/>
      <c r="J313" s="9"/>
      <c r="K313" s="9"/>
    </row>
    <row r="314" spans="1:11" x14ac:dyDescent="0.3">
      <c r="A314" s="9"/>
      <c r="B314" s="9"/>
      <c r="C314" s="120"/>
      <c r="D314" s="121"/>
      <c r="E314" s="160" t="str">
        <f>AddressLine3</f>
        <v>Buford GA 30519</v>
      </c>
      <c r="F314" s="161"/>
      <c r="G314" s="161"/>
      <c r="H314" s="161"/>
      <c r="I314" s="162"/>
      <c r="J314" s="9"/>
      <c r="K314" s="9"/>
    </row>
    <row r="315" spans="1:11" x14ac:dyDescent="0.3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4">
      <c r="A317" s="9"/>
      <c r="B317" s="105" t="s">
        <v>193</v>
      </c>
      <c r="C317" s="105"/>
      <c r="D317" s="105"/>
      <c r="E317" s="105"/>
      <c r="F317" s="105"/>
      <c r="G317" s="105"/>
      <c r="H317" s="105"/>
      <c r="I317" s="105"/>
      <c r="J317" s="105"/>
      <c r="K317" s="9"/>
    </row>
    <row r="318" spans="1:11" x14ac:dyDescent="0.3">
      <c r="A318" s="9"/>
      <c r="B318" s="106" t="s">
        <v>169</v>
      </c>
      <c r="C318" s="106"/>
      <c r="D318" s="106"/>
      <c r="E318" s="106"/>
      <c r="F318" s="106"/>
      <c r="G318" s="106"/>
      <c r="H318" s="106"/>
      <c r="I318" s="15" t="s">
        <v>176</v>
      </c>
      <c r="J318" s="173" t="s">
        <v>170</v>
      </c>
      <c r="K318" s="9"/>
    </row>
    <row r="319" spans="1:11" x14ac:dyDescent="0.3">
      <c r="A319" s="9"/>
      <c r="B319" s="106"/>
      <c r="C319" s="106"/>
      <c r="D319" s="106"/>
      <c r="E319" s="106"/>
      <c r="F319" s="106"/>
      <c r="G319" s="106"/>
      <c r="H319" s="106"/>
      <c r="I319" s="16">
        <f>'Input Form'!E74</f>
        <v>156360.97024390244</v>
      </c>
      <c r="J319" s="173"/>
      <c r="K319" s="9"/>
    </row>
    <row r="320" spans="1:11" ht="18" x14ac:dyDescent="0.35">
      <c r="A320" s="9"/>
      <c r="B320" s="106" t="s">
        <v>157</v>
      </c>
      <c r="C320" s="106"/>
      <c r="D320" s="106"/>
      <c r="E320" s="106"/>
      <c r="F320" s="106"/>
      <c r="G320" s="106"/>
      <c r="H320" s="106"/>
      <c r="I320" s="106"/>
      <c r="J320" s="106"/>
      <c r="K320" s="9"/>
    </row>
    <row r="321" spans="1:11" ht="27.6" x14ac:dyDescent="0.3">
      <c r="A321" s="9"/>
      <c r="B321" s="107" t="s">
        <v>137</v>
      </c>
      <c r="C321" s="107"/>
      <c r="D321" s="107"/>
      <c r="E321" s="107"/>
      <c r="F321" s="26" t="s">
        <v>136</v>
      </c>
      <c r="G321" s="173" t="s">
        <v>135</v>
      </c>
      <c r="H321" s="173"/>
      <c r="I321" s="107"/>
      <c r="J321" s="107"/>
      <c r="K321" s="9"/>
    </row>
    <row r="322" spans="1:11" x14ac:dyDescent="0.3">
      <c r="A322" s="9"/>
      <c r="B322" s="129" t="str">
        <f>BasicPackage</f>
        <v>Basic Package</v>
      </c>
      <c r="C322" s="129"/>
      <c r="D322" s="129"/>
      <c r="E322" s="129"/>
      <c r="F322" s="17">
        <f>'Input Form'!D27</f>
        <v>10</v>
      </c>
      <c r="G322" s="133">
        <f>'Input Form'!$D$19</f>
        <v>0.5</v>
      </c>
      <c r="H322" s="134"/>
      <c r="I322" s="18">
        <f>I$319*F322*G322</f>
        <v>781804.85121951217</v>
      </c>
      <c r="J322" s="27">
        <f>IFERROR((I322/I$327),0)</f>
        <v>0.35087719298245612</v>
      </c>
      <c r="K322" s="9"/>
    </row>
    <row r="323" spans="1:11" x14ac:dyDescent="0.3">
      <c r="A323" s="9"/>
      <c r="B323" s="129" t="str">
        <f>MenuPackage1</f>
        <v>Menu Package #1</v>
      </c>
      <c r="C323" s="129"/>
      <c r="D323" s="129"/>
      <c r="E323" s="129"/>
      <c r="F323" s="17">
        <f>'Input Form'!D28</f>
        <v>15</v>
      </c>
      <c r="G323" s="133">
        <f>'Input Form'!$D$20</f>
        <v>0.25</v>
      </c>
      <c r="H323" s="134"/>
      <c r="I323" s="18">
        <f>I$319*F323*G323</f>
        <v>586353.63841463416</v>
      </c>
      <c r="J323" s="27">
        <f t="shared" ref="J323:J329" si="9">IFERROR((I323/I$327),0)</f>
        <v>0.26315789473684209</v>
      </c>
      <c r="K323" s="9"/>
    </row>
    <row r="324" spans="1:11" x14ac:dyDescent="0.3">
      <c r="A324" s="9"/>
      <c r="B324" s="129" t="str">
        <f>MenuPackage2</f>
        <v>Menu Package #2</v>
      </c>
      <c r="C324" s="129"/>
      <c r="D324" s="129"/>
      <c r="E324" s="129"/>
      <c r="F324" s="17">
        <f>'Input Form'!D29</f>
        <v>20</v>
      </c>
      <c r="G324" s="133">
        <f>'Input Form'!$D$21</f>
        <v>0.15</v>
      </c>
      <c r="H324" s="134"/>
      <c r="I324" s="18">
        <f>I$319*F324*G324</f>
        <v>469082.91073170729</v>
      </c>
      <c r="J324" s="27">
        <f t="shared" si="9"/>
        <v>0.21052631578947364</v>
      </c>
      <c r="K324" s="9"/>
    </row>
    <row r="325" spans="1:11" x14ac:dyDescent="0.3">
      <c r="A325" s="9"/>
      <c r="B325" s="129" t="str">
        <f>MenuPackage3</f>
        <v>Menu Package #3</v>
      </c>
      <c r="C325" s="129"/>
      <c r="D325" s="129"/>
      <c r="E325" s="129"/>
      <c r="F325" s="17">
        <f>'Input Form'!D30</f>
        <v>25</v>
      </c>
      <c r="G325" s="133">
        <f>'Input Form'!$D$22</f>
        <v>0.1</v>
      </c>
      <c r="H325" s="134"/>
      <c r="I325" s="18">
        <f>I$319*F325*G325</f>
        <v>390902.42560975614</v>
      </c>
      <c r="J325" s="27">
        <f t="shared" si="9"/>
        <v>0.17543859649122809</v>
      </c>
      <c r="K325" s="9"/>
    </row>
    <row r="326" spans="1:11" x14ac:dyDescent="0.3">
      <c r="A326" s="9"/>
      <c r="B326" s="129" t="str">
        <f>MenuPackage4</f>
        <v>Menu Package #4</v>
      </c>
      <c r="C326" s="129"/>
      <c r="D326" s="129"/>
      <c r="E326" s="129"/>
      <c r="F326" s="17">
        <f>'Input Form'!D31</f>
        <v>0</v>
      </c>
      <c r="G326" s="133">
        <f>'Input Form'!$D$23</f>
        <v>0</v>
      </c>
      <c r="H326" s="134"/>
      <c r="I326" s="18">
        <f>I$319*F326*G326</f>
        <v>0</v>
      </c>
      <c r="J326" s="27">
        <f t="shared" si="9"/>
        <v>0</v>
      </c>
      <c r="K326" s="9"/>
    </row>
    <row r="327" spans="1:11" x14ac:dyDescent="0.3">
      <c r="A327" s="9"/>
      <c r="B327" s="129" t="s">
        <v>138</v>
      </c>
      <c r="C327" s="129"/>
      <c r="D327" s="129"/>
      <c r="E327" s="129"/>
      <c r="F327" s="129"/>
      <c r="G327" s="129"/>
      <c r="H327" s="129"/>
      <c r="I327" s="18">
        <f>SUM(I322:I326)</f>
        <v>2228143.8259756099</v>
      </c>
      <c r="J327" s="27">
        <f t="shared" si="9"/>
        <v>1</v>
      </c>
      <c r="K327" s="9"/>
    </row>
    <row r="328" spans="1:11" x14ac:dyDescent="0.3">
      <c r="A328" s="9"/>
      <c r="B328" s="129" t="s">
        <v>139</v>
      </c>
      <c r="C328" s="129"/>
      <c r="D328" s="129"/>
      <c r="E328" s="129"/>
      <c r="F328" s="28">
        <f>$F$75</f>
        <v>0.03</v>
      </c>
      <c r="G328" s="175">
        <f>$G$75</f>
        <v>0.75</v>
      </c>
      <c r="H328" s="175"/>
      <c r="I328" s="18">
        <f>-(I327*F328*G328)</f>
        <v>-50133.23608445123</v>
      </c>
      <c r="J328" s="27">
        <f t="shared" si="9"/>
        <v>-2.2500000000000003E-2</v>
      </c>
      <c r="K328" s="9"/>
    </row>
    <row r="329" spans="1:11" x14ac:dyDescent="0.3">
      <c r="A329" s="9"/>
      <c r="B329" s="129" t="s">
        <v>140</v>
      </c>
      <c r="C329" s="129"/>
      <c r="D329" s="129"/>
      <c r="E329" s="129"/>
      <c r="F329" s="129"/>
      <c r="G329" s="129"/>
      <c r="H329" s="129"/>
      <c r="I329" s="18">
        <f>I327+I328</f>
        <v>2178010.5898911585</v>
      </c>
      <c r="J329" s="27">
        <f t="shared" si="9"/>
        <v>0.97749999999999992</v>
      </c>
      <c r="K329" s="9"/>
    </row>
    <row r="330" spans="1:11" ht="18" x14ac:dyDescent="0.35">
      <c r="A330" s="9"/>
      <c r="B330" s="106" t="s">
        <v>158</v>
      </c>
      <c r="C330" s="106"/>
      <c r="D330" s="106"/>
      <c r="E330" s="106"/>
      <c r="F330" s="106"/>
      <c r="G330" s="106"/>
      <c r="H330" s="106"/>
      <c r="I330" s="106"/>
      <c r="J330" s="106"/>
      <c r="K330" s="9"/>
    </row>
    <row r="331" spans="1:11" x14ac:dyDescent="0.3">
      <c r="A331" s="9"/>
      <c r="B331" s="126" t="s">
        <v>145</v>
      </c>
      <c r="C331" s="127"/>
      <c r="D331" s="127"/>
      <c r="E331" s="127"/>
      <c r="F331" s="127"/>
      <c r="G331" s="127"/>
      <c r="H331" s="128"/>
      <c r="I331" s="18">
        <f>$G$80*I329</f>
        <v>65340.317696734754</v>
      </c>
      <c r="J331" s="27">
        <f>IFERROR((I331/I$329),0)</f>
        <v>0.03</v>
      </c>
      <c r="K331" s="9"/>
    </row>
    <row r="332" spans="1:11" x14ac:dyDescent="0.3">
      <c r="A332" s="9"/>
      <c r="B332" s="126" t="s">
        <v>143</v>
      </c>
      <c r="C332" s="127"/>
      <c r="D332" s="127"/>
      <c r="E332" s="127"/>
      <c r="F332" s="127"/>
      <c r="G332" s="127"/>
      <c r="H332" s="128"/>
      <c r="I332" s="18">
        <f>$G$81*I329</f>
        <v>122946.78726375074</v>
      </c>
      <c r="J332" s="27">
        <f t="shared" ref="J332:J344" si="10">IFERROR((I332/I$329),0)</f>
        <v>5.6449122807017547E-2</v>
      </c>
      <c r="K332" s="9"/>
    </row>
    <row r="333" spans="1:11" x14ac:dyDescent="0.3">
      <c r="A333" s="9"/>
      <c r="B333" s="126" t="s">
        <v>146</v>
      </c>
      <c r="C333" s="127"/>
      <c r="D333" s="127"/>
      <c r="E333" s="127"/>
      <c r="F333" s="127"/>
      <c r="G333" s="127"/>
      <c r="H333" s="128"/>
      <c r="I333" s="18">
        <f>$G$82*I329</f>
        <v>21780.105898911585</v>
      </c>
      <c r="J333" s="27">
        <f t="shared" si="10"/>
        <v>0.01</v>
      </c>
      <c r="K333" s="9"/>
    </row>
    <row r="334" spans="1:11" x14ac:dyDescent="0.3">
      <c r="A334" s="9"/>
      <c r="B334" s="126" t="s">
        <v>152</v>
      </c>
      <c r="C334" s="127"/>
      <c r="D334" s="127"/>
      <c r="E334" s="127"/>
      <c r="F334" s="127"/>
      <c r="G334" s="127"/>
      <c r="H334" s="128"/>
      <c r="I334" s="29">
        <f>$I$83*12</f>
        <v>12000</v>
      </c>
      <c r="J334" s="27">
        <f t="shared" si="10"/>
        <v>5.5096150843782967E-3</v>
      </c>
      <c r="K334" s="9"/>
    </row>
    <row r="335" spans="1:11" x14ac:dyDescent="0.3">
      <c r="A335" s="9"/>
      <c r="B335" s="126" t="s">
        <v>24</v>
      </c>
      <c r="C335" s="127"/>
      <c r="D335" s="127"/>
      <c r="E335" s="127"/>
      <c r="F335" s="127"/>
      <c r="G335" s="127"/>
      <c r="H335" s="128"/>
      <c r="I335" s="18">
        <f>$I$84*12</f>
        <v>303576</v>
      </c>
      <c r="J335" s="27">
        <f t="shared" si="10"/>
        <v>0.13938224240460217</v>
      </c>
      <c r="K335" s="9"/>
    </row>
    <row r="336" spans="1:11" x14ac:dyDescent="0.3">
      <c r="A336" s="9"/>
      <c r="B336" s="126" t="s">
        <v>147</v>
      </c>
      <c r="C336" s="127"/>
      <c r="D336" s="127"/>
      <c r="E336" s="127"/>
      <c r="F336" s="127"/>
      <c r="G336" s="127"/>
      <c r="H336" s="128"/>
      <c r="I336" s="18">
        <f>$G$85*I329</f>
        <v>21780.105898911585</v>
      </c>
      <c r="J336" s="27">
        <f t="shared" si="10"/>
        <v>0.01</v>
      </c>
      <c r="K336" s="9"/>
    </row>
    <row r="337" spans="1:11" x14ac:dyDescent="0.3">
      <c r="A337" s="9"/>
      <c r="B337" s="126" t="s">
        <v>148</v>
      </c>
      <c r="C337" s="127"/>
      <c r="D337" s="127"/>
      <c r="E337" s="127"/>
      <c r="F337" s="127"/>
      <c r="G337" s="127"/>
      <c r="H337" s="128"/>
      <c r="I337" s="18">
        <f>$G$86*I329</f>
        <v>21780.105898911585</v>
      </c>
      <c r="J337" s="27">
        <f t="shared" si="10"/>
        <v>0.01</v>
      </c>
      <c r="K337" s="9"/>
    </row>
    <row r="338" spans="1:11" x14ac:dyDescent="0.3">
      <c r="A338" s="9"/>
      <c r="B338" s="126" t="s">
        <v>150</v>
      </c>
      <c r="C338" s="127"/>
      <c r="D338" s="127"/>
      <c r="E338" s="127"/>
      <c r="F338" s="127"/>
      <c r="G338" s="127"/>
      <c r="H338" s="128"/>
      <c r="I338" s="18">
        <f>$G$87*I329</f>
        <v>32670.158848367377</v>
      </c>
      <c r="J338" s="27">
        <f t="shared" si="10"/>
        <v>1.4999999999999999E-2</v>
      </c>
      <c r="K338" s="9"/>
    </row>
    <row r="339" spans="1:11" x14ac:dyDescent="0.3">
      <c r="A339" s="9"/>
      <c r="B339" s="126" t="s">
        <v>153</v>
      </c>
      <c r="C339" s="127"/>
      <c r="D339" s="127"/>
      <c r="E339" s="127"/>
      <c r="F339" s="127"/>
      <c r="G339" s="127"/>
      <c r="H339" s="128"/>
      <c r="I339" s="18">
        <f>$G$88*I329</f>
        <v>21780.105898911585</v>
      </c>
      <c r="J339" s="27">
        <f t="shared" si="10"/>
        <v>0.01</v>
      </c>
      <c r="K339" s="9"/>
    </row>
    <row r="340" spans="1:11" x14ac:dyDescent="0.3">
      <c r="A340" s="9"/>
      <c r="B340" s="126" t="s">
        <v>151</v>
      </c>
      <c r="C340" s="127"/>
      <c r="D340" s="127"/>
      <c r="E340" s="127"/>
      <c r="F340" s="127"/>
      <c r="G340" s="127"/>
      <c r="H340" s="128"/>
      <c r="I340" s="29">
        <f>$I$89*12</f>
        <v>24000</v>
      </c>
      <c r="J340" s="27">
        <f t="shared" si="10"/>
        <v>1.1019230168756593E-2</v>
      </c>
      <c r="K340" s="9"/>
    </row>
    <row r="341" spans="1:11" x14ac:dyDescent="0.3">
      <c r="A341" s="9"/>
      <c r="B341" s="126" t="s">
        <v>149</v>
      </c>
      <c r="C341" s="127"/>
      <c r="D341" s="127"/>
      <c r="E341" s="127"/>
      <c r="F341" s="127"/>
      <c r="G341" s="127"/>
      <c r="H341" s="128"/>
      <c r="I341" s="18">
        <f>$G$90*I329</f>
        <v>21780.105898911585</v>
      </c>
      <c r="J341" s="27">
        <f t="shared" si="10"/>
        <v>0.01</v>
      </c>
      <c r="K341" s="9"/>
    </row>
    <row r="342" spans="1:11" x14ac:dyDescent="0.3">
      <c r="A342" s="9"/>
      <c r="B342" s="126" t="s">
        <v>144</v>
      </c>
      <c r="C342" s="127"/>
      <c r="D342" s="127"/>
      <c r="E342" s="127"/>
      <c r="F342" s="127"/>
      <c r="G342" s="127"/>
      <c r="H342" s="128"/>
      <c r="I342" s="18">
        <f>$G$91*I329</f>
        <v>196020.95309020425</v>
      </c>
      <c r="J342" s="27">
        <f t="shared" si="10"/>
        <v>0.09</v>
      </c>
      <c r="K342" s="9"/>
    </row>
    <row r="343" spans="1:11" x14ac:dyDescent="0.3">
      <c r="A343" s="9"/>
      <c r="B343" s="129" t="s">
        <v>154</v>
      </c>
      <c r="C343" s="129"/>
      <c r="D343" s="129"/>
      <c r="E343" s="129"/>
      <c r="F343" s="129"/>
      <c r="G343" s="129"/>
      <c r="H343" s="129"/>
      <c r="I343" s="18">
        <f>SUM(I331:I342)</f>
        <v>865454.74639361515</v>
      </c>
      <c r="J343" s="27">
        <f t="shared" si="10"/>
        <v>0.39736021046475462</v>
      </c>
      <c r="K343" s="9"/>
    </row>
    <row r="344" spans="1:11" x14ac:dyDescent="0.3">
      <c r="A344" s="9"/>
      <c r="B344" s="113" t="s">
        <v>159</v>
      </c>
      <c r="C344" s="113"/>
      <c r="D344" s="113"/>
      <c r="E344" s="113"/>
      <c r="F344" s="113"/>
      <c r="G344" s="113"/>
      <c r="H344" s="113"/>
      <c r="I344" s="21">
        <f>I329-I343</f>
        <v>1312555.8434975434</v>
      </c>
      <c r="J344" s="27">
        <f t="shared" si="10"/>
        <v>0.60263978953524533</v>
      </c>
      <c r="K344" s="9"/>
    </row>
    <row r="345" spans="1:11" ht="18" x14ac:dyDescent="0.35">
      <c r="A345" s="9"/>
      <c r="B345" s="106" t="s">
        <v>171</v>
      </c>
      <c r="C345" s="106"/>
      <c r="D345" s="106"/>
      <c r="E345" s="106"/>
      <c r="F345" s="106"/>
      <c r="G345" s="106"/>
      <c r="H345" s="106"/>
      <c r="I345" s="106"/>
      <c r="J345" s="106"/>
      <c r="K345" s="9"/>
    </row>
    <row r="346" spans="1:11" x14ac:dyDescent="0.3">
      <c r="A346" s="9"/>
      <c r="B346" s="126" t="s">
        <v>172</v>
      </c>
      <c r="C346" s="127"/>
      <c r="D346" s="127"/>
      <c r="E346" s="127"/>
      <c r="F346" s="127"/>
      <c r="G346" s="127"/>
      <c r="H346" s="128"/>
      <c r="I346" s="18">
        <f>$I$130*12</f>
        <v>462346.93933078274</v>
      </c>
      <c r="J346" s="27">
        <f t="shared" ref="J346:J349" si="11">IFERROR((I346/I$329),0)</f>
        <v>0.21227947259608484</v>
      </c>
      <c r="K346" s="9"/>
    </row>
    <row r="347" spans="1:11" x14ac:dyDescent="0.3">
      <c r="A347" s="9"/>
      <c r="B347" s="126" t="s">
        <v>126</v>
      </c>
      <c r="C347" s="127"/>
      <c r="D347" s="127"/>
      <c r="E347" s="127"/>
      <c r="F347" s="127"/>
      <c r="G347" s="127"/>
      <c r="H347" s="128"/>
      <c r="I347" s="18">
        <f>$I$136*12</f>
        <v>90000</v>
      </c>
      <c r="J347" s="27">
        <f t="shared" si="11"/>
        <v>4.1322113132837228E-2</v>
      </c>
      <c r="K347" s="9"/>
    </row>
    <row r="348" spans="1:11" x14ac:dyDescent="0.3">
      <c r="A348" s="9"/>
      <c r="B348" s="129" t="s">
        <v>173</v>
      </c>
      <c r="C348" s="129"/>
      <c r="D348" s="129"/>
      <c r="E348" s="129"/>
      <c r="F348" s="129"/>
      <c r="G348" s="129"/>
      <c r="H348" s="129"/>
      <c r="I348" s="18">
        <f>I346+I347</f>
        <v>552346.93933078274</v>
      </c>
      <c r="J348" s="27">
        <f t="shared" si="11"/>
        <v>0.25360158572892205</v>
      </c>
      <c r="K348" s="9"/>
    </row>
    <row r="349" spans="1:11" x14ac:dyDescent="0.3">
      <c r="A349" s="9"/>
      <c r="B349" s="113" t="s">
        <v>195</v>
      </c>
      <c r="C349" s="113"/>
      <c r="D349" s="113"/>
      <c r="E349" s="113"/>
      <c r="F349" s="113"/>
      <c r="G349" s="113"/>
      <c r="H349" s="113"/>
      <c r="I349" s="21">
        <f>I344-I348</f>
        <v>760208.90416676062</v>
      </c>
      <c r="J349" s="27">
        <f t="shared" si="11"/>
        <v>0.34903820380632328</v>
      </c>
      <c r="K349" s="9"/>
    </row>
    <row r="350" spans="1:1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5.8" x14ac:dyDescent="0.5">
      <c r="A358" s="9"/>
      <c r="B358" s="144" t="s">
        <v>17</v>
      </c>
      <c r="C358" s="145"/>
      <c r="D358" s="145"/>
      <c r="E358" s="145"/>
      <c r="F358" s="145"/>
      <c r="G358" s="145"/>
      <c r="H358" s="145"/>
      <c r="I358" s="145"/>
      <c r="J358" s="146"/>
      <c r="K358" s="9"/>
    </row>
    <row r="359" spans="1:11" x14ac:dyDescent="0.3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3">
      <c r="A361" s="9"/>
      <c r="B361" s="9"/>
      <c r="C361" s="113" t="s">
        <v>188</v>
      </c>
      <c r="D361" s="113"/>
      <c r="E361" s="147" t="str">
        <f>CustomerName</f>
        <v>Todd Oberle</v>
      </c>
      <c r="F361" s="148"/>
      <c r="G361" s="148"/>
      <c r="H361" s="148"/>
      <c r="I361" s="149"/>
      <c r="J361" s="9"/>
      <c r="K361" s="9"/>
    </row>
    <row r="362" spans="1:11" x14ac:dyDescent="0.3">
      <c r="A362" s="9"/>
      <c r="B362" s="9"/>
      <c r="C362" s="114" t="s">
        <v>189</v>
      </c>
      <c r="D362" s="115"/>
      <c r="E362" s="147" t="str">
        <f>CompanyName</f>
        <v>Scrubs Car Wash</v>
      </c>
      <c r="F362" s="148"/>
      <c r="G362" s="148"/>
      <c r="H362" s="148"/>
      <c r="I362" s="149"/>
      <c r="J362" s="9"/>
      <c r="K362" s="9"/>
    </row>
    <row r="363" spans="1:11" x14ac:dyDescent="0.3">
      <c r="A363" s="9"/>
      <c r="B363" s="9"/>
      <c r="C363" s="116" t="s">
        <v>130</v>
      </c>
      <c r="D363" s="117"/>
      <c r="E363" s="154" t="str">
        <f>AddressLine1</f>
        <v xml:space="preserve"> </v>
      </c>
      <c r="F363" s="155"/>
      <c r="G363" s="155"/>
      <c r="H363" s="155"/>
      <c r="I363" s="156"/>
      <c r="J363" s="9"/>
      <c r="K363" s="9"/>
    </row>
    <row r="364" spans="1:11" x14ac:dyDescent="0.3">
      <c r="A364" s="9"/>
      <c r="B364" s="9"/>
      <c r="C364" s="118"/>
      <c r="D364" s="119"/>
      <c r="E364" s="157" t="str">
        <f>AddressLine2</f>
        <v>3361 Buford Drive</v>
      </c>
      <c r="F364" s="158"/>
      <c r="G364" s="158"/>
      <c r="H364" s="158"/>
      <c r="I364" s="159"/>
      <c r="J364" s="9"/>
      <c r="K364" s="9"/>
    </row>
    <row r="365" spans="1:11" x14ac:dyDescent="0.3">
      <c r="A365" s="9"/>
      <c r="B365" s="9"/>
      <c r="C365" s="120"/>
      <c r="D365" s="121"/>
      <c r="E365" s="160" t="str">
        <f>AddressLine3</f>
        <v>Buford GA 30519</v>
      </c>
      <c r="F365" s="161"/>
      <c r="G365" s="161"/>
      <c r="H365" s="161"/>
      <c r="I365" s="162"/>
      <c r="J365" s="9"/>
      <c r="K365" s="9"/>
    </row>
    <row r="366" spans="1:11" x14ac:dyDescent="0.3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4">
      <c r="A368" s="9"/>
      <c r="B368" s="105" t="s">
        <v>194</v>
      </c>
      <c r="C368" s="105"/>
      <c r="D368" s="105"/>
      <c r="E368" s="105"/>
      <c r="F368" s="105"/>
      <c r="G368" s="105"/>
      <c r="H368" s="105"/>
      <c r="I368" s="105"/>
      <c r="J368" s="105"/>
      <c r="K368" s="9"/>
    </row>
    <row r="369" spans="1:11" x14ac:dyDescent="0.3">
      <c r="A369" s="9"/>
      <c r="B369" s="106" t="s">
        <v>169</v>
      </c>
      <c r="C369" s="106"/>
      <c r="D369" s="106"/>
      <c r="E369" s="106"/>
      <c r="F369" s="106"/>
      <c r="G369" s="106"/>
      <c r="H369" s="106"/>
      <c r="I369" s="15" t="s">
        <v>177</v>
      </c>
      <c r="J369" s="173" t="s">
        <v>170</v>
      </c>
      <c r="K369" s="9"/>
    </row>
    <row r="370" spans="1:11" x14ac:dyDescent="0.3">
      <c r="A370" s="9"/>
      <c r="B370" s="106"/>
      <c r="C370" s="106"/>
      <c r="D370" s="106"/>
      <c r="E370" s="106"/>
      <c r="F370" s="106"/>
      <c r="G370" s="106"/>
      <c r="H370" s="106"/>
      <c r="I370" s="16">
        <f>'Input Form'!F74</f>
        <v>168705.25736842107</v>
      </c>
      <c r="J370" s="173"/>
      <c r="K370" s="9"/>
    </row>
    <row r="371" spans="1:11" ht="18" x14ac:dyDescent="0.35">
      <c r="A371" s="9"/>
      <c r="B371" s="106" t="s">
        <v>157</v>
      </c>
      <c r="C371" s="106"/>
      <c r="D371" s="106"/>
      <c r="E371" s="106"/>
      <c r="F371" s="106"/>
      <c r="G371" s="106"/>
      <c r="H371" s="106"/>
      <c r="I371" s="106"/>
      <c r="J371" s="106"/>
      <c r="K371" s="9"/>
    </row>
    <row r="372" spans="1:11" ht="27.6" x14ac:dyDescent="0.3">
      <c r="A372" s="9"/>
      <c r="B372" s="107" t="s">
        <v>137</v>
      </c>
      <c r="C372" s="107"/>
      <c r="D372" s="107"/>
      <c r="E372" s="107"/>
      <c r="F372" s="26" t="s">
        <v>136</v>
      </c>
      <c r="G372" s="173" t="s">
        <v>135</v>
      </c>
      <c r="H372" s="173"/>
      <c r="I372" s="107"/>
      <c r="J372" s="107"/>
      <c r="K372" s="9"/>
    </row>
    <row r="373" spans="1:11" x14ac:dyDescent="0.3">
      <c r="A373" s="9"/>
      <c r="B373" s="129" t="str">
        <f>BasicPackage</f>
        <v>Basic Package</v>
      </c>
      <c r="C373" s="129"/>
      <c r="D373" s="129"/>
      <c r="E373" s="129"/>
      <c r="F373" s="17">
        <f>'Input Form'!E27</f>
        <v>10</v>
      </c>
      <c r="G373" s="133">
        <f>'Input Form'!$D$19</f>
        <v>0.5</v>
      </c>
      <c r="H373" s="134"/>
      <c r="I373" s="18">
        <f>I$370*F373*G373</f>
        <v>843526.28684210533</v>
      </c>
      <c r="J373" s="27">
        <f>IFERROR((I373/I$378),0)</f>
        <v>0.35087719298245612</v>
      </c>
      <c r="K373" s="9"/>
    </row>
    <row r="374" spans="1:11" x14ac:dyDescent="0.3">
      <c r="A374" s="9"/>
      <c r="B374" s="129" t="str">
        <f>MenuPackage1</f>
        <v>Menu Package #1</v>
      </c>
      <c r="C374" s="129"/>
      <c r="D374" s="129"/>
      <c r="E374" s="129"/>
      <c r="F374" s="17">
        <f>'Input Form'!E28</f>
        <v>15</v>
      </c>
      <c r="G374" s="133">
        <f>'Input Form'!$D$20</f>
        <v>0.25</v>
      </c>
      <c r="H374" s="134"/>
      <c r="I374" s="18">
        <f t="shared" ref="I374:I377" si="12">I$370*F374*G374</f>
        <v>632644.71513157897</v>
      </c>
      <c r="J374" s="27">
        <f t="shared" ref="J374:J380" si="13">IFERROR((I374/I$378),0)</f>
        <v>0.26315789473684209</v>
      </c>
      <c r="K374" s="9"/>
    </row>
    <row r="375" spans="1:11" x14ac:dyDescent="0.3">
      <c r="A375" s="9"/>
      <c r="B375" s="129" t="str">
        <f>MenuPackage2</f>
        <v>Menu Package #2</v>
      </c>
      <c r="C375" s="129"/>
      <c r="D375" s="129"/>
      <c r="E375" s="129"/>
      <c r="F375" s="17">
        <f>'Input Form'!E29</f>
        <v>20</v>
      </c>
      <c r="G375" s="133">
        <f>'Input Form'!$D$21</f>
        <v>0.15</v>
      </c>
      <c r="H375" s="134"/>
      <c r="I375" s="18">
        <f t="shared" si="12"/>
        <v>506115.7721052632</v>
      </c>
      <c r="J375" s="27">
        <f t="shared" si="13"/>
        <v>0.21052631578947367</v>
      </c>
      <c r="K375" s="9"/>
    </row>
    <row r="376" spans="1:11" x14ac:dyDescent="0.3">
      <c r="A376" s="9"/>
      <c r="B376" s="129" t="str">
        <f>MenuPackage3</f>
        <v>Menu Package #3</v>
      </c>
      <c r="C376" s="129"/>
      <c r="D376" s="129"/>
      <c r="E376" s="129"/>
      <c r="F376" s="17">
        <f>'Input Form'!E30</f>
        <v>25</v>
      </c>
      <c r="G376" s="133">
        <f>'Input Form'!$D$22</f>
        <v>0.1</v>
      </c>
      <c r="H376" s="134"/>
      <c r="I376" s="18">
        <f t="shared" si="12"/>
        <v>421763.14342105272</v>
      </c>
      <c r="J376" s="27">
        <f t="shared" si="13"/>
        <v>0.17543859649122809</v>
      </c>
      <c r="K376" s="9"/>
    </row>
    <row r="377" spans="1:11" x14ac:dyDescent="0.3">
      <c r="A377" s="9"/>
      <c r="B377" s="129" t="str">
        <f>MenuPackage4</f>
        <v>Menu Package #4</v>
      </c>
      <c r="C377" s="129"/>
      <c r="D377" s="129"/>
      <c r="E377" s="129"/>
      <c r="F377" s="17">
        <f>'Input Form'!E31</f>
        <v>0</v>
      </c>
      <c r="G377" s="133">
        <f>'Input Form'!$D$23</f>
        <v>0</v>
      </c>
      <c r="H377" s="134"/>
      <c r="I377" s="18">
        <f t="shared" si="12"/>
        <v>0</v>
      </c>
      <c r="J377" s="27">
        <f t="shared" si="13"/>
        <v>0</v>
      </c>
      <c r="K377" s="9"/>
    </row>
    <row r="378" spans="1:11" x14ac:dyDescent="0.3">
      <c r="A378" s="9"/>
      <c r="B378" s="129" t="s">
        <v>138</v>
      </c>
      <c r="C378" s="129"/>
      <c r="D378" s="129"/>
      <c r="E378" s="129"/>
      <c r="F378" s="129"/>
      <c r="G378" s="129"/>
      <c r="H378" s="129"/>
      <c r="I378" s="18">
        <f>SUM(I373:I377)</f>
        <v>2404049.9175000004</v>
      </c>
      <c r="J378" s="27">
        <f t="shared" si="13"/>
        <v>1</v>
      </c>
      <c r="K378" s="9"/>
    </row>
    <row r="379" spans="1:11" x14ac:dyDescent="0.3">
      <c r="A379" s="9"/>
      <c r="B379" s="129" t="s">
        <v>139</v>
      </c>
      <c r="C379" s="129"/>
      <c r="D379" s="129"/>
      <c r="E379" s="129"/>
      <c r="F379" s="28">
        <f>$F$75</f>
        <v>0.03</v>
      </c>
      <c r="G379" s="175">
        <f>$G$75</f>
        <v>0.75</v>
      </c>
      <c r="H379" s="175"/>
      <c r="I379" s="18">
        <f>-(I378*F379*G379)</f>
        <v>-54091.12314375001</v>
      </c>
      <c r="J379" s="27">
        <f t="shared" si="13"/>
        <v>-2.2499999999999999E-2</v>
      </c>
      <c r="K379" s="9"/>
    </row>
    <row r="380" spans="1:11" x14ac:dyDescent="0.3">
      <c r="A380" s="9"/>
      <c r="B380" s="129" t="s">
        <v>140</v>
      </c>
      <c r="C380" s="129"/>
      <c r="D380" s="129"/>
      <c r="E380" s="129"/>
      <c r="F380" s="129"/>
      <c r="G380" s="129"/>
      <c r="H380" s="129"/>
      <c r="I380" s="18">
        <f>I378+I379</f>
        <v>2349958.7943562502</v>
      </c>
      <c r="J380" s="27">
        <f t="shared" si="13"/>
        <v>0.97749999999999992</v>
      </c>
      <c r="K380" s="9"/>
    </row>
    <row r="381" spans="1:11" ht="18" x14ac:dyDescent="0.35">
      <c r="A381" s="9"/>
      <c r="B381" s="106" t="s">
        <v>158</v>
      </c>
      <c r="C381" s="106"/>
      <c r="D381" s="106"/>
      <c r="E381" s="106"/>
      <c r="F381" s="106"/>
      <c r="G381" s="106"/>
      <c r="H381" s="106"/>
      <c r="I381" s="106"/>
      <c r="J381" s="106"/>
      <c r="K381" s="9"/>
    </row>
    <row r="382" spans="1:11" x14ac:dyDescent="0.3">
      <c r="A382" s="9"/>
      <c r="B382" s="126" t="s">
        <v>145</v>
      </c>
      <c r="C382" s="127"/>
      <c r="D382" s="127"/>
      <c r="E382" s="127"/>
      <c r="F382" s="127"/>
      <c r="G382" s="127"/>
      <c r="H382" s="128"/>
      <c r="I382" s="18">
        <f>$G$80*I380</f>
        <v>70498.763830687501</v>
      </c>
      <c r="J382" s="27">
        <f>IFERROR((I382/I$380),0)</f>
        <v>0.03</v>
      </c>
      <c r="K382" s="9"/>
    </row>
    <row r="383" spans="1:11" x14ac:dyDescent="0.3">
      <c r="A383" s="9"/>
      <c r="B383" s="126" t="s">
        <v>143</v>
      </c>
      <c r="C383" s="127"/>
      <c r="D383" s="127"/>
      <c r="E383" s="127"/>
      <c r="F383" s="127"/>
      <c r="G383" s="127"/>
      <c r="H383" s="128"/>
      <c r="I383" s="18">
        <f>$G$81*I380</f>
        <v>132653.11257404686</v>
      </c>
      <c r="J383" s="27">
        <f t="shared" ref="J383:J395" si="14">IFERROR((I383/I$380),0)</f>
        <v>5.6449122807017547E-2</v>
      </c>
      <c r="K383" s="9"/>
    </row>
    <row r="384" spans="1:11" x14ac:dyDescent="0.3">
      <c r="A384" s="9"/>
      <c r="B384" s="126" t="s">
        <v>146</v>
      </c>
      <c r="C384" s="127"/>
      <c r="D384" s="127"/>
      <c r="E384" s="127"/>
      <c r="F384" s="127"/>
      <c r="G384" s="127"/>
      <c r="H384" s="128"/>
      <c r="I384" s="18">
        <f>$G$82*I380</f>
        <v>23499.587943562503</v>
      </c>
      <c r="J384" s="27">
        <f t="shared" si="14"/>
        <v>0.01</v>
      </c>
      <c r="K384" s="9"/>
    </row>
    <row r="385" spans="1:11" x14ac:dyDescent="0.3">
      <c r="A385" s="9"/>
      <c r="B385" s="126" t="s">
        <v>152</v>
      </c>
      <c r="C385" s="127"/>
      <c r="D385" s="127"/>
      <c r="E385" s="127"/>
      <c r="F385" s="127"/>
      <c r="G385" s="127"/>
      <c r="H385" s="128"/>
      <c r="I385" s="29">
        <f>$I$83*12</f>
        <v>12000</v>
      </c>
      <c r="J385" s="27">
        <f t="shared" si="14"/>
        <v>5.1064725172286652E-3</v>
      </c>
      <c r="K385" s="9"/>
    </row>
    <row r="386" spans="1:11" x14ac:dyDescent="0.3">
      <c r="A386" s="9"/>
      <c r="B386" s="126" t="s">
        <v>24</v>
      </c>
      <c r="C386" s="127"/>
      <c r="D386" s="127"/>
      <c r="E386" s="127"/>
      <c r="F386" s="127"/>
      <c r="G386" s="127"/>
      <c r="H386" s="128"/>
      <c r="I386" s="18">
        <f>$I$84*12</f>
        <v>303576</v>
      </c>
      <c r="J386" s="27">
        <f t="shared" si="14"/>
        <v>0.12918354174085078</v>
      </c>
      <c r="K386" s="9"/>
    </row>
    <row r="387" spans="1:11" x14ac:dyDescent="0.3">
      <c r="A387" s="9"/>
      <c r="B387" s="126" t="s">
        <v>147</v>
      </c>
      <c r="C387" s="127"/>
      <c r="D387" s="127"/>
      <c r="E387" s="127"/>
      <c r="F387" s="127"/>
      <c r="G387" s="127"/>
      <c r="H387" s="128"/>
      <c r="I387" s="18">
        <f>$G$85*I380</f>
        <v>23499.587943562503</v>
      </c>
      <c r="J387" s="27">
        <f t="shared" si="14"/>
        <v>0.01</v>
      </c>
      <c r="K387" s="9"/>
    </row>
    <row r="388" spans="1:11" x14ac:dyDescent="0.3">
      <c r="A388" s="9"/>
      <c r="B388" s="126" t="s">
        <v>148</v>
      </c>
      <c r="C388" s="127"/>
      <c r="D388" s="127"/>
      <c r="E388" s="127"/>
      <c r="F388" s="127"/>
      <c r="G388" s="127"/>
      <c r="H388" s="128"/>
      <c r="I388" s="18">
        <f>$G$86*I380</f>
        <v>23499.587943562503</v>
      </c>
      <c r="J388" s="27">
        <f t="shared" si="14"/>
        <v>0.01</v>
      </c>
      <c r="K388" s="9"/>
    </row>
    <row r="389" spans="1:11" x14ac:dyDescent="0.3">
      <c r="A389" s="9"/>
      <c r="B389" s="126" t="s">
        <v>150</v>
      </c>
      <c r="C389" s="127"/>
      <c r="D389" s="127"/>
      <c r="E389" s="127"/>
      <c r="F389" s="127"/>
      <c r="G389" s="127"/>
      <c r="H389" s="128"/>
      <c r="I389" s="18">
        <f>$G$87*I380</f>
        <v>35249.381915343751</v>
      </c>
      <c r="J389" s="27">
        <f t="shared" si="14"/>
        <v>1.4999999999999999E-2</v>
      </c>
      <c r="K389" s="9"/>
    </row>
    <row r="390" spans="1:11" x14ac:dyDescent="0.3">
      <c r="A390" s="9"/>
      <c r="B390" s="126" t="s">
        <v>153</v>
      </c>
      <c r="C390" s="127"/>
      <c r="D390" s="127"/>
      <c r="E390" s="127"/>
      <c r="F390" s="127"/>
      <c r="G390" s="127"/>
      <c r="H390" s="128"/>
      <c r="I390" s="18">
        <f>$G$88*I380</f>
        <v>23499.587943562503</v>
      </c>
      <c r="J390" s="27">
        <f t="shared" si="14"/>
        <v>0.01</v>
      </c>
      <c r="K390" s="9"/>
    </row>
    <row r="391" spans="1:11" x14ac:dyDescent="0.3">
      <c r="A391" s="9"/>
      <c r="B391" s="126" t="s">
        <v>151</v>
      </c>
      <c r="C391" s="127"/>
      <c r="D391" s="127"/>
      <c r="E391" s="127"/>
      <c r="F391" s="127"/>
      <c r="G391" s="127"/>
      <c r="H391" s="128"/>
      <c r="I391" s="29">
        <f>$I$89*12</f>
        <v>24000</v>
      </c>
      <c r="J391" s="27">
        <f t="shared" si="14"/>
        <v>1.021294503445733E-2</v>
      </c>
      <c r="K391" s="9"/>
    </row>
    <row r="392" spans="1:11" x14ac:dyDescent="0.3">
      <c r="A392" s="9"/>
      <c r="B392" s="126" t="s">
        <v>149</v>
      </c>
      <c r="C392" s="127"/>
      <c r="D392" s="127"/>
      <c r="E392" s="127"/>
      <c r="F392" s="127"/>
      <c r="G392" s="127"/>
      <c r="H392" s="128"/>
      <c r="I392" s="18">
        <f>$G$90*I380</f>
        <v>23499.587943562503</v>
      </c>
      <c r="J392" s="27">
        <f t="shared" si="14"/>
        <v>0.01</v>
      </c>
      <c r="K392" s="9"/>
    </row>
    <row r="393" spans="1:11" x14ac:dyDescent="0.3">
      <c r="A393" s="9"/>
      <c r="B393" s="126" t="s">
        <v>144</v>
      </c>
      <c r="C393" s="127"/>
      <c r="D393" s="127"/>
      <c r="E393" s="127"/>
      <c r="F393" s="127"/>
      <c r="G393" s="127"/>
      <c r="H393" s="128"/>
      <c r="I393" s="18">
        <f>$G$91*I380</f>
        <v>211496.2914920625</v>
      </c>
      <c r="J393" s="27">
        <f t="shared" si="14"/>
        <v>0.09</v>
      </c>
      <c r="K393" s="9"/>
    </row>
    <row r="394" spans="1:11" x14ac:dyDescent="0.3">
      <c r="A394" s="9"/>
      <c r="B394" s="129" t="s">
        <v>154</v>
      </c>
      <c r="C394" s="129"/>
      <c r="D394" s="129"/>
      <c r="E394" s="129"/>
      <c r="F394" s="129"/>
      <c r="G394" s="129"/>
      <c r="H394" s="129"/>
      <c r="I394" s="18">
        <f>SUM(I382:I393)</f>
        <v>906971.48952995322</v>
      </c>
      <c r="J394" s="27">
        <f t="shared" si="14"/>
        <v>0.38595208209955434</v>
      </c>
      <c r="K394" s="9"/>
    </row>
    <row r="395" spans="1:11" x14ac:dyDescent="0.3">
      <c r="A395" s="9"/>
      <c r="B395" s="113" t="s">
        <v>159</v>
      </c>
      <c r="C395" s="113"/>
      <c r="D395" s="113"/>
      <c r="E395" s="113"/>
      <c r="F395" s="113"/>
      <c r="G395" s="113"/>
      <c r="H395" s="113"/>
      <c r="I395" s="21">
        <f>I380-I394</f>
        <v>1442987.3048262969</v>
      </c>
      <c r="J395" s="27">
        <f t="shared" si="14"/>
        <v>0.61404791790044566</v>
      </c>
      <c r="K395" s="9"/>
    </row>
    <row r="396" spans="1:11" ht="18" x14ac:dyDescent="0.35">
      <c r="A396" s="9"/>
      <c r="B396" s="106" t="s">
        <v>171</v>
      </c>
      <c r="C396" s="106"/>
      <c r="D396" s="106"/>
      <c r="E396" s="106"/>
      <c r="F396" s="106"/>
      <c r="G396" s="106"/>
      <c r="H396" s="106"/>
      <c r="I396" s="106"/>
      <c r="J396" s="106"/>
      <c r="K396" s="9"/>
    </row>
    <row r="397" spans="1:11" x14ac:dyDescent="0.3">
      <c r="A397" s="9"/>
      <c r="B397" s="126" t="s">
        <v>172</v>
      </c>
      <c r="C397" s="127"/>
      <c r="D397" s="127"/>
      <c r="E397" s="127"/>
      <c r="F397" s="127"/>
      <c r="G397" s="127"/>
      <c r="H397" s="128"/>
      <c r="I397" s="18">
        <f>$I$130*12</f>
        <v>462346.93933078274</v>
      </c>
      <c r="J397" s="27">
        <f t="shared" ref="J397:J400" si="15">IFERROR((I397/I$380),0)</f>
        <v>0.19674682825978593</v>
      </c>
      <c r="K397" s="9"/>
    </row>
    <row r="398" spans="1:11" x14ac:dyDescent="0.3">
      <c r="A398" s="9"/>
      <c r="B398" s="126" t="s">
        <v>126</v>
      </c>
      <c r="C398" s="127"/>
      <c r="D398" s="127"/>
      <c r="E398" s="127"/>
      <c r="F398" s="127"/>
      <c r="G398" s="127"/>
      <c r="H398" s="128"/>
      <c r="I398" s="18">
        <f>$I$136*12</f>
        <v>90000</v>
      </c>
      <c r="J398" s="27">
        <f t="shared" si="15"/>
        <v>3.829854387921499E-2</v>
      </c>
      <c r="K398" s="9"/>
    </row>
    <row r="399" spans="1:11" x14ac:dyDescent="0.3">
      <c r="A399" s="9"/>
      <c r="B399" s="129" t="s">
        <v>173</v>
      </c>
      <c r="C399" s="129"/>
      <c r="D399" s="129"/>
      <c r="E399" s="129"/>
      <c r="F399" s="129"/>
      <c r="G399" s="129"/>
      <c r="H399" s="129"/>
      <c r="I399" s="18">
        <f>I397+I398</f>
        <v>552346.93933078274</v>
      </c>
      <c r="J399" s="27">
        <f t="shared" si="15"/>
        <v>0.2350453721390009</v>
      </c>
      <c r="K399" s="9"/>
    </row>
    <row r="400" spans="1:11" x14ac:dyDescent="0.3">
      <c r="A400" s="9"/>
      <c r="B400" s="113" t="s">
        <v>195</v>
      </c>
      <c r="C400" s="113"/>
      <c r="D400" s="113"/>
      <c r="E400" s="113"/>
      <c r="F400" s="113"/>
      <c r="G400" s="113"/>
      <c r="H400" s="113"/>
      <c r="I400" s="21">
        <f>I395-I399</f>
        <v>890640.36549551412</v>
      </c>
      <c r="J400" s="27">
        <f t="shared" si="15"/>
        <v>0.37900254576144471</v>
      </c>
      <c r="K400" s="9"/>
    </row>
    <row r="401" spans="1:1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5.8" x14ac:dyDescent="0.5">
      <c r="A409" s="9"/>
      <c r="B409" s="144" t="s">
        <v>17</v>
      </c>
      <c r="C409" s="145"/>
      <c r="D409" s="145"/>
      <c r="E409" s="145"/>
      <c r="F409" s="145"/>
      <c r="G409" s="145"/>
      <c r="H409" s="145"/>
      <c r="I409" s="145"/>
      <c r="J409" s="146"/>
      <c r="K409" s="9"/>
    </row>
    <row r="410" spans="1:11" x14ac:dyDescent="0.3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3">
      <c r="A412" s="9"/>
      <c r="B412" s="9"/>
      <c r="C412" s="113" t="s">
        <v>188</v>
      </c>
      <c r="D412" s="113"/>
      <c r="E412" s="147" t="str">
        <f>CustomerName</f>
        <v>Todd Oberle</v>
      </c>
      <c r="F412" s="148"/>
      <c r="G412" s="148"/>
      <c r="H412" s="148"/>
      <c r="I412" s="149"/>
      <c r="J412" s="9"/>
      <c r="K412" s="9"/>
    </row>
    <row r="413" spans="1:11" x14ac:dyDescent="0.3">
      <c r="A413" s="9"/>
      <c r="B413" s="9"/>
      <c r="C413" s="114" t="s">
        <v>189</v>
      </c>
      <c r="D413" s="115"/>
      <c r="E413" s="147" t="str">
        <f>CompanyName</f>
        <v>Scrubs Car Wash</v>
      </c>
      <c r="F413" s="148"/>
      <c r="G413" s="148"/>
      <c r="H413" s="148"/>
      <c r="I413" s="149"/>
      <c r="J413" s="9"/>
      <c r="K413" s="9"/>
    </row>
    <row r="414" spans="1:11" x14ac:dyDescent="0.3">
      <c r="A414" s="9"/>
      <c r="B414" s="9"/>
      <c r="C414" s="116" t="s">
        <v>130</v>
      </c>
      <c r="D414" s="117"/>
      <c r="E414" s="154" t="str">
        <f>AddressLine1</f>
        <v xml:space="preserve"> </v>
      </c>
      <c r="F414" s="155"/>
      <c r="G414" s="155"/>
      <c r="H414" s="155"/>
      <c r="I414" s="156"/>
      <c r="J414" s="9"/>
      <c r="K414" s="9"/>
    </row>
    <row r="415" spans="1:11" x14ac:dyDescent="0.3">
      <c r="A415" s="9"/>
      <c r="B415" s="9"/>
      <c r="C415" s="118"/>
      <c r="D415" s="119"/>
      <c r="E415" s="157" t="str">
        <f>AddressLine2</f>
        <v>3361 Buford Drive</v>
      </c>
      <c r="F415" s="158"/>
      <c r="G415" s="158"/>
      <c r="H415" s="158"/>
      <c r="I415" s="159"/>
      <c r="J415" s="9"/>
      <c r="K415" s="9"/>
    </row>
    <row r="416" spans="1:11" x14ac:dyDescent="0.3">
      <c r="A416" s="9"/>
      <c r="B416" s="9"/>
      <c r="C416" s="120"/>
      <c r="D416" s="121"/>
      <c r="E416" s="160" t="str">
        <f>AddressLine3</f>
        <v>Buford GA 30519</v>
      </c>
      <c r="F416" s="161"/>
      <c r="G416" s="161"/>
      <c r="H416" s="161"/>
      <c r="I416" s="162"/>
      <c r="J416" s="9"/>
      <c r="K416" s="9"/>
    </row>
    <row r="417" spans="1:11" x14ac:dyDescent="0.3">
      <c r="A417" s="9"/>
      <c r="B417" s="9"/>
      <c r="C417" s="30"/>
      <c r="D417" s="30"/>
      <c r="E417" s="13"/>
      <c r="F417" s="13"/>
      <c r="G417" s="13"/>
      <c r="H417" s="13"/>
      <c r="I417" s="13"/>
      <c r="J417" s="9"/>
      <c r="K417" s="9"/>
    </row>
    <row r="418" spans="1:11" x14ac:dyDescent="0.3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4">
      <c r="A419" s="9"/>
      <c r="B419" s="105" t="s">
        <v>178</v>
      </c>
      <c r="C419" s="105"/>
      <c r="D419" s="105"/>
      <c r="E419" s="105"/>
      <c r="F419" s="105"/>
      <c r="G419" s="105"/>
      <c r="H419" s="105"/>
      <c r="I419" s="105"/>
      <c r="J419" s="105"/>
      <c r="K419" s="9"/>
    </row>
    <row r="420" spans="1:11" x14ac:dyDescent="0.3">
      <c r="A420" s="9"/>
      <c r="B420" s="129" t="s">
        <v>179</v>
      </c>
      <c r="C420" s="129"/>
      <c r="D420" s="129"/>
      <c r="E420" s="129"/>
      <c r="F420" s="129"/>
      <c r="G420" s="129"/>
      <c r="H420" s="129"/>
      <c r="I420" s="176">
        <f>'Input Form'!E86</f>
        <v>1060000</v>
      </c>
      <c r="J420" s="177"/>
      <c r="K420" s="9"/>
    </row>
    <row r="421" spans="1:11" x14ac:dyDescent="0.3">
      <c r="A421" s="9"/>
      <c r="B421" s="129" t="s">
        <v>180</v>
      </c>
      <c r="C421" s="129"/>
      <c r="D421" s="129"/>
      <c r="E421" s="129"/>
      <c r="F421" s="129"/>
      <c r="G421" s="129"/>
      <c r="H421" s="129"/>
      <c r="I421" s="178">
        <f>IFERROR((I196/I420),0)</f>
        <v>0.21108676996273548</v>
      </c>
      <c r="J421" s="179"/>
      <c r="K421" s="9"/>
    </row>
    <row r="422" spans="1:11" x14ac:dyDescent="0.3">
      <c r="A422" s="9"/>
      <c r="B422" s="129" t="s">
        <v>181</v>
      </c>
      <c r="C422" s="129"/>
      <c r="D422" s="129"/>
      <c r="E422" s="129"/>
      <c r="F422" s="129"/>
      <c r="G422" s="129"/>
      <c r="H422" s="129"/>
      <c r="I422" s="180">
        <f>IFERROR((I247/I420),0)</f>
        <v>0.54776354335896793</v>
      </c>
      <c r="J422" s="180"/>
      <c r="K422" s="9"/>
    </row>
    <row r="423" spans="1:11" x14ac:dyDescent="0.3">
      <c r="A423" s="9"/>
      <c r="B423" s="129" t="s">
        <v>182</v>
      </c>
      <c r="C423" s="129"/>
      <c r="D423" s="129"/>
      <c r="E423" s="129"/>
      <c r="F423" s="129"/>
      <c r="G423" s="129"/>
      <c r="H423" s="129"/>
      <c r="I423" s="180">
        <f>IFERROR((I298/I420),0)</f>
        <v>0.66216827218293006</v>
      </c>
      <c r="J423" s="180"/>
      <c r="K423" s="9"/>
    </row>
    <row r="424" spans="1:11" x14ac:dyDescent="0.3">
      <c r="A424" s="9"/>
      <c r="B424" s="129" t="s">
        <v>183</v>
      </c>
      <c r="C424" s="129"/>
      <c r="D424" s="129"/>
      <c r="E424" s="129"/>
      <c r="F424" s="129"/>
      <c r="G424" s="129"/>
      <c r="H424" s="129"/>
      <c r="I424" s="180">
        <f>IFERROR((I349/I420),0)</f>
        <v>0.71717821147807603</v>
      </c>
      <c r="J424" s="180"/>
      <c r="K424" s="9"/>
    </row>
    <row r="425" spans="1:11" x14ac:dyDescent="0.3">
      <c r="A425" s="9"/>
      <c r="B425" s="129" t="s">
        <v>184</v>
      </c>
      <c r="C425" s="129"/>
      <c r="D425" s="129"/>
      <c r="E425" s="129"/>
      <c r="F425" s="129"/>
      <c r="G425" s="129"/>
      <c r="H425" s="129"/>
      <c r="I425" s="180">
        <f>IFERROR((I400/I420),0)</f>
        <v>0.84022675990142837</v>
      </c>
      <c r="J425" s="180"/>
      <c r="K425" s="9"/>
    </row>
    <row r="426" spans="1:1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21" x14ac:dyDescent="0.4">
      <c r="A427" s="9"/>
      <c r="B427" s="105" t="s">
        <v>11</v>
      </c>
      <c r="C427" s="105"/>
      <c r="D427" s="105"/>
      <c r="E427" s="105"/>
      <c r="F427" s="105"/>
      <c r="G427" s="105"/>
      <c r="H427" s="105"/>
      <c r="I427" s="105"/>
      <c r="J427" s="105"/>
      <c r="K427" s="9"/>
    </row>
    <row r="428" spans="1:11" x14ac:dyDescent="0.3">
      <c r="A428" s="9"/>
      <c r="B428" s="129" t="s">
        <v>185</v>
      </c>
      <c r="C428" s="129"/>
      <c r="D428" s="129"/>
      <c r="E428" s="129"/>
      <c r="F428" s="129"/>
      <c r="G428" s="129"/>
      <c r="H428" s="129"/>
      <c r="I428" s="181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0.1</v>
      </c>
      <c r="J428" s="181"/>
      <c r="K428" s="9"/>
    </row>
    <row r="429" spans="1:11" x14ac:dyDescent="0.3">
      <c r="A429" s="9"/>
      <c r="B429" s="129" t="s">
        <v>186</v>
      </c>
      <c r="C429" s="129"/>
      <c r="D429" s="129"/>
      <c r="E429" s="129"/>
      <c r="F429" s="129"/>
      <c r="G429" s="129"/>
      <c r="H429" s="129"/>
      <c r="I429" s="182">
        <v>0.08</v>
      </c>
      <c r="J429" s="182"/>
      <c r="K429" s="9"/>
    </row>
    <row r="430" spans="1:11" x14ac:dyDescent="0.3">
      <c r="A430" s="9"/>
      <c r="B430" s="129" t="s">
        <v>187</v>
      </c>
      <c r="C430" s="129"/>
      <c r="D430" s="129"/>
      <c r="E430" s="129"/>
      <c r="F430" s="129"/>
      <c r="G430" s="129"/>
      <c r="H430" s="129"/>
      <c r="I430" s="176">
        <f>'Input Form'!B86</f>
        <v>5300000</v>
      </c>
      <c r="J430" s="177"/>
      <c r="K430" s="9"/>
    </row>
  </sheetData>
  <sheetProtection algorithmName="SHA-512" hashValue="xGTp78wTuLEngNa3R1osifM1y31Dz5f8I+tcErqKZL3gevIj0izx2cVpj1lrLMikLxvvRj+ngwJW5ztAcfk33A==" saltValue="VwkICUUgrA8Rov6UOR11U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2024-09-05T21:42:22Z</dcterms:modified>
</cp:coreProperties>
</file>