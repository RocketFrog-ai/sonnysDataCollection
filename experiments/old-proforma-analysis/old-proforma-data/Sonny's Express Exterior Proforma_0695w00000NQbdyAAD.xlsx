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TAMFS0220\Public\Sales\Business Development\Demos\Colorado\Brad O'Neil\801 Wadsworth Blvd., Lakewood\"/>
    </mc:Choice>
  </mc:AlternateContent>
  <xr:revisionPtr revIDLastSave="0" documentId="8_{89B94B79-E4EB-44CC-AF69-82F48C2BD246}" xr6:coauthVersionLast="47" xr6:coauthVersionMax="47" xr10:uidLastSave="{00000000-0000-0000-0000-000000000000}"/>
  <workbookProtection workbookPassword="FB8D" lockStructure="1"/>
  <bookViews>
    <workbookView xWindow="-23148" yWindow="-108" windowWidth="23256" windowHeight="12576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<sst xmlns="http://schemas.openxmlformats.org/spreadsheetml/2006/main" count="430" uniqueCount="197">
  <si>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</si>
  <si>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</si>
  <si>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</si>
  <si>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</si>
  <si>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</si>
  <si>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</si>
  <si>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</si>
  <si>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</si>
  <si>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</si>
  <si>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</si>
  <si>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</si>
  <si>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</si>
  <si>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</si>
  <si>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</si>
  <si>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</si>
  <si>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</si>
  <si>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</si>
  <si>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</si>
  <si>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</si>
  <si>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</si>
  <si>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</si>
  <si>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</si>
  <si>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</si>
  <si>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</si>
  <si>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</si>
  <si>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</si>
  <si>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</si>
  <si>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</si>
  <si>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</si>
  <si>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</si>
  <si>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</si>
  <si>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</si>
  <si>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</si>
  <si>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</si>
  <si>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</si>
  <si>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</si>
  <si>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</si>
  <si>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</si>
  <si>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</si>
  <si>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</si>
  <si>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</si>
  <si>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</si>
  <si>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</si>
  <si>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</si>
  <si>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</si>
  <si>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</si>
  <si>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</si>
  <si>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</si>
  <si>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</si>
  <si>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</si>
  <si>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</si>
  <si>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</si>
  <si>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</si>
  <si>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</si>
  <si>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</si>
  <si>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</si>
  <si>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</si>
  <si>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</si>
  <si>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</si>
  <si>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</si>
  <si>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</si>
  <si>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</si>
  <si>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</si>
  <si>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</si>
  <si>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</si>
  <si>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</si>
  <si>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</si>
  <si>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</si>
  <si>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</si>
  <si>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</si>
  <si>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</si>
  <si>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</si>
  <si>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</si>
  <si>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</si>
  <si>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</si>
  <si>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</si>
  <si>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</si>
  <si>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</si>
  <si>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</si>
  <si>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</si>
  <si>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</si>
  <si>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</si>
  <si>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</si>
  <si>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</si>
  <si>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</si>
  <si>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</si>
  <si>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</si>
  <si>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</si>
  <si>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</si>
  <si>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</si>
  <si>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</si>
  <si>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</si>
  <si>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</si>
  <si>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</si>
  <si>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</si>
  <si>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</si>
  <si>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</si>
  <si>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</si>
  <si>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</si>
  <si>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</si>
  <si>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</si>
  <si>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</si>
  <si>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</si>
  <si>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</si>
  <si>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</si>
  <si>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</si>
  <si>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</si>
  <si>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</si>
  <si>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</si>
  <si>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</si>
  <si>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</si>
  <si>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</si>
  <si>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</si>
  <si>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</si>
  <si>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</si>
  <si>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</si>
  <si>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</si>
  <si>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</si>
  <si>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</si>
  <si>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</si>
  <si>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</si>
  <si>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</si>
  <si>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</si>
  <si>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</si>
  <si>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</si>
  <si>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</si>
  <si>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</si>
  <si>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</si>
  <si>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</si>
  <si>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</si>
  <si>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</si>
  <si>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</si>
  <si>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</si>
  <si>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</si>
  <si>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</si>
  <si>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</si>
  <si>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</si>
  <si>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</si>
  <si>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</si>
  <si>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</si>
  <si>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</si>
  <si>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</si>
  <si>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</si>
  <si>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</si>
  <si>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</si>
  <si>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</si>
  <si>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</si>
  <si>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</si>
  <si>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</si>
  <si>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</si>
  <si>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</si>
  <si>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</si>
  <si>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</si>
  <si>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</si>
  <si>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</si>
  <si>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</si>
  <si>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</si>
  <si>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</si>
  <si>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</si>
  <si>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</si>
  <si>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</si>
  <si>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</si>
  <si>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</si>
  <si>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</si>
  <si>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</si>
  <si>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</si>
  <si>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</si>
  <si>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</si>
  <si>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</si>
  <si>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</si>
  <si>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</si>
  <si>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</si>
  <si>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</si>
  <si>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</si>
  <si>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</si>
  <si>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</si>
  <si>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</si>
  <si>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</si>
  <si>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</si>
  <si>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</si>
  <si>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</si>
  <si>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</si>
  <si>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</si>
  <si>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</si>
  <si>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</si>
  <si>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</si>
  <si>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</si>
  <si>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</si>
  <si>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</si>
  <si>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</si>
  <si>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</si>
  <si>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</si>
  <si>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Brad O'Neil</t>
  </si>
  <si>
    <t>Peaks Car Wash</t>
  </si>
  <si>
    <t>801 Wadsworth Blvd.</t>
  </si>
  <si>
    <t>Lakewood, CO 80214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</si>
  <si>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This proforma cannot account for the population density:number of competitors ratio. A competitor is sharing this traffic pattern as well.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</si>
</sst>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115" zoomScaleNormal="100" workbookViewId="0">
      <selection activeCell="H42" sqref="H42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12</v>
      </c>
      <c r="B4" s="86"/>
      <c r="C4" s="87"/>
      <c r="D4" s="88"/>
      <c r="E4" s="34"/>
      <c r="F4" s="34"/>
    </row>
    <row r="5" spans="1:9" ht="15.75" x14ac:dyDescent="0.25">
      <c r="A5" s="35" t="s">
        <v>13</v>
      </c>
      <c r="B5" s="86" t="s">
        <v>194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195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8</v>
      </c>
      <c r="C19" s="48">
        <v>4.53E-2</v>
      </c>
      <c r="D19" s="45">
        <v>0.35</v>
      </c>
      <c r="E19" s="34"/>
      <c r="F19" s="34"/>
    </row>
    <row r="20" spans="1:8" ht="15.75" x14ac:dyDescent="0.25">
      <c r="A20" s="43" t="s">
        <v>27</v>
      </c>
      <c r="B20" s="47">
        <v>12</v>
      </c>
      <c r="C20" s="48">
        <v>0.88600000000000001</v>
      </c>
      <c r="D20" s="45">
        <v>0.15</v>
      </c>
      <c r="E20" s="34"/>
      <c r="F20" s="34"/>
    </row>
    <row r="21" spans="1:8" ht="15.75" x14ac:dyDescent="0.25">
      <c r="A21" s="43" t="s">
        <v>28</v>
      </c>
      <c r="B21" s="47">
        <v>16</v>
      </c>
      <c r="C21" s="48">
        <v>1.054</v>
      </c>
      <c r="D21" s="45">
        <v>0.15</v>
      </c>
      <c r="E21" s="34"/>
      <c r="F21" s="34"/>
    </row>
    <row r="22" spans="1:8" ht="15.75" x14ac:dyDescent="0.25">
      <c r="A22" s="43" t="s">
        <v>29</v>
      </c>
      <c r="B22" s="47">
        <v>20</v>
      </c>
      <c r="C22" s="48">
        <v>1.873</v>
      </c>
      <c r="D22" s="45">
        <v>0.15</v>
      </c>
      <c r="E22" s="34"/>
      <c r="F22" s="34"/>
    </row>
    <row r="23" spans="1:8" ht="15.75" x14ac:dyDescent="0.25">
      <c r="A23" s="43" t="s">
        <v>30</v>
      </c>
      <c r="B23" s="47">
        <v>24</v>
      </c>
      <c r="C23" s="48">
        <v>2.121</v>
      </c>
      <c r="D23" s="45">
        <v>0.2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8</v>
      </c>
      <c r="C27" s="47">
        <v>8</v>
      </c>
      <c r="D27" s="47">
        <v>8</v>
      </c>
      <c r="E27" s="47">
        <v>8</v>
      </c>
      <c r="F27" s="34"/>
    </row>
    <row r="28" spans="1:8" ht="15.75" x14ac:dyDescent="0.25">
      <c r="A28" s="43" t="s">
        <v>27</v>
      </c>
      <c r="B28" s="47">
        <v>12</v>
      </c>
      <c r="C28" s="47">
        <v>12</v>
      </c>
      <c r="D28" s="47">
        <v>12</v>
      </c>
      <c r="E28" s="47">
        <v>12</v>
      </c>
      <c r="F28" s="34"/>
    </row>
    <row r="29" spans="1:8" ht="15.75" x14ac:dyDescent="0.25">
      <c r="A29" s="43" t="s">
        <v>28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30</v>
      </c>
      <c r="B31" s="47">
        <v>24</v>
      </c>
      <c r="C31" s="47">
        <v>24</v>
      </c>
      <c r="D31" s="47">
        <v>24</v>
      </c>
      <c r="E31" s="47">
        <v>24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0.85000000000000009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2.4500000000000002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0.50600000000000001</v>
      </c>
      <c r="F58" s="61">
        <f>-0.3*(0.55-E58)</f>
        <v>-1.3200000000000012E-2</v>
      </c>
    </row>
    <row r="59" spans="1:8" ht="15.75" x14ac:dyDescent="0.25">
      <c r="A59" s="83" t="s">
        <v>3</v>
      </c>
      <c r="B59" s="84"/>
      <c r="C59" s="84"/>
      <c r="D59" s="85"/>
      <c r="E59" s="45">
        <v>0.72599999999999998</v>
      </c>
      <c r="F59" s="61">
        <f>-0.75*(0.5-E59)</f>
        <v>0.16949999999999998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3.9074999999999992E-2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7.2735249999999986E-3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9.6001494565217393E-3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1.1621233552631579E-2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56003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122201.76617249996</v>
      </c>
      <c r="C74" s="68">
        <f>F65*A70*300</f>
        <v>161291.15100407612</v>
      </c>
      <c r="D74" s="68">
        <f>($F$54*(1+$F$61))/85*($A$70*(1+B$70))*300</f>
        <v>174573.95167499999</v>
      </c>
      <c r="E74" s="68">
        <f>($F$54*(1+$F$61))/82*($A$70*(1+C$70))*300</f>
        <v>180960.80356554876</v>
      </c>
      <c r="F74" s="68">
        <f>F66*(A70*(1+D70)*300)</f>
        <v>195247.18279440791</v>
      </c>
    </row>
    <row r="75" spans="1:6" ht="15.75" x14ac:dyDescent="0.25">
      <c r="A75" s="35" t="s">
        <v>105</v>
      </c>
      <c r="B75" s="68">
        <f>B74/12</f>
        <v>10183.480514374996</v>
      </c>
      <c r="C75" s="68">
        <f>C74/12</f>
        <v>13440.929250339677</v>
      </c>
      <c r="D75" s="68">
        <f t="shared" ref="D75:F75" si="0">D74/12</f>
        <v>14547.82930625</v>
      </c>
      <c r="E75" s="68">
        <f t="shared" si="0"/>
        <v>15080.066963795731</v>
      </c>
      <c r="F75" s="68">
        <f t="shared" si="0"/>
        <v>16270.598566200659</v>
      </c>
    </row>
    <row r="76" spans="1:6" ht="15.75" x14ac:dyDescent="0.25">
      <c r="A76" s="35" t="s">
        <v>106</v>
      </c>
      <c r="B76" s="68">
        <f>B75/4.5/7*3</f>
        <v>969.855287083333</v>
      </c>
      <c r="C76" s="68">
        <f t="shared" ref="C76:F76" si="1">C75/4.5/7*3</f>
        <v>1280.0885000323503</v>
      </c>
      <c r="D76" s="68">
        <f t="shared" si="1"/>
        <v>1385.5075529761905</v>
      </c>
      <c r="E76" s="68">
        <f t="shared" si="1"/>
        <v>1436.1968536948316</v>
      </c>
      <c r="F76" s="68">
        <f t="shared" si="1"/>
        <v>1549.5808158286345</v>
      </c>
    </row>
    <row r="77" spans="1:6" ht="15.75" x14ac:dyDescent="0.25">
      <c r="A77" s="35" t="s">
        <v>107</v>
      </c>
      <c r="B77" s="68">
        <f>IFERROR((B76/$B9*1.3),0)</f>
        <v>105.06765610069442</v>
      </c>
      <c r="C77" s="68">
        <f t="shared" ref="C77:F77" si="2">IFERROR((C76/$B9*1.3),0)</f>
        <v>138.67625417017129</v>
      </c>
      <c r="D77" s="68">
        <f t="shared" si="2"/>
        <v>150.09665157242065</v>
      </c>
      <c r="E77" s="68">
        <f t="shared" si="2"/>
        <v>155.58799248360677</v>
      </c>
      <c r="F77" s="68">
        <f t="shared" si="2"/>
        <v>167.87125504810206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M33" sqref="M33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Brad O'Neil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Peaks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801 Wadsworth Blvd.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Lakewood, CO 80214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Brad O'Neil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Peaks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801 Wadsworth Blvd.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Lakewood, CO 80214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2148.9699527596745</v>
      </c>
      <c r="J65" s="18">
        <f>'Input Form'!B75</f>
        <v>10183.480514374996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8</v>
      </c>
      <c r="G69" s="139">
        <f>'Input Form'!D19</f>
        <v>0.35</v>
      </c>
      <c r="H69" s="140"/>
      <c r="I69" s="20">
        <f>IFERROR((I$65*G69*F69),0)</f>
        <v>6017.1158677270878</v>
      </c>
      <c r="J69" s="20">
        <f>J$65*F69*G69</f>
        <v>28513.74544024999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12</v>
      </c>
      <c r="G70" s="139">
        <f>'Input Form'!D20</f>
        <v>0.15</v>
      </c>
      <c r="H70" s="140"/>
      <c r="I70" s="20">
        <f>IFERROR((I$65*G70*F70),0)</f>
        <v>3868.1459149674138</v>
      </c>
      <c r="J70" s="20">
        <f t="shared" ref="J70:J73" si="0">J$65*F70*G70</f>
        <v>18330.264925874992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16</v>
      </c>
      <c r="G71" s="139">
        <f>'Input Form'!D21</f>
        <v>0.15</v>
      </c>
      <c r="H71" s="140"/>
      <c r="I71" s="20">
        <f>IFERROR((I$65*G71*F71),0)</f>
        <v>5157.5278866232184</v>
      </c>
      <c r="J71" s="20">
        <f t="shared" si="0"/>
        <v>24440.353234499991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0.15</v>
      </c>
      <c r="H72" s="140"/>
      <c r="I72" s="20">
        <f t="shared" ref="I72:I73" si="1">I$65*G72*F72</f>
        <v>6446.909858279023</v>
      </c>
      <c r="J72" s="20">
        <f t="shared" si="0"/>
        <v>30550.441543124987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24</v>
      </c>
      <c r="G73" s="139">
        <f>'Input Form'!D23</f>
        <v>0.2</v>
      </c>
      <c r="H73" s="140"/>
      <c r="I73" s="20">
        <f t="shared" si="1"/>
        <v>10315.055773246439</v>
      </c>
      <c r="J73" s="20">
        <f t="shared" si="0"/>
        <v>48880.706468999982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31804.755300843179</v>
      </c>
      <c r="J74" s="20">
        <f>SUM(J69:J73)</f>
        <v>150715.51161274995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-572.48559541517716</v>
      </c>
      <c r="J75" s="20">
        <f>-(J74*$F75*$G75)</f>
        <v>-2712.8792090294992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31232.269705428</v>
      </c>
      <c r="J76" s="20">
        <f>SUM(J74:J75)</f>
        <v>148002.63240372046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14.533599999999998</v>
      </c>
      <c r="J77" s="22">
        <f>J76/(J65+0.000000001)</f>
        <v>14.533599999998573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936.96809116283998</v>
      </c>
      <c r="J80" s="20">
        <f>$G80*J76</f>
        <v>4440.0789721116134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6.8378716216216204E-2</v>
      </c>
      <c r="H81" s="131"/>
      <c r="I81" s="20">
        <f>G81*I76</f>
        <v>2135.6225069757875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10305.733197950067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312.32269705428001</v>
      </c>
      <c r="J82" s="20">
        <f>$G82*J76</f>
        <v>1480.0263240372046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3.1441839138233799E-2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0.6486765832609015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312.32269705428001</v>
      </c>
      <c r="J85" s="20">
        <f>$G85*J76</f>
        <v>1480.0263240372046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312.32269705428001</v>
      </c>
      <c r="J86" s="20">
        <f>$G86*J76</f>
        <v>1480.0263240372046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468.48404558141999</v>
      </c>
      <c r="J87" s="20">
        <f>$G87*J76</f>
        <v>2220.0394860558067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312.32269705428001</v>
      </c>
      <c r="J88" s="20">
        <f>$G88*J76</f>
        <v>1480.0263240372046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6.2883678276467597E-2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312.32269705428001</v>
      </c>
      <c r="J90" s="20">
        <f>$G90*J76</f>
        <v>1480.0263240372046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2498.5815764342401</v>
      </c>
      <c r="J91" s="20">
        <f>$G91*J76</f>
        <v>11840.210592297637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31232.269705425679</v>
      </c>
      <c r="J92" s="20">
        <f>SUM(J80:J91)</f>
        <v>59837.193868601156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2.3210304789245129E-9</v>
      </c>
      <c r="J93" s="24">
        <f>J76-J92</f>
        <v>88165.438535119305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Brad O'Neil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Peaks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801 Wadsworth Blvd.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Lakewood, CO 80214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31232.269705428</v>
      </c>
      <c r="H138" s="167"/>
      <c r="I138" s="167">
        <f>J76</f>
        <v>148002.63240372046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31232.269705425679</v>
      </c>
      <c r="H139" s="167"/>
      <c r="I139" s="167">
        <f>J92</f>
        <v>59837.193868601156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2.3210304789245129E-9</v>
      </c>
      <c r="H140" s="167"/>
      <c r="I140" s="167">
        <f>J93</f>
        <v>88165.438535119305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2.3210304789245129E-9</v>
      </c>
      <c r="H143" s="167"/>
      <c r="I143" s="167">
        <f>I140-I141-I142</f>
        <v>88165.438535119305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Brad O'Neil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Peaks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801 Wadsworth Blvd.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Lakewood, CO 80214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122201.76617249996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8</v>
      </c>
      <c r="G169" s="139">
        <f>'Input Form'!$D$19</f>
        <v>0.35</v>
      </c>
      <c r="H169" s="140"/>
      <c r="I169" s="20">
        <f>I$166*F169*G169</f>
        <v>342164.94528299989</v>
      </c>
      <c r="J169" s="30">
        <f>IFERROR((I169/I$174),0)</f>
        <v>0.1891891891891892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12</v>
      </c>
      <c r="G170" s="139">
        <f>'Input Form'!$D$20</f>
        <v>0.15</v>
      </c>
      <c r="H170" s="140"/>
      <c r="I170" s="20">
        <f>I$166*F170*G170</f>
        <v>219963.17911049991</v>
      </c>
      <c r="J170" s="30">
        <f t="shared" ref="J170:J176" si="2">IFERROR((I170/I$174),0)</f>
        <v>0.12162162162162161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16</v>
      </c>
      <c r="G171" s="139">
        <f>'Input Form'!$D$21</f>
        <v>0.15</v>
      </c>
      <c r="H171" s="140"/>
      <c r="I171" s="20">
        <f>I$166*F171*G171</f>
        <v>293284.23881399992</v>
      </c>
      <c r="J171" s="30">
        <f t="shared" si="2"/>
        <v>0.16216216216216217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0.15</v>
      </c>
      <c r="H172" s="140"/>
      <c r="I172" s="20">
        <f>I$166*F172*G172</f>
        <v>366605.29851749988</v>
      </c>
      <c r="J172" s="30">
        <f t="shared" si="2"/>
        <v>0.20270270270270271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24</v>
      </c>
      <c r="G173" s="139">
        <f>'Input Form'!$D$23</f>
        <v>0.2</v>
      </c>
      <c r="H173" s="140"/>
      <c r="I173" s="20">
        <f>I$166*F173*G173</f>
        <v>586568.47762799985</v>
      </c>
      <c r="J173" s="30">
        <f t="shared" si="2"/>
        <v>0.32432432432432434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1808586.1393529994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0.6</v>
      </c>
      <c r="H175" s="179"/>
      <c r="I175" s="20">
        <f>-(I174*F175*G175)</f>
        <v>-32554.550508353983</v>
      </c>
      <c r="J175" s="30">
        <f t="shared" si="2"/>
        <v>-1.7999999999999995E-2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1776031.5888446453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53280.947665339358</v>
      </c>
      <c r="J178" s="30">
        <f>IFERROR((I178/I$176),0)</f>
        <v>0.03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121442.76000464358</v>
      </c>
      <c r="J179" s="30">
        <f t="shared" ref="J179:J196" si="3">IFERROR((I179/I$176),0)</f>
        <v>6.8378716216216204E-2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17760.315888446454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6.7566365797616873E-3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0.13939616927706339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17760.315888446454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17760.315888446454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26640.473832669679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17760.315888446454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1.3513273159523375E-2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17760.315888446454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142082.52710757163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715820.28805245645</v>
      </c>
      <c r="J190" s="30">
        <f t="shared" si="3"/>
        <v>0.40304479523256459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1060211.3007921888</v>
      </c>
      <c r="J191" s="30">
        <f t="shared" si="3"/>
        <v>0.59695520476743535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1060211.3007921888</v>
      </c>
      <c r="J196" s="30">
        <f t="shared" si="3"/>
        <v>0.59695520476743535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Brad O'Neil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Peaks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801 Wadsworth Blvd.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Lakewood, CO 80214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161291.15100407612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8</v>
      </c>
      <c r="G220" s="139">
        <f>'Input Form'!$D$19</f>
        <v>0.35</v>
      </c>
      <c r="H220" s="140"/>
      <c r="I220" s="20">
        <f>I$217*F220*G220</f>
        <v>451615.22281141311</v>
      </c>
      <c r="J220" s="30">
        <f>IFERROR((I220/I$225),0)</f>
        <v>0.1891891891891892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12</v>
      </c>
      <c r="G221" s="139">
        <f>'Input Form'!$D$20</f>
        <v>0.15</v>
      </c>
      <c r="H221" s="140"/>
      <c r="I221" s="20">
        <f>I$217*F221*G221</f>
        <v>290324.07180733699</v>
      </c>
      <c r="J221" s="30">
        <f t="shared" ref="J221:J227" si="4">IFERROR((I221/I$225),0)</f>
        <v>0.12162162162162161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16</v>
      </c>
      <c r="G222" s="139">
        <f>'Input Form'!$D$21</f>
        <v>0.15</v>
      </c>
      <c r="H222" s="140"/>
      <c r="I222" s="20">
        <f>I$217*F222*G222</f>
        <v>387098.76240978268</v>
      </c>
      <c r="J222" s="30">
        <f t="shared" si="4"/>
        <v>0.16216216216216217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0.15</v>
      </c>
      <c r="H223" s="140"/>
      <c r="I223" s="20">
        <f>I$217*F223*G223</f>
        <v>483873.45301222836</v>
      </c>
      <c r="J223" s="30">
        <f t="shared" si="4"/>
        <v>0.20270270270270271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24</v>
      </c>
      <c r="G224" s="139">
        <f>'Input Form'!$D$23</f>
        <v>0.2</v>
      </c>
      <c r="H224" s="140"/>
      <c r="I224" s="20">
        <f>I$217*F224*G224</f>
        <v>774197.52481956547</v>
      </c>
      <c r="J224" s="30">
        <f t="shared" si="4"/>
        <v>0.3243243243243244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2387109.0348603264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0.6</v>
      </c>
      <c r="H226" s="179"/>
      <c r="I226" s="20">
        <f>-(I225*F226*G226)</f>
        <v>-42967.962627485867</v>
      </c>
      <c r="J226" s="30">
        <f t="shared" si="4"/>
        <v>-1.7999999999999995E-2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2344141.0722328406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70324.23216698521</v>
      </c>
      <c r="J229" s="30">
        <f>IFERROR((I229/I$227),0)</f>
        <v>2.9999999999999995E-2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160289.35714898616</v>
      </c>
      <c r="J230" s="30">
        <f t="shared" ref="J230:J247" si="5">IFERROR((I230/I$227),0)</f>
        <v>6.8378716216216204E-2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23441.410722328405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5.1191458321959114E-3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0.10561309766403384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23441.410722328405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23441.410722328405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35162.116083492605</v>
      </c>
      <c r="J236" s="30">
        <f t="shared" si="5"/>
        <v>1.4999999999999998E-2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23441.410722328405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1.0238291664391823E-2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23441.410722328405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187531.28577862724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854086.04478973313</v>
      </c>
      <c r="J241" s="30">
        <f t="shared" si="5"/>
        <v>0.36434925137683771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1490055.0274431075</v>
      </c>
      <c r="J242" s="30">
        <f t="shared" si="5"/>
        <v>0.63565074862316229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1490055.0274431075</v>
      </c>
      <c r="J247" s="30">
        <f t="shared" si="5"/>
        <v>0.63565074862316229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Brad O'Neil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Peaks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801 Wadsworth Blvd.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Lakewood, CO 80214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174573.95167499999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8</v>
      </c>
      <c r="G271" s="139">
        <f>'Input Form'!$D$19</f>
        <v>0.35</v>
      </c>
      <c r="H271" s="140"/>
      <c r="I271" s="20">
        <f>I$268*F271*G271</f>
        <v>488807.06468999991</v>
      </c>
      <c r="J271" s="30">
        <f>IFERROR((I271/I$276),0)</f>
        <v>0.18918918918918914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12</v>
      </c>
      <c r="G272" s="139">
        <f>'Input Form'!$D$20</f>
        <v>0.15</v>
      </c>
      <c r="H272" s="140"/>
      <c r="I272" s="20">
        <f t="shared" ref="I272:I275" si="6">I$268*F272*G272</f>
        <v>314233.11301499995</v>
      </c>
      <c r="J272" s="30">
        <f t="shared" ref="J272:J278" si="7">IFERROR((I272/I$276),0)</f>
        <v>0.1216216216216216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16</v>
      </c>
      <c r="G273" s="139">
        <f>'Input Form'!$D$21</f>
        <v>0.15</v>
      </c>
      <c r="H273" s="140"/>
      <c r="I273" s="20">
        <f t="shared" si="6"/>
        <v>418977.48401999997</v>
      </c>
      <c r="J273" s="30">
        <f t="shared" si="7"/>
        <v>0.16216216216216214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0.15</v>
      </c>
      <c r="H274" s="140"/>
      <c r="I274" s="20">
        <f t="shared" si="6"/>
        <v>523721.85502499994</v>
      </c>
      <c r="J274" s="30">
        <f t="shared" si="7"/>
        <v>0.20270270270270266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24</v>
      </c>
      <c r="G275" s="139">
        <f>'Input Form'!$D$23</f>
        <v>0.2</v>
      </c>
      <c r="H275" s="140"/>
      <c r="I275" s="20">
        <f t="shared" si="6"/>
        <v>837954.96803999995</v>
      </c>
      <c r="J275" s="30">
        <f t="shared" si="7"/>
        <v>0.32432432432432429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2583694.4847900001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0.6</v>
      </c>
      <c r="H277" s="179"/>
      <c r="I277" s="20">
        <f>-(I276*F277*G277)</f>
        <v>-46506.500726219994</v>
      </c>
      <c r="J277" s="30">
        <f t="shared" si="7"/>
        <v>-1.7999999999999995E-2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2537187.9840637799</v>
      </c>
      <c r="J278" s="30">
        <f t="shared" si="7"/>
        <v>0.98199999999999987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76115.639521913399</v>
      </c>
      <c r="J280" s="30">
        <f>IFERROR((I280/I$278),0)</f>
        <v>0.03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173489.6571494909</v>
      </c>
      <c r="J281" s="30">
        <f t="shared" ref="J281:J298" si="8">IFERROR((I281/I$278),0)</f>
        <v>6.8378716216216204E-2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25371.879840637801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4.7296456058331798E-3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9.7577318493944326E-2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25371.879840637801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25371.879840637801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38057.8197609567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25371.879840637801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9.4592912116663597E-3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25371.879840637801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202975.03872510241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901069.55436065234</v>
      </c>
      <c r="J292" s="30">
        <f t="shared" si="8"/>
        <v>0.35514497152766006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1636118.4297031276</v>
      </c>
      <c r="J293" s="30">
        <f t="shared" si="8"/>
        <v>0.64485502847234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1636118.4297031276</v>
      </c>
      <c r="J298" s="30">
        <f t="shared" si="8"/>
        <v>0.64485502847234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Brad O'Neil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Peaks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801 Wadsworth Blvd.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Lakewood, CO 80214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180960.80356554876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8</v>
      </c>
      <c r="G322" s="139">
        <f>'Input Form'!$D$19</f>
        <v>0.35</v>
      </c>
      <c r="H322" s="140"/>
      <c r="I322" s="20">
        <f>I$319*F322*G322</f>
        <v>506690.24998353649</v>
      </c>
      <c r="J322" s="30">
        <f>IFERROR((I322/I$327),0)</f>
        <v>0.1891891891891892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12</v>
      </c>
      <c r="G323" s="139">
        <f>'Input Form'!$D$20</f>
        <v>0.15</v>
      </c>
      <c r="H323" s="140"/>
      <c r="I323" s="20">
        <f>I$319*F323*G323</f>
        <v>325729.44641798775</v>
      </c>
      <c r="J323" s="30">
        <f t="shared" ref="J323:J329" si="9">IFERROR((I323/I$327),0)</f>
        <v>0.12162162162162163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16</v>
      </c>
      <c r="G324" s="139">
        <f>'Input Form'!$D$21</f>
        <v>0.15</v>
      </c>
      <c r="H324" s="140"/>
      <c r="I324" s="20">
        <f>I$319*F324*G324</f>
        <v>434305.92855731701</v>
      </c>
      <c r="J324" s="30">
        <f t="shared" si="9"/>
        <v>0.16216216216216217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0.15</v>
      </c>
      <c r="H325" s="140"/>
      <c r="I325" s="20">
        <f>I$319*F325*G325</f>
        <v>542882.4106966462</v>
      </c>
      <c r="J325" s="30">
        <f t="shared" si="9"/>
        <v>0.20270270270270269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24</v>
      </c>
      <c r="G326" s="139">
        <f>'Input Form'!$D$23</f>
        <v>0.2</v>
      </c>
      <c r="H326" s="140"/>
      <c r="I326" s="20">
        <f>I$319*F326*G326</f>
        <v>868611.85711463413</v>
      </c>
      <c r="J326" s="30">
        <f t="shared" si="9"/>
        <v>0.3243243243243244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2678219.8927701213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0.6</v>
      </c>
      <c r="H328" s="179"/>
      <c r="I328" s="20">
        <f>-(I327*F328*G328)</f>
        <v>-48207.958069862179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2630011.934700259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78900.35804100777</v>
      </c>
      <c r="J331" s="30">
        <f>IFERROR((I331/I$329),0)</f>
        <v>0.03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179836.83972813076</v>
      </c>
      <c r="J332" s="30">
        <f t="shared" ref="J332:J344" si="10">IFERROR((I332/I$329),0)</f>
        <v>6.8378716216216204E-2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26300.11934700259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4.56271693739201E-3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9.4133413135334548E-2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26300.11934700259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26300.11934700259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39450.179020503885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26300.11934700259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9.12543387478402E-3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26300.11934700259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210400.95477602072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923660.92830067605</v>
      </c>
      <c r="J343" s="30">
        <f t="shared" si="10"/>
        <v>0.35120028016372679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1706351.0063995831</v>
      </c>
      <c r="J344" s="30">
        <f t="shared" si="10"/>
        <v>0.64879971983627327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1706351.0063995831</v>
      </c>
      <c r="J349" s="30">
        <f t="shared" si="11"/>
        <v>0.64879971983627327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Brad O'Neil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Peaks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801 Wadsworth Blvd.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Lakewood, CO 80214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195247.18279440791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8</v>
      </c>
      <c r="G373" s="139">
        <f>'Input Form'!$D$19</f>
        <v>0.35</v>
      </c>
      <c r="H373" s="140"/>
      <c r="I373" s="20">
        <f>I$370*F373*G373</f>
        <v>546692.11182434217</v>
      </c>
      <c r="J373" s="30">
        <f>IFERROR((I373/I$378),0)</f>
        <v>0.1891891891891892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12</v>
      </c>
      <c r="G374" s="139">
        <f>'Input Form'!$D$20</f>
        <v>0.15</v>
      </c>
      <c r="H374" s="140"/>
      <c r="I374" s="20">
        <f t="shared" ref="I374:I377" si="12">I$370*F374*G374</f>
        <v>351444.92902993422</v>
      </c>
      <c r="J374" s="30">
        <f t="shared" ref="J374:J380" si="13">IFERROR((I374/I$378),0)</f>
        <v>0.12162162162162163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16</v>
      </c>
      <c r="G375" s="139">
        <f>'Input Form'!$D$21</f>
        <v>0.15</v>
      </c>
      <c r="H375" s="140"/>
      <c r="I375" s="20">
        <f t="shared" si="12"/>
        <v>468593.23870657897</v>
      </c>
      <c r="J375" s="30">
        <f t="shared" si="13"/>
        <v>0.16216216216216217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0.15</v>
      </c>
      <c r="H376" s="140"/>
      <c r="I376" s="20">
        <f t="shared" si="12"/>
        <v>585741.54838322371</v>
      </c>
      <c r="J376" s="30">
        <f t="shared" si="13"/>
        <v>0.20270270270270271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24</v>
      </c>
      <c r="G377" s="139">
        <f>'Input Form'!$D$23</f>
        <v>0.2</v>
      </c>
      <c r="H377" s="140"/>
      <c r="I377" s="20">
        <f t="shared" si="12"/>
        <v>937186.47741315793</v>
      </c>
      <c r="J377" s="30">
        <f t="shared" si="13"/>
        <v>0.32432432432432434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2889658.3053572369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0.6</v>
      </c>
      <c r="H379" s="179"/>
      <c r="I379" s="20">
        <f>-(I378*F379*G379)</f>
        <v>-52013.849496430259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2837644.4558608066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85129.333675824193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194034.48496982534</v>
      </c>
      <c r="J383" s="30">
        <f t="shared" ref="J383:J395" si="14">IFERROR((I383/I$380),0)</f>
        <v>6.8378716216216204E-2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28376.444558608066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4.228859600509666E-3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8.7245602418114923E-2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28376.444558608066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28376.444558608066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42564.666837912097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28376.444558608066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8.4577192010193321E-3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28376.444558608066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227011.55646886452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974194.26474546664</v>
      </c>
      <c r="J394" s="30">
        <f t="shared" si="14"/>
        <v>0.34331089743586019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1863450.19111534</v>
      </c>
      <c r="J395" s="30">
        <f t="shared" si="14"/>
        <v>0.65668910256413981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1863450.19111534</v>
      </c>
      <c r="J400" s="30">
        <f t="shared" si="15"/>
        <v>0.65668910256413981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Brad O'Neil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Peaks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801 Wadsworth Blvd.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Lakewood, CO 80214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8WbefTCI74xTcfSytL2wH5/jTFa5M+1H/ZL5WPB1iZvxP//DRD/nVK77hGK0yX5lkalUGTO+AvsiCsvleOzlrA==" saltValue="vCXoh/SXDJwIx88rdC7mn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2021-12-21T21:58:10Z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