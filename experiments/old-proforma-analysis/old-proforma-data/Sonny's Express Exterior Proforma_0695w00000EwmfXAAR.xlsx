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Oklahoma\Willy Short\1699 Stick Ross Mountain Rd., Tahlequah\"/>
    </mc:Choice>
  </mc:AlternateContent>
  <xr:revisionPtr revIDLastSave="0" documentId="8_{B116AAD4-82F7-4431-8832-3DFFB417E065}" xr6:coauthVersionLast="46" xr6:coauthVersionMax="46" xr10:uidLastSave="{00000000-0000-0000-0000-000000000000}"/>
  <workbookProtection workbookPassword="FB8D" lockStructure="1"/>
  <bookViews>
    <workbookView xWindow="59550" yWindow="339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<sst xmlns="http://schemas.openxmlformats.org/spreadsheetml/2006/main" count="435" uniqueCount="203">
  <si>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</si>
  <si>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</si>
  <si>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</si>
  <si>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</si>
  <si>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</si>
  <si>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</si>
  <si>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</si>
  <si>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</si>
  <si>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</si>
  <si>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</si>
  <si>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</si>
  <si>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</si>
  <si>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</si>
  <si>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</si>
  <si>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</si>
  <si>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</si>
  <si>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</si>
  <si>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</si>
  <si>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</si>
  <si>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</si>
  <si>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</si>
  <si>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</si>
  <si>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</si>
  <si>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</si>
  <si>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</si>
  <si>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</si>
  <si>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</si>
  <si>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</si>
  <si>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</si>
  <si>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</si>
  <si>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</si>
  <si>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</si>
  <si>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</si>
  <si>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</si>
  <si>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</si>
  <si>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</si>
  <si>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</si>
  <si>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</si>
  <si>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</si>
  <si>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</si>
  <si>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</si>
  <si>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</si>
  <si>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</si>
  <si>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</si>
  <si>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</si>
  <si>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</si>
  <si>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</si>
  <si>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</si>
  <si>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</si>
  <si>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</si>
  <si>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</si>
  <si>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</si>
  <si>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</si>
  <si>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</si>
  <si>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</si>
  <si>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</si>
  <si>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</si>
  <si>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</si>
  <si>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</si>
  <si>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</si>
  <si>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</si>
  <si>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</si>
  <si>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</si>
  <si>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</si>
  <si>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</si>
  <si>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</si>
  <si>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</si>
  <si>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</si>
  <si>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</si>
  <si>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</si>
  <si>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</si>
  <si>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</si>
  <si>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</si>
  <si>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</si>
  <si>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</si>
  <si>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</si>
  <si>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</si>
  <si>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</si>
  <si>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</si>
  <si>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</si>
  <si>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</si>
  <si>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</si>
  <si>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</si>
  <si>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</si>
  <si>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</si>
  <si>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</si>
  <si>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</si>
  <si>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</si>
  <si>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</si>
  <si>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</si>
  <si>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</si>
  <si>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</si>
  <si>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</si>
  <si>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</si>
  <si>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</si>
  <si>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</si>
  <si>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</si>
  <si>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</si>
  <si>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</si>
  <si>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</si>
  <si>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</si>
  <si>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</si>
  <si>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</si>
  <si>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</si>
  <si>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</si>
  <si>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</si>
  <si>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</si>
  <si>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</si>
  <si>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</si>
  <si>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</si>
  <si>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</si>
  <si>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</si>
  <si>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</si>
  <si>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</si>
  <si>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</si>
  <si>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</si>
  <si>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</si>
  <si>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</si>
  <si>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</si>
  <si>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</si>
  <si>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</si>
  <si>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</si>
  <si>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</si>
  <si>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</si>
  <si>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</si>
  <si>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</si>
  <si>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</si>
  <si>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</si>
  <si>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</si>
  <si>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</si>
  <si>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</si>
  <si>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</si>
  <si>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</si>
  <si>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</si>
  <si>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</si>
  <si>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</si>
  <si>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</si>
  <si>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</si>
  <si>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</si>
  <si>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</si>
  <si>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</si>
  <si>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</si>
  <si>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</si>
  <si>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</si>
  <si>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</si>
  <si>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</si>
  <si>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</si>
  <si>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</si>
  <si>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</si>
  <si>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</si>
  <si>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</si>
  <si>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</si>
  <si>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</si>
  <si>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</si>
  <si>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</si>
  <si>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</si>
  <si>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</si>
  <si>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</si>
  <si>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</si>
  <si>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</si>
  <si>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</si>
  <si>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</si>
  <si>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</si>
  <si>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</si>
  <si>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</si>
  <si>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</si>
  <si>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</si>
  <si>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</si>
  <si>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</si>
  <si>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</si>
  <si>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</si>
  <si>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</si>
  <si>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</si>
  <si>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</si>
  <si>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</si>
  <si>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</si>
  <si>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</si>
  <si>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</si>
  <si>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</si>
  <si>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</si>
  <si>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</si>
  <si>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</si>
  <si>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</si>
  <si>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</si>
  <si>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</si>
  <si>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</si>
  <si>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</si>
  <si>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</si>
  <si>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</si>
  <si>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</si>
  <si>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</si>
  <si>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</si>
  <si>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</si>
  <si>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</si>
  <si>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</si>
  <si>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</si>
  <si>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</si>
  <si>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</si>
  <si>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Willy Short</t>
  </si>
  <si>
    <t>Mr. Klean Express</t>
  </si>
  <si>
    <t>1699 Stick Ross Mountain Rd.</t>
  </si>
  <si>
    <t>The Short Co.</t>
  </si>
  <si>
    <t>Tahlequah, OK 74464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</si>
</sst>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533401</xdr:colOff>
      <xdr:row>33</xdr:row>
      <xdr:rowOff>47624</xdr:rowOff>
    </xdr:from>
    <xdr:to>
      <xdr:col>5</xdr:col>
      <xdr:colOff>653601</xdr:colOff>
      <xdr:row>38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A160A9-69AE-4B14-B398-647800CD5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6" y="5953124"/>
          <a:ext cx="920300" cy="914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9" zoomScaleNormal="100" workbookViewId="0">
      <selection activeCell="D90" sqref="D9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201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202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1.2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2.7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0.49099999999999999</v>
      </c>
      <c r="F58" s="61">
        <f>-0.3*(0.55-E58)</f>
        <v>-1.7700000000000014E-2</v>
      </c>
    </row>
    <row r="59" spans="1:8" ht="15.75" x14ac:dyDescent="0.25">
      <c r="A59" s="83" t="s">
        <v>3</v>
      </c>
      <c r="B59" s="84"/>
      <c r="C59" s="84"/>
      <c r="D59" s="85"/>
      <c r="E59" s="45">
        <v>0.435</v>
      </c>
      <c r="F59" s="61">
        <f>-0.75*(0.5-E59)</f>
        <v>-4.8750000000000002E-2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-1.6612500000000002E-2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9.7181823529411768E-3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1.2826793478260868E-2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1.5527171052631577E-2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10789</v>
      </c>
      <c r="B70" s="66">
        <v>0.05</v>
      </c>
      <c r="C70" s="66">
        <v>0.04</v>
      </c>
      <c r="D70" s="66">
        <v>0.04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31454.840821764708</v>
      </c>
      <c r="C74" s="68">
        <f>F65*A70*300</f>
        <v>41516.482451086951</v>
      </c>
      <c r="D74" s="68">
        <f>($F$54*(1+$F$61))/85*($A$70*(1+B$70))*300</f>
        <v>47182.261232647055</v>
      </c>
      <c r="E74" s="68">
        <f>($F$54*(1+$F$61))/82*($A$70*(1+C$70))*300</f>
        <v>48442.646840487796</v>
      </c>
      <c r="F74" s="68">
        <f>F66*(A70*(1+D70)*300)</f>
        <v>52267.066327894732</v>
      </c>
    </row>
    <row r="75" spans="1:6" ht="15.75" x14ac:dyDescent="0.25">
      <c r="A75" s="35" t="s">
        <v>106</v>
      </c>
      <c r="B75" s="68">
        <f>B74/12</f>
        <v>2621.2367351470589</v>
      </c>
      <c r="C75" s="68">
        <f>C74/12</f>
        <v>3459.7068709239124</v>
      </c>
      <c r="D75" s="68">
        <f t="shared" ref="D75:F75" si="0">D74/12</f>
        <v>3931.8551027205881</v>
      </c>
      <c r="E75" s="68">
        <f t="shared" si="0"/>
        <v>4036.8872367073163</v>
      </c>
      <c r="F75" s="68">
        <f t="shared" si="0"/>
        <v>4355.5888606578947</v>
      </c>
    </row>
    <row r="76" spans="1:6" ht="15.75" x14ac:dyDescent="0.25">
      <c r="A76" s="35" t="s">
        <v>107</v>
      </c>
      <c r="B76" s="68">
        <f>B75/4.5/7*3</f>
        <v>249.6415938235294</v>
      </c>
      <c r="C76" s="68">
        <f t="shared" ref="C76:F76" si="1">C75/4.5/7*3</f>
        <v>329.49589246894402</v>
      </c>
      <c r="D76" s="68">
        <f t="shared" si="1"/>
        <v>374.46239073529409</v>
      </c>
      <c r="E76" s="68">
        <f t="shared" si="1"/>
        <v>384.46545111498244</v>
      </c>
      <c r="F76" s="68">
        <f t="shared" si="1"/>
        <v>414.81798672932325</v>
      </c>
    </row>
    <row r="77" spans="1:6" ht="15.75" x14ac:dyDescent="0.25">
      <c r="A77" s="35" t="s">
        <v>108</v>
      </c>
      <c r="B77" s="68">
        <f>IFERROR((B76/$B9*1.3),0)</f>
        <v>27.04450599754902</v>
      </c>
      <c r="C77" s="68">
        <f t="shared" ref="C77:F77" si="2">IFERROR((C76/$B9*1.3),0)</f>
        <v>35.695388350802268</v>
      </c>
      <c r="D77" s="68">
        <f t="shared" si="2"/>
        <v>40.566758996323529</v>
      </c>
      <c r="E77" s="68">
        <f t="shared" si="2"/>
        <v>41.650423870789766</v>
      </c>
      <c r="F77" s="68">
        <f t="shared" si="2"/>
        <v>44.938615229010026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zqyBSiDTWkkbVZmS6G1DzAfAFq8jbDynYNZ1ojiqPmu03TRtXkhfe7UMs6in3GmGdIui2LdC7Qy1ufpuk4Jyg==" saltValue="PY/zD5c2dbNtvQQzytENxQ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31" zoomScaleNormal="100" workbookViewId="0">
      <selection activeCell="N38" sqref="N3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Willy Short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Mr. Klean Express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The Short Co.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1699 Stick Ross Mountain Rd.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Tahlequah, OK 74464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Willy Short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Mr. Klean Express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The Short Co.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1699 Stick Ross Mountain Rd.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Tahlequah, OK 74464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2004.4810861708704</v>
      </c>
      <c r="J65" s="18">
        <f>'Input Form'!B75</f>
        <v>2621.2367351470589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4510.0824438844584</v>
      </c>
      <c r="J69" s="20">
        <f>J$65*F69*G69</f>
        <v>5897.7826540808828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3006.7216292563057</v>
      </c>
      <c r="J70" s="20">
        <f t="shared" ref="J70:J73" si="0">J$65*F70*G70</f>
        <v>3931.8551027205881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4510.0824438844584</v>
      </c>
      <c r="J71" s="20">
        <f t="shared" si="0"/>
        <v>5897.7826540808819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8017.9243446834826</v>
      </c>
      <c r="J72" s="20">
        <f t="shared" si="0"/>
        <v>10484.946940588236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2505.6013577135882</v>
      </c>
      <c r="J73" s="20">
        <f t="shared" si="0"/>
        <v>3276.5459189338235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22550.412219422295</v>
      </c>
      <c r="J74" s="20">
        <f>SUM(J69:J73)</f>
        <v>29488.91327040441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-405.90741994960132</v>
      </c>
      <c r="J75" s="20">
        <f>-(J74*$F75*$G75)</f>
        <v>-530.80043886727935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22144.504799472692</v>
      </c>
      <c r="J76" s="20">
        <f>SUM(J74:J75)</f>
        <v>28958.112831537132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11.047500000000001</v>
      </c>
      <c r="J77" s="22">
        <f>J76/(J65+0.000000001)</f>
        <v>11.047499999995784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664.33514398418072</v>
      </c>
      <c r="J80" s="20">
        <f>$G80*J76</f>
        <v>868.74338494611391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6.2416000000000006E-2</v>
      </c>
      <c r="H81" s="131"/>
      <c r="I81" s="20">
        <f>G81*I76</f>
        <v>1382.1714115638877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1840.5800106855618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221.44504799472693</v>
      </c>
      <c r="J82" s="20">
        <f>$G82*J76</f>
        <v>289.5811283153713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4.4345087365574479E-2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0.60600222590299468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221.44504799472693</v>
      </c>
      <c r="J85" s="20">
        <f>$G85*J76</f>
        <v>289.5811283153713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221.44504799472693</v>
      </c>
      <c r="J86" s="20">
        <f>$G86*J76</f>
        <v>289.5811283153713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332.16757199209036</v>
      </c>
      <c r="J87" s="20">
        <f>$G87*J76</f>
        <v>434.37169247305695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221.44504799472693</v>
      </c>
      <c r="J88" s="20">
        <f>$G88*J76</f>
        <v>289.5811283153713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8.8690174731148957E-2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221.44504799472693</v>
      </c>
      <c r="J90" s="20">
        <f>$G90*J76</f>
        <v>289.5811283153713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1993.0054319525423</v>
      </c>
      <c r="J91" s="20">
        <f>$G91*J76</f>
        <v>2606.2301548383416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22144.504799466329</v>
      </c>
      <c r="J92" s="20">
        <f>SUM(J80:J91)</f>
        <v>23863.43088451993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6.362824933603406E-9</v>
      </c>
      <c r="J93" s="24">
        <f>J76-J92</f>
        <v>5094.6819470172013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Willy Short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Mr. Klean Express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The Short Co.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1699 Stick Ross Mountain Rd.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Tahlequah, OK 74464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240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240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240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240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240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22144.504799472692</v>
      </c>
      <c r="H138" s="169"/>
      <c r="I138" s="169">
        <f>J76</f>
        <v>28958.112831537132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22144.504799466329</v>
      </c>
      <c r="H139" s="169"/>
      <c r="I139" s="169">
        <f>J92</f>
        <v>23863.43088451993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6.362824933603406E-9</v>
      </c>
      <c r="H140" s="169"/>
      <c r="I140" s="169">
        <f>J93</f>
        <v>5094.6819470172013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6.362824933603406E-9</v>
      </c>
      <c r="H143" s="169"/>
      <c r="I143" s="169">
        <f>I140-I141-I142</f>
        <v>5094.6819470172013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Willy Short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Mr. Klean Express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The Short Co.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1699 Stick Ross Mountain Rd.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Tahlequah, OK 74464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31454.840821764708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70773.391848970597</v>
      </c>
      <c r="J169" s="30">
        <f>IFERROR((I169/I$174),0)</f>
        <v>0.19999999999999998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47182.261232647063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70773.391848970583</v>
      </c>
      <c r="J171" s="30">
        <f t="shared" si="2"/>
        <v>0.19999999999999996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125819.36328705885</v>
      </c>
      <c r="J172" s="30">
        <f t="shared" si="2"/>
        <v>0.35555555555555557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39318.551027205889</v>
      </c>
      <c r="J173" s="30">
        <f t="shared" si="2"/>
        <v>0.1111111111111111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353866.959244853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-6369.6052664073532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347497.35397844564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10424.920619353368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21689.394845918665</v>
      </c>
      <c r="J179" s="30">
        <f t="shared" ref="J179:J196" si="3">IFERROR((I179/I$176),0)</f>
        <v>6.2416000000000006E-2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3474.9735397844565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3.4532637047775414E-2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0.47190920484007975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3474.9735397844565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3474.9735397844565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5212.4603096766841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3474.9735397844565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6.9065274095550827E-2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3474.9735397844565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31274.761858060105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285963.60533193115</v>
      </c>
      <c r="J190" s="30">
        <f t="shared" si="3"/>
        <v>0.82292311598340606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61533.74864651449</v>
      </c>
      <c r="J191" s="30">
        <f t="shared" si="3"/>
        <v>0.17707688401659388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61533.74864651449</v>
      </c>
      <c r="J196" s="30">
        <f t="shared" si="3"/>
        <v>0.17707688401659388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Willy Short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Mr. Klean Express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The Short Co.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1699 Stick Ross Mountain Rd.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Tahlequah, OK 74464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41516.482451086951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93412.085514945647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62274.723676630427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93412.085514945633</v>
      </c>
      <c r="J222" s="30">
        <f t="shared" si="4"/>
        <v>0.19999999999999998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166065.9298043478</v>
      </c>
      <c r="J223" s="30">
        <f t="shared" si="4"/>
        <v>0.35555555555555557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51895.603063858696</v>
      </c>
      <c r="J224" s="30">
        <f t="shared" si="4"/>
        <v>0.11111111111111112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467060.42757472821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-8407.0876963451065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458653.33987838309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13759.600196351492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28627.306861849163</v>
      </c>
      <c r="J230" s="30">
        <f t="shared" ref="J230:J247" si="5">IFERROR((I230/I$227),0)</f>
        <v>6.2416000000000006E-2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4586.5333987838312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2.61635508926675E-2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0.357540621078837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4586.5333987838312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4586.5333987838312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6879.8000981757459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4586.5333987838312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5.2327101785334999E-2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4586.5333987838312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41278.800589054474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313465.37473934999</v>
      </c>
      <c r="J241" s="30">
        <f t="shared" si="5"/>
        <v>0.68344727375683945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145187.9651390331</v>
      </c>
      <c r="J242" s="30">
        <f t="shared" si="5"/>
        <v>0.31655272624316061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145187.9651390331</v>
      </c>
      <c r="J247" s="30">
        <f t="shared" si="5"/>
        <v>0.31655272624316061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Willy Short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Mr. Klean Express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The Short Co.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1699 Stick Ross Mountain Rd.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Tahlequah, OK 74464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47182.261232647055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106160.08777345587</v>
      </c>
      <c r="J271" s="30">
        <f>IFERROR((I271/I$276),0)</f>
        <v>0.2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70773.391848970583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106160.08777345586</v>
      </c>
      <c r="J273" s="30">
        <f t="shared" si="7"/>
        <v>0.19999999999999998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188729.04493058822</v>
      </c>
      <c r="J274" s="30">
        <f t="shared" si="7"/>
        <v>0.35555555555555557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58977.826540808826</v>
      </c>
      <c r="J275" s="30">
        <f t="shared" si="7"/>
        <v>0.11111111111111113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530800.43886727933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-9554.4078996110275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521246.03096766828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15637.380929030049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32534.092268877986</v>
      </c>
      <c r="J281" s="30">
        <f t="shared" ref="J281:J298" si="8">IFERROR((I281/I$278),0)</f>
        <v>6.2416000000000006E-2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5212.4603096766832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2.3021758031850286E-2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0.31460613656005326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5212.4603096766832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5212.4603096766832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7818.6904645150244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5212.4603096766832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4.6043516063700572E-2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5212.4603096766832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46912.142787090146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328951.80799789669</v>
      </c>
      <c r="J292" s="30">
        <f t="shared" si="8"/>
        <v>0.63108741065560425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192294.2229697716</v>
      </c>
      <c r="J293" s="30">
        <f t="shared" si="8"/>
        <v>0.36891258934439575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192294.2229697716</v>
      </c>
      <c r="J298" s="30">
        <f t="shared" si="8"/>
        <v>0.36891258934439575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Willy Short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Mr. Klean Express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The Short Co.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1699 Stick Ross Mountain Rd.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Tahlequah, OK 74464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48442.646840487796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108995.95539109754</v>
      </c>
      <c r="J322" s="30">
        <f>IFERROR((I322/I$327),0)</f>
        <v>0.2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72663.970260731687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108995.95539109754</v>
      </c>
      <c r="J324" s="30">
        <f t="shared" si="9"/>
        <v>0.2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193770.58736195118</v>
      </c>
      <c r="J325" s="30">
        <f t="shared" si="9"/>
        <v>0.35555555555555557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60553.308550609741</v>
      </c>
      <c r="J326" s="30">
        <f t="shared" si="9"/>
        <v>0.1111111111111111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544979.77695548767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-9809.6359851987781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535170.14097028889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16055.104229108667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33403.179518801553</v>
      </c>
      <c r="J332" s="30">
        <f t="shared" ref="J332:J344" si="10">IFERROR((I332/I$329),0)</f>
        <v>6.2416000000000006E-2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5351.7014097028887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2.2422775639618888E-2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0.30642068278077589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5351.7014097028887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5351.7014097028887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8027.5521145543335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5351.7014097028887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4.4845551279237776E-2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5351.7014097028887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48165.312687325997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332396.855598305</v>
      </c>
      <c r="J343" s="30">
        <f t="shared" si="10"/>
        <v>0.62110500969963256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202773.28537198389</v>
      </c>
      <c r="J344" s="30">
        <f t="shared" si="10"/>
        <v>0.37889499030036744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202773.28537198389</v>
      </c>
      <c r="J349" s="30">
        <f t="shared" si="11"/>
        <v>0.37889499030036744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Willy Short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Mr. Klean Express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The Short Co.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1699 Stick Ross Mountain Rd.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Tahlequah, OK 74464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52267.066327894732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117600.89923776315</v>
      </c>
      <c r="J373" s="30">
        <f>IFERROR((I373/I$378),0)</f>
        <v>0.19999999999999998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78400.599491842106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117600.89923776315</v>
      </c>
      <c r="J375" s="30">
        <f t="shared" si="13"/>
        <v>0.19999999999999998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209068.26531157896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65333.832909868419</v>
      </c>
      <c r="J377" s="30">
        <f t="shared" si="13"/>
        <v>0.1111111111111111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588004.4961888158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-10584.080931398683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577420.41525741713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17322.612457722513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36040.272638706949</v>
      </c>
      <c r="J383" s="30">
        <f t="shared" ref="J383:J395" si="14">IFERROR((I383/I$380),0)</f>
        <v>6.2415999999999999E-2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5774.2041525741715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2.0782084739158962E-2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0.28399965721145076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5774.2041525741715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5774.2041525741715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8661.3062288612564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5774.2041525741715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4.1564169478317925E-2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5774.2041525741715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51967.837373167538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342850.24946132919</v>
      </c>
      <c r="J394" s="30">
        <f t="shared" si="14"/>
        <v>0.59376191142892776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234570.16579608794</v>
      </c>
      <c r="J395" s="30">
        <f t="shared" si="14"/>
        <v>0.40623808857107224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234570.16579608794</v>
      </c>
      <c r="J400" s="30">
        <f t="shared" si="15"/>
        <v>0.40623808857107224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Willy Short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Mr. Klean Express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The Short Co.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1699 Stick Ross Mountain Rd.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Tahlequah, OK 74464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OffEwrN7IA2zqzUYZXiCqKkL9LRyQU+Ng5AXJrm+Fbt7P6sprN2wyC+yfIvaygtTjezrrxNAHMMKa5dOn+M03w==" saltValue="tMXQnhfEWp/g105c8IA5K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2021-01-06T11:54:02Z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