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AMFS0220\Public\Sales\Business Development\Demos\Florida\Dave Kingsley\6751 W Indiantown Rd, Jupiter\"/>
    </mc:Choice>
  </mc:AlternateContent>
  <xr:revisionPtr revIDLastSave="0" documentId="8_{1797E8EA-983A-45E3-A2BA-D31492C0A98C}" xr6:coauthVersionLast="47" xr6:coauthVersionMax="47" xr10:uidLastSave="{00000000-0000-0000-0000-000000000000}"/>
  <workbookProtection workbookPassword="FB8D" lockStructure="1"/>
  <bookViews>
    <workbookView xWindow="-108" yWindow="-108" windowWidth="23256" windowHeight="12576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<sst xmlns="http://schemas.openxmlformats.org/spreadsheetml/2006/main" count="431" uniqueCount="198">
  <si>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</si>
  <si>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</si>
  <si>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</si>
  <si>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</si>
  <si>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</si>
  <si>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</si>
  <si>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</si>
  <si>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</si>
  <si>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</si>
  <si>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</si>
  <si>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</si>
  <si>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</si>
  <si>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</si>
  <si>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</si>
  <si>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</si>
  <si>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</si>
  <si>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</si>
  <si>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</si>
  <si>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</si>
  <si>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</si>
  <si>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</si>
  <si>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</si>
  <si>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</si>
  <si>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</si>
  <si>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</si>
  <si>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</si>
  <si>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</si>
  <si>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</si>
  <si>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</si>
  <si>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</si>
  <si>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</si>
  <si>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</si>
  <si>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</si>
  <si>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</si>
  <si>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</si>
  <si>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</si>
  <si>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</si>
  <si>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</si>
  <si>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</si>
  <si>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</si>
  <si>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</si>
  <si>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</si>
  <si>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</si>
  <si>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</si>
  <si>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</si>
  <si>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</si>
  <si>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</si>
  <si>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</si>
  <si>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</si>
  <si>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</si>
  <si>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</si>
  <si>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</si>
  <si>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</si>
  <si>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</si>
  <si>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</si>
  <si>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</si>
  <si>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</si>
  <si>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</si>
  <si>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</si>
  <si>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</si>
  <si>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</si>
  <si>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</si>
  <si>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</si>
  <si>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</si>
  <si>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</si>
  <si>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</si>
  <si>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</si>
  <si>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</si>
  <si>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</si>
  <si>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</si>
  <si>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</si>
  <si>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</si>
  <si>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</si>
  <si>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</si>
  <si>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</si>
  <si>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</si>
  <si>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</si>
  <si>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</si>
  <si>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</si>
  <si>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</si>
  <si>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</si>
  <si>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</si>
  <si>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</si>
  <si>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</si>
  <si>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</si>
  <si>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</si>
  <si>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</si>
  <si>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</si>
  <si>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</si>
  <si>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</si>
  <si>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</si>
  <si>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</si>
  <si>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</si>
  <si>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</si>
  <si>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</si>
  <si>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</si>
  <si>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</si>
  <si>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</si>
  <si>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</si>
  <si>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</si>
  <si>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</si>
  <si>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</si>
  <si>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</si>
  <si>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</si>
  <si>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</si>
  <si>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</si>
  <si>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</si>
  <si>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</si>
  <si>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</si>
  <si>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</si>
  <si>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</si>
  <si>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</si>
  <si>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</si>
  <si>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</si>
  <si>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</si>
  <si>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</si>
  <si>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</si>
  <si>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</si>
  <si>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</si>
  <si>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</si>
  <si>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</si>
  <si>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</si>
  <si>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</si>
  <si>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</si>
  <si>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</si>
  <si>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</si>
  <si>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</si>
  <si>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</si>
  <si>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</si>
  <si>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</si>
  <si>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</si>
  <si>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</si>
  <si>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</si>
  <si>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</si>
  <si>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</si>
  <si>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</si>
  <si>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</si>
  <si>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</si>
  <si>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</si>
  <si>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</si>
  <si>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</si>
  <si>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</si>
  <si>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</si>
  <si>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</si>
  <si>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</si>
  <si>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</si>
  <si>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</si>
  <si>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</si>
  <si>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</si>
  <si>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</si>
  <si>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</si>
  <si>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</si>
  <si>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</si>
  <si>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</si>
  <si>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</si>
  <si>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</si>
  <si>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</si>
  <si>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</si>
  <si>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</si>
  <si>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</si>
  <si>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</si>
  <si>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</si>
  <si>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</si>
  <si>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</si>
  <si>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</si>
  <si>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</si>
  <si>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</si>
  <si>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</si>
  <si>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</si>
  <si>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</si>
  <si>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</si>
  <si>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</si>
  <si>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</si>
  <si>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</si>
  <si>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</si>
  <si>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</si>
  <si>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</si>
  <si>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</si>
  <si>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</si>
  <si>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</si>
  <si>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</si>
  <si>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</si>
  <si>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</si>
  <si>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</si>
  <si>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</si>
  <si>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</si>
  <si>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</si>
  <si>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</si>
  <si>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</si>
  <si>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</si>
  <si>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</si>
  <si>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</si>
  <si>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Dave Kingsley</t>
  </si>
  <si>
    <t>Express Car Wash</t>
  </si>
  <si>
    <t>6751 W Indiantown Rd.</t>
  </si>
  <si>
    <t>Jupiter, FL 33458</t>
  </si>
  <si>
    <t>MacMillan Oil Company, LLC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</si>
  <si>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I used the vehicle market instead of the traffic count to account for the commuter/leisure make-up of this traffic pattern.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</si>
</sst>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228600</xdr:colOff>
      <xdr:row>33</xdr:row>
      <xdr:rowOff>0</xdr:rowOff>
    </xdr:from>
    <xdr:to>
      <xdr:col>6</xdr:col>
      <xdr:colOff>335280</xdr:colOff>
      <xdr:row>38</xdr:row>
      <xdr:rowOff>129763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C91B53-4238-4A8C-ABC9-50689830D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0340" y="6240780"/>
          <a:ext cx="1630680" cy="1006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28" zoomScaleNormal="100" workbookViewId="0">
      <selection activeCell="H47" sqref="H47"/>
    </sheetView>
  </sheetViews>
  <sheetFormatPr defaultRowHeight="13.2" x14ac:dyDescent="0.25"/>
  <cols>
    <col min="1" max="1" width="24" customWidth="1"/>
    <col min="2" max="2" width="18.33203125" bestFit="1" customWidth="1"/>
    <col min="3" max="3" width="20.5546875" bestFit="1" customWidth="1"/>
    <col min="4" max="4" width="17.6640625" customWidth="1"/>
    <col min="5" max="5" width="20.5546875" bestFit="1" customWidth="1"/>
    <col min="6" max="6" width="14" bestFit="1" customWidth="1"/>
    <col min="7" max="7" width="4.6640625" customWidth="1"/>
    <col min="8" max="8" width="31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90" t="s">
        <v>40</v>
      </c>
      <c r="B1" s="90"/>
      <c r="C1" s="90"/>
      <c r="D1" s="90"/>
      <c r="E1" s="34"/>
      <c r="F1" s="34"/>
    </row>
    <row r="2" spans="1:9" ht="15.6" x14ac:dyDescent="0.3">
      <c r="A2" s="35" t="s">
        <v>11</v>
      </c>
      <c r="B2" s="86" t="s">
        <v>192</v>
      </c>
      <c r="C2" s="87"/>
      <c r="D2" s="88"/>
      <c r="E2" s="34"/>
      <c r="F2" s="34"/>
    </row>
    <row r="3" spans="1:9" ht="15.6" x14ac:dyDescent="0.3">
      <c r="A3" s="35" t="s">
        <v>14</v>
      </c>
      <c r="B3" s="86" t="s">
        <v>193</v>
      </c>
      <c r="C3" s="87"/>
      <c r="D3" s="88"/>
      <c r="E3" s="34"/>
      <c r="F3" s="34"/>
    </row>
    <row r="4" spans="1:9" ht="15.6" x14ac:dyDescent="0.3">
      <c r="A4" s="35" t="s">
        <v>12</v>
      </c>
      <c r="B4" s="86" t="s">
        <v>196</v>
      </c>
      <c r="C4" s="87"/>
      <c r="D4" s="88"/>
      <c r="E4" s="34"/>
      <c r="F4" s="34"/>
    </row>
    <row r="5" spans="1:9" ht="15.6" x14ac:dyDescent="0.3">
      <c r="A5" s="35" t="s">
        <v>13</v>
      </c>
      <c r="B5" s="86" t="s">
        <v>194</v>
      </c>
      <c r="C5" s="87"/>
      <c r="D5" s="88"/>
      <c r="E5" s="34"/>
      <c r="F5" s="34"/>
    </row>
    <row r="6" spans="1:9" ht="15.6" x14ac:dyDescent="0.3">
      <c r="A6" s="35" t="s">
        <v>15</v>
      </c>
      <c r="B6" s="86" t="s">
        <v>195</v>
      </c>
      <c r="C6" s="87"/>
      <c r="D6" s="88"/>
      <c r="E6" s="34"/>
      <c r="F6" s="34"/>
    </row>
    <row r="7" spans="1:9" ht="15.6" x14ac:dyDescent="0.3">
      <c r="A7" s="36"/>
      <c r="B7" s="37"/>
      <c r="C7" s="37"/>
      <c r="D7" s="37"/>
      <c r="E7" s="34"/>
      <c r="F7" s="34"/>
    </row>
    <row r="8" spans="1:9" ht="31.2" x14ac:dyDescent="0.3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6" x14ac:dyDescent="0.3">
      <c r="A11" s="89" t="s">
        <v>39</v>
      </c>
      <c r="B11" s="89"/>
      <c r="C11" s="89"/>
      <c r="D11" s="89"/>
      <c r="E11" s="34"/>
      <c r="F11" s="34"/>
    </row>
    <row r="12" spans="1:9" ht="15.6" x14ac:dyDescent="0.3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6" x14ac:dyDescent="0.3">
      <c r="A13" s="43" t="s">
        <v>19</v>
      </c>
      <c r="B13" s="40">
        <v>45</v>
      </c>
      <c r="C13" s="44">
        <v>23</v>
      </c>
      <c r="D13" s="45">
        <v>0.2</v>
      </c>
      <c r="E13" s="34"/>
      <c r="F13" s="34"/>
      <c r="H13" s="9"/>
    </row>
    <row r="14" spans="1:9" ht="15.6" x14ac:dyDescent="0.3">
      <c r="A14" s="43" t="s">
        <v>20</v>
      </c>
      <c r="B14" s="40">
        <v>42</v>
      </c>
      <c r="C14" s="44">
        <v>18</v>
      </c>
      <c r="D14" s="45">
        <v>0.2</v>
      </c>
      <c r="E14" s="34"/>
      <c r="F14" s="34"/>
      <c r="H14" s="9"/>
    </row>
    <row r="15" spans="1:9" ht="15.6" x14ac:dyDescent="0.3">
      <c r="A15" s="43" t="s">
        <v>21</v>
      </c>
      <c r="B15" s="40">
        <v>160</v>
      </c>
      <c r="C15" s="44">
        <v>13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6" x14ac:dyDescent="0.3">
      <c r="A17" s="79" t="s">
        <v>38</v>
      </c>
      <c r="B17" s="80"/>
      <c r="C17" s="80"/>
      <c r="D17" s="81"/>
      <c r="E17" s="34"/>
      <c r="F17" s="34"/>
    </row>
    <row r="18" spans="1:8" ht="15.6" x14ac:dyDescent="0.3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6" x14ac:dyDescent="0.3">
      <c r="A19" s="43" t="s">
        <v>26</v>
      </c>
      <c r="B19" s="47">
        <v>10</v>
      </c>
      <c r="C19" s="48">
        <v>0.45</v>
      </c>
      <c r="D19" s="45">
        <v>0.35</v>
      </c>
      <c r="E19" s="34"/>
      <c r="F19" s="34"/>
    </row>
    <row r="20" spans="1:8" ht="15.6" x14ac:dyDescent="0.3">
      <c r="A20" s="43" t="s">
        <v>27</v>
      </c>
      <c r="B20" s="47">
        <v>0</v>
      </c>
      <c r="C20" s="48">
        <v>0.88600000000000001</v>
      </c>
      <c r="D20" s="45">
        <v>0</v>
      </c>
      <c r="E20" s="34"/>
      <c r="F20" s="34"/>
    </row>
    <row r="21" spans="1:8" ht="15.6" x14ac:dyDescent="0.3">
      <c r="A21" s="43" t="s">
        <v>28</v>
      </c>
      <c r="B21" s="47">
        <v>15</v>
      </c>
      <c r="C21" s="48">
        <v>1.054</v>
      </c>
      <c r="D21" s="45">
        <v>0.35</v>
      </c>
      <c r="E21" s="34"/>
      <c r="F21" s="34"/>
    </row>
    <row r="22" spans="1:8" ht="15.6" x14ac:dyDescent="0.3">
      <c r="A22" s="43" t="s">
        <v>29</v>
      </c>
      <c r="B22" s="47">
        <v>20</v>
      </c>
      <c r="C22" s="48">
        <v>1.873</v>
      </c>
      <c r="D22" s="45">
        <v>0.18</v>
      </c>
      <c r="E22" s="34"/>
      <c r="F22" s="34"/>
    </row>
    <row r="23" spans="1:8" ht="15.6" x14ac:dyDescent="0.3">
      <c r="A23" s="43" t="s">
        <v>30</v>
      </c>
      <c r="B23" s="47">
        <v>25</v>
      </c>
      <c r="C23" s="48">
        <v>2.121</v>
      </c>
      <c r="D23" s="45">
        <v>0.12</v>
      </c>
      <c r="E23" s="34"/>
      <c r="F23" s="34"/>
    </row>
    <row r="24" spans="1:8" ht="15.6" x14ac:dyDescent="0.3">
      <c r="A24" s="34"/>
      <c r="B24" s="34"/>
      <c r="C24" s="34"/>
      <c r="D24" s="34"/>
      <c r="E24" s="34"/>
      <c r="F24" s="34"/>
      <c r="H24" s="1"/>
    </row>
    <row r="25" spans="1:8" ht="15.6" x14ac:dyDescent="0.3">
      <c r="A25" s="79" t="s">
        <v>43</v>
      </c>
      <c r="B25" s="80"/>
      <c r="C25" s="80"/>
      <c r="D25" s="80"/>
      <c r="E25" s="81"/>
      <c r="F25" s="34"/>
    </row>
    <row r="26" spans="1:8" ht="15.6" x14ac:dyDescent="0.3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6" x14ac:dyDescent="0.3">
      <c r="A27" s="43" t="s">
        <v>26</v>
      </c>
      <c r="B27" s="47">
        <v>10</v>
      </c>
      <c r="C27" s="47">
        <v>10</v>
      </c>
      <c r="D27" s="47">
        <v>10</v>
      </c>
      <c r="E27" s="47">
        <v>10</v>
      </c>
      <c r="F27" s="34"/>
    </row>
    <row r="28" spans="1:8" ht="15.6" x14ac:dyDescent="0.3">
      <c r="A28" s="43" t="s">
        <v>27</v>
      </c>
      <c r="B28" s="47">
        <v>0</v>
      </c>
      <c r="C28" s="47">
        <v>0</v>
      </c>
      <c r="D28" s="47">
        <v>0</v>
      </c>
      <c r="E28" s="47">
        <v>0</v>
      </c>
      <c r="F28" s="34"/>
    </row>
    <row r="29" spans="1:8" ht="15.6" x14ac:dyDescent="0.3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6" x14ac:dyDescent="0.3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6" x14ac:dyDescent="0.3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6" x14ac:dyDescent="0.3">
      <c r="A33" s="79" t="s">
        <v>58</v>
      </c>
      <c r="B33" s="80"/>
      <c r="C33" s="80"/>
      <c r="D33" s="80"/>
      <c r="E33" s="80"/>
      <c r="F33" s="81"/>
    </row>
    <row r="34" spans="1:6" ht="15.6" x14ac:dyDescent="0.25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9.2" x14ac:dyDescent="0.45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6" x14ac:dyDescent="0.25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9.2" x14ac:dyDescent="0.45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27.6" x14ac:dyDescent="0.25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9.2" x14ac:dyDescent="0.45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2" x14ac:dyDescent="0.25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9.2" x14ac:dyDescent="0.45">
      <c r="A41" s="8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6.8" x14ac:dyDescent="0.25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9.2" x14ac:dyDescent="0.45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2" x14ac:dyDescent="0.25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9.2" x14ac:dyDescent="0.45">
      <c r="A45" s="8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2" x14ac:dyDescent="0.25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9.2" x14ac:dyDescent="0.45">
      <c r="A47" s="8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6" x14ac:dyDescent="0.25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9.2" x14ac:dyDescent="0.45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8" x14ac:dyDescent="0.25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9.2" x14ac:dyDescent="0.45">
      <c r="A51" s="82"/>
      <c r="B51" s="50"/>
      <c r="C51" s="50"/>
      <c r="D51" s="50"/>
      <c r="E51" s="50">
        <v>1</v>
      </c>
      <c r="F51" s="51">
        <f>IF(B51=1,0.15,IF(C51=1,0.1,IF(D51=1,0.05,IF(E51=1,0,0))))</f>
        <v>0</v>
      </c>
    </row>
    <row r="52" spans="1:8" ht="31.2" x14ac:dyDescent="0.25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9.2" x14ac:dyDescent="0.45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6" x14ac:dyDescent="0.3">
      <c r="A54" s="83" t="s">
        <v>0</v>
      </c>
      <c r="B54" s="84"/>
      <c r="C54" s="84"/>
      <c r="D54" s="84"/>
      <c r="E54" s="85"/>
      <c r="F54" s="56">
        <f>F35+F37+F39+F41+F43+F45+F47+F49+F51+F53</f>
        <v>0.85000000000000009</v>
      </c>
    </row>
    <row r="55" spans="1:8" ht="15.6" x14ac:dyDescent="0.3">
      <c r="A55" s="57"/>
      <c r="B55" s="57"/>
      <c r="C55" s="57"/>
      <c r="D55" s="57"/>
      <c r="E55" s="57"/>
      <c r="F55" s="58"/>
    </row>
    <row r="56" spans="1:8" ht="15.6" x14ac:dyDescent="0.3">
      <c r="A56" s="79" t="s">
        <v>1</v>
      </c>
      <c r="B56" s="80"/>
      <c r="C56" s="80"/>
      <c r="D56" s="80"/>
      <c r="E56" s="80"/>
      <c r="F56" s="81"/>
    </row>
    <row r="57" spans="1:8" ht="15.6" x14ac:dyDescent="0.3">
      <c r="A57" s="83" t="s">
        <v>92</v>
      </c>
      <c r="B57" s="84"/>
      <c r="C57" s="84"/>
      <c r="D57" s="85"/>
      <c r="E57" s="59">
        <v>2.57</v>
      </c>
      <c r="F57" s="60">
        <f>IF(E57&lt;2.101,-0.1*(2.1-E57),IF(E57&gt;3,-0.5*(E57-3),0))</f>
        <v>0</v>
      </c>
      <c r="H57" s="2"/>
    </row>
    <row r="58" spans="1:8" ht="15.6" x14ac:dyDescent="0.3">
      <c r="A58" s="83" t="s">
        <v>93</v>
      </c>
      <c r="B58" s="84"/>
      <c r="C58" s="84"/>
      <c r="D58" s="85"/>
      <c r="E58" s="45">
        <v>0.52</v>
      </c>
      <c r="F58" s="61">
        <f>-0.3*(0.55-E58)</f>
        <v>-9.000000000000008E-3</v>
      </c>
    </row>
    <row r="59" spans="1:8" ht="15.6" x14ac:dyDescent="0.3">
      <c r="A59" s="83" t="s">
        <v>3</v>
      </c>
      <c r="B59" s="84"/>
      <c r="C59" s="84"/>
      <c r="D59" s="85"/>
      <c r="E59" s="45">
        <v>0.82899999999999996</v>
      </c>
      <c r="F59" s="61">
        <f>-0.75*(0.5-E59)</f>
        <v>0.24674999999999997</v>
      </c>
    </row>
    <row r="60" spans="1:8" ht="15.6" x14ac:dyDescent="0.3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6" x14ac:dyDescent="0.3">
      <c r="A61" s="83" t="s">
        <v>94</v>
      </c>
      <c r="B61" s="84"/>
      <c r="C61" s="84"/>
      <c r="D61" s="84"/>
      <c r="E61" s="85"/>
      <c r="F61" s="61">
        <f>SUM(F57:F60)/4</f>
        <v>5.943749999999999E-2</v>
      </c>
    </row>
    <row r="62" spans="1:8" ht="15.6" x14ac:dyDescent="0.3">
      <c r="A62" s="57"/>
      <c r="B62" s="57"/>
      <c r="C62" s="57"/>
      <c r="D62" s="57"/>
      <c r="E62" s="57"/>
      <c r="F62" s="63"/>
    </row>
    <row r="63" spans="1:8" ht="15.6" x14ac:dyDescent="0.3">
      <c r="A63" s="91" t="s">
        <v>97</v>
      </c>
      <c r="B63" s="91"/>
      <c r="C63" s="91"/>
      <c r="D63" s="91"/>
      <c r="E63" s="91"/>
      <c r="F63" s="91"/>
    </row>
    <row r="64" spans="1:8" ht="15.6" x14ac:dyDescent="0.3">
      <c r="A64" s="83" t="s">
        <v>95</v>
      </c>
      <c r="B64" s="84"/>
      <c r="C64" s="84"/>
      <c r="D64" s="84"/>
      <c r="E64" s="85"/>
      <c r="F64" s="64">
        <f>(F54*0.7)*(1+F61)/85</f>
        <v>7.416062499999999E-3</v>
      </c>
    </row>
    <row r="65" spans="1:6" ht="15.6" x14ac:dyDescent="0.3">
      <c r="A65" s="83" t="s">
        <v>96</v>
      </c>
      <c r="B65" s="84"/>
      <c r="C65" s="84"/>
      <c r="D65" s="84"/>
      <c r="E65" s="85"/>
      <c r="F65" s="64">
        <f>$F$54*(1+$F$61)/92</f>
        <v>9.788281250000001E-3</v>
      </c>
    </row>
    <row r="66" spans="1:6" ht="15.6" x14ac:dyDescent="0.3">
      <c r="A66" s="83" t="s">
        <v>10</v>
      </c>
      <c r="B66" s="84"/>
      <c r="C66" s="84"/>
      <c r="D66" s="84"/>
      <c r="E66" s="85"/>
      <c r="F66" s="64">
        <f>$F$54*(1+$F$61)/76</f>
        <v>1.1848972039473686E-2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6" x14ac:dyDescent="0.3">
      <c r="A68" s="79" t="s">
        <v>102</v>
      </c>
      <c r="B68" s="80"/>
      <c r="C68" s="80"/>
      <c r="D68" s="81"/>
      <c r="E68" s="57"/>
      <c r="F68" s="58"/>
    </row>
    <row r="69" spans="1:6" ht="15.6" x14ac:dyDescent="0.3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6" x14ac:dyDescent="0.3">
      <c r="A70" s="78">
        <v>44093</v>
      </c>
      <c r="B70" s="66">
        <v>0.02</v>
      </c>
      <c r="C70" s="66">
        <v>0.02</v>
      </c>
      <c r="D70" s="66">
        <v>0.01</v>
      </c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6" x14ac:dyDescent="0.3">
      <c r="A72" s="79" t="s">
        <v>103</v>
      </c>
      <c r="B72" s="80"/>
      <c r="C72" s="80"/>
      <c r="D72" s="80"/>
      <c r="E72" s="80"/>
      <c r="F72" s="81"/>
    </row>
    <row r="73" spans="1:6" ht="15.6" x14ac:dyDescent="0.3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6" x14ac:dyDescent="0.3">
      <c r="A74" s="35" t="s">
        <v>104</v>
      </c>
      <c r="B74" s="68">
        <f>F64*A70*300</f>
        <v>98098.933143749979</v>
      </c>
      <c r="C74" s="68">
        <f>F65*A70*300</f>
        <v>129478.405546875</v>
      </c>
      <c r="D74" s="68">
        <f>($F$54*(1+$F$61))/85*($A$70*(1+B$70))*300</f>
        <v>142944.15972375002</v>
      </c>
      <c r="E74" s="68">
        <f>($F$54*(1+$F$61))/82*($A$70*(1+C$70))*300</f>
        <v>148173.82410388722</v>
      </c>
      <c r="F74" s="68">
        <f>F66*(A70*(1+D70)*300)</f>
        <v>158304.3874133635</v>
      </c>
    </row>
    <row r="75" spans="1:6" ht="15.6" x14ac:dyDescent="0.3">
      <c r="A75" s="35" t="s">
        <v>105</v>
      </c>
      <c r="B75" s="68">
        <f>B74/12</f>
        <v>8174.9110953124982</v>
      </c>
      <c r="C75" s="68">
        <f>C74/12</f>
        <v>10789.867128906249</v>
      </c>
      <c r="D75" s="68">
        <f t="shared" ref="D75:F75" si="0">D74/12</f>
        <v>11912.013310312503</v>
      </c>
      <c r="E75" s="68">
        <f t="shared" si="0"/>
        <v>12347.818675323935</v>
      </c>
      <c r="F75" s="68">
        <f t="shared" si="0"/>
        <v>13192.032284446957</v>
      </c>
    </row>
    <row r="76" spans="1:6" ht="15.6" x14ac:dyDescent="0.3">
      <c r="A76" s="35" t="s">
        <v>106</v>
      </c>
      <c r="B76" s="68">
        <f>B75/4.5/7*3</f>
        <v>778.56296145833312</v>
      </c>
      <c r="C76" s="68">
        <f t="shared" ref="C76:F76" si="1">C75/4.5/7*3</f>
        <v>1027.6063932291668</v>
      </c>
      <c r="D76" s="68">
        <f t="shared" si="1"/>
        <v>1134.4774581250003</v>
      </c>
      <c r="E76" s="68">
        <f t="shared" si="1"/>
        <v>1175.9827309832319</v>
      </c>
      <c r="F76" s="68">
        <f t="shared" si="1"/>
        <v>1256.3840270901865</v>
      </c>
    </row>
    <row r="77" spans="1:6" ht="15.6" x14ac:dyDescent="0.3">
      <c r="A77" s="35" t="s">
        <v>107</v>
      </c>
      <c r="B77" s="68">
        <f>IFERROR((B76/$B9*1.3),0)</f>
        <v>84.344320824652755</v>
      </c>
      <c r="C77" s="68">
        <f t="shared" ref="C77:F77" si="2">IFERROR((C76/$B9*1.3),0)</f>
        <v>111.32402593315973</v>
      </c>
      <c r="D77" s="68">
        <f t="shared" si="2"/>
        <v>122.90172463020838</v>
      </c>
      <c r="E77" s="68">
        <f t="shared" si="2"/>
        <v>127.39812918985012</v>
      </c>
      <c r="F77" s="68">
        <f t="shared" si="2"/>
        <v>136.10826960143686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6" x14ac:dyDescent="0.3">
      <c r="A79" s="89" t="s">
        <v>2</v>
      </c>
      <c r="B79" s="89"/>
      <c r="C79" s="89"/>
      <c r="D79" s="89"/>
      <c r="E79" s="89"/>
      <c r="F79" s="89"/>
    </row>
    <row r="80" spans="1:6" ht="31.2" x14ac:dyDescent="0.25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6" x14ac:dyDescent="0.3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6" x14ac:dyDescent="0.25">
      <c r="A82" s="72" t="s">
        <v>119</v>
      </c>
      <c r="B82" s="47">
        <v>1140000</v>
      </c>
      <c r="C82" s="70">
        <v>0.2</v>
      </c>
      <c r="D82" s="64">
        <f t="shared" ref="D82:D85" si="3">1-C82</f>
        <v>0.8</v>
      </c>
      <c r="E82" s="71">
        <f t="shared" ref="E82:E85" si="4">C82*B82</f>
        <v>228000</v>
      </c>
      <c r="F82" s="71">
        <f t="shared" ref="F82:F85" si="5">D82*B82</f>
        <v>912000</v>
      </c>
    </row>
    <row r="83" spans="1:6" ht="15.6" x14ac:dyDescent="0.3">
      <c r="A83" s="35" t="s">
        <v>116</v>
      </c>
      <c r="B83" s="47">
        <v>1225000</v>
      </c>
      <c r="C83" s="70">
        <v>0.2</v>
      </c>
      <c r="D83" s="64">
        <f t="shared" si="3"/>
        <v>0.8</v>
      </c>
      <c r="E83" s="71">
        <f t="shared" si="4"/>
        <v>245000</v>
      </c>
      <c r="F83" s="71">
        <f t="shared" si="5"/>
        <v>980000</v>
      </c>
    </row>
    <row r="84" spans="1:6" ht="15.6" x14ac:dyDescent="0.3">
      <c r="A84" s="35" t="s">
        <v>118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6" x14ac:dyDescent="0.3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6" x14ac:dyDescent="0.25">
      <c r="A86" s="72" t="s">
        <v>159</v>
      </c>
      <c r="B86" s="74">
        <f>SUM(B81:B85)</f>
        <v>2365000</v>
      </c>
      <c r="C86" s="75">
        <f>IFERROR((E86/B86),0)</f>
        <v>0.2</v>
      </c>
      <c r="D86" s="64">
        <f>IFERROR((F86/B86),0)</f>
        <v>0.8</v>
      </c>
      <c r="E86" s="71">
        <f>SUM(E81:E85)</f>
        <v>473000</v>
      </c>
      <c r="F86" s="71">
        <f>SUM(F81:F85)</f>
        <v>1892000</v>
      </c>
    </row>
    <row r="87" spans="1:6" ht="15.6" x14ac:dyDescent="0.3">
      <c r="A87" s="79" t="s">
        <v>120</v>
      </c>
      <c r="B87" s="80"/>
      <c r="C87" s="80"/>
      <c r="D87" s="80"/>
      <c r="E87" s="80"/>
      <c r="F87" s="81"/>
    </row>
    <row r="88" spans="1:6" ht="31.2" x14ac:dyDescent="0.25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6" x14ac:dyDescent="0.3">
      <c r="A89" s="35" t="s">
        <v>117</v>
      </c>
      <c r="B89" s="76">
        <f>F81</f>
        <v>0</v>
      </c>
      <c r="C89" s="77">
        <v>5.5E-2</v>
      </c>
      <c r="D89" s="40">
        <v>180</v>
      </c>
      <c r="E89" s="60"/>
      <c r="F89" s="71">
        <f>IFERROR(PMT(C89/12,(D89),B89)*-1,0)</f>
        <v>0</v>
      </c>
    </row>
    <row r="90" spans="1:6" ht="15.6" x14ac:dyDescent="0.25">
      <c r="A90" s="72" t="s">
        <v>119</v>
      </c>
      <c r="B90" s="76">
        <f t="shared" ref="B90:B93" si="6">F82</f>
        <v>912000</v>
      </c>
      <c r="C90" s="77">
        <v>5.5E-2</v>
      </c>
      <c r="D90" s="40">
        <v>180</v>
      </c>
      <c r="E90" s="60"/>
      <c r="F90" s="71">
        <f t="shared" ref="F90:F93" si="7">IFERROR(PMT(C90/12,(D90),B90)*-1,0)</f>
        <v>7451.8011061447896</v>
      </c>
    </row>
    <row r="91" spans="1:6" ht="15.6" x14ac:dyDescent="0.3">
      <c r="A91" s="35" t="s">
        <v>116</v>
      </c>
      <c r="B91" s="76">
        <f t="shared" si="6"/>
        <v>980000</v>
      </c>
      <c r="C91" s="77">
        <v>5.5E-2</v>
      </c>
      <c r="D91" s="40">
        <v>180</v>
      </c>
      <c r="E91" s="60"/>
      <c r="F91" s="71">
        <f t="shared" si="7"/>
        <v>8007.4178552871654</v>
      </c>
    </row>
    <row r="92" spans="1:6" ht="15.6" x14ac:dyDescent="0.3">
      <c r="A92" s="35" t="s">
        <v>118</v>
      </c>
      <c r="B92" s="76">
        <f t="shared" si="6"/>
        <v>0</v>
      </c>
      <c r="C92" s="77">
        <v>5.5E-2</v>
      </c>
      <c r="D92" s="40">
        <v>180</v>
      </c>
      <c r="E92" s="60"/>
      <c r="F92" s="71">
        <f t="shared" si="7"/>
        <v>0</v>
      </c>
    </row>
    <row r="93" spans="1:6" ht="15.6" x14ac:dyDescent="0.3">
      <c r="A93" s="73" t="s">
        <v>158</v>
      </c>
      <c r="B93" s="76">
        <f t="shared" si="6"/>
        <v>0</v>
      </c>
      <c r="C93" s="77">
        <v>5.5E-2</v>
      </c>
      <c r="D93" s="40">
        <v>120</v>
      </c>
      <c r="E93" s="60"/>
      <c r="F93" s="71">
        <f t="shared" si="7"/>
        <v>0</v>
      </c>
    </row>
    <row r="94" spans="1:6" ht="15.6" x14ac:dyDescent="0.25">
      <c r="A94" s="72" t="s">
        <v>159</v>
      </c>
      <c r="B94" s="76">
        <f>SUM(B89:B93)</f>
        <v>1892000</v>
      </c>
      <c r="C94" s="60"/>
      <c r="D94" s="60"/>
      <c r="E94" s="60"/>
      <c r="F94" s="71">
        <f>SUM(F89:F93)</f>
        <v>15459.218961431954</v>
      </c>
    </row>
    <row r="95" spans="1:6" ht="15.6" x14ac:dyDescent="0.3">
      <c r="A95" s="79" t="s">
        <v>122</v>
      </c>
      <c r="B95" s="80"/>
      <c r="C95" s="80"/>
      <c r="D95" s="80"/>
      <c r="E95" s="80"/>
      <c r="F95" s="81"/>
    </row>
    <row r="96" spans="1:6" ht="15.6" x14ac:dyDescent="0.3">
      <c r="A96" s="92" t="s">
        <v>123</v>
      </c>
      <c r="B96" s="93"/>
      <c r="C96" s="93"/>
      <c r="D96" s="94"/>
      <c r="E96" s="98" t="s">
        <v>125</v>
      </c>
      <c r="F96" s="99"/>
    </row>
    <row r="97" spans="1:8" ht="15.6" x14ac:dyDescent="0.3">
      <c r="A97" s="95" t="s">
        <v>116</v>
      </c>
      <c r="B97" s="96"/>
      <c r="C97" s="96"/>
      <c r="D97" s="97"/>
      <c r="E97" s="100">
        <v>0</v>
      </c>
      <c r="F97" s="101"/>
    </row>
    <row r="98" spans="1:8" ht="15.6" x14ac:dyDescent="0.3">
      <c r="A98" s="95" t="s">
        <v>117</v>
      </c>
      <c r="B98" s="96"/>
      <c r="C98" s="96"/>
      <c r="D98" s="97"/>
      <c r="E98" s="100">
        <v>0</v>
      </c>
      <c r="F98" s="101"/>
    </row>
    <row r="99" spans="1:8" ht="15.6" x14ac:dyDescent="0.3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6" x14ac:dyDescent="0.3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5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25" zoomScaleNormal="100" workbookViewId="0">
      <selection activeCell="N35" sqref="N35"/>
    </sheetView>
  </sheetViews>
  <sheetFormatPr defaultColWidth="9.33203125" defaultRowHeight="13.8" x14ac:dyDescent="0.3"/>
  <cols>
    <col min="1" max="1" width="5.33203125" style="3" customWidth="1"/>
    <col min="2" max="2" width="10.6640625" style="3" customWidth="1"/>
    <col min="3" max="3" width="7" style="3" customWidth="1"/>
    <col min="4" max="4" width="12.5546875" style="3" customWidth="1"/>
    <col min="5" max="5" width="11.44140625" style="3" customWidth="1"/>
    <col min="6" max="6" width="10.33203125" style="3" customWidth="1"/>
    <col min="7" max="8" width="8" style="3" customWidth="1"/>
    <col min="9" max="9" width="14.332031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3320312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6" x14ac:dyDescent="0.6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4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6" x14ac:dyDescent="0.3">
      <c r="A29" s="10"/>
      <c r="B29" s="10"/>
      <c r="C29" s="10"/>
      <c r="D29" s="10"/>
      <c r="E29" s="107" t="str">
        <f>'Input Form'!B2</f>
        <v>Dave Kingsley</v>
      </c>
      <c r="F29" s="107"/>
      <c r="G29" s="107"/>
      <c r="H29" s="10"/>
      <c r="I29" s="10"/>
      <c r="J29" s="10"/>
      <c r="K29" s="10"/>
    </row>
    <row r="30" spans="1:11" ht="15.6" x14ac:dyDescent="0.3">
      <c r="A30" s="10"/>
      <c r="B30" s="10"/>
      <c r="C30" s="10"/>
      <c r="D30" s="10"/>
      <c r="E30" s="107" t="str">
        <f>'Input Form'!B3</f>
        <v>Express Car Wash</v>
      </c>
      <c r="F30" s="107"/>
      <c r="G30" s="107"/>
      <c r="H30" s="10"/>
      <c r="I30" s="10"/>
      <c r="J30" s="10"/>
      <c r="K30" s="10"/>
    </row>
    <row r="31" spans="1:11" ht="15.6" x14ac:dyDescent="0.3">
      <c r="A31" s="10"/>
      <c r="B31" s="10"/>
      <c r="C31" s="10"/>
      <c r="D31" s="10"/>
      <c r="E31" s="107" t="str">
        <f>'Input Form'!B4</f>
        <v>MacMillan Oil Company, LLC</v>
      </c>
      <c r="F31" s="107"/>
      <c r="G31" s="107"/>
      <c r="H31" s="10"/>
      <c r="I31" s="10"/>
      <c r="J31" s="10"/>
      <c r="K31" s="10"/>
    </row>
    <row r="32" spans="1:11" ht="15.6" x14ac:dyDescent="0.3">
      <c r="A32" s="10"/>
      <c r="B32" s="10"/>
      <c r="C32" s="10"/>
      <c r="D32" s="10"/>
      <c r="E32" s="107" t="str">
        <f>'Input Form'!B5</f>
        <v>6751 W Indiantown Rd.</v>
      </c>
      <c r="F32" s="107"/>
      <c r="G32" s="107"/>
      <c r="H32" s="10"/>
      <c r="I32" s="10"/>
      <c r="J32" s="10"/>
      <c r="K32" s="10"/>
    </row>
    <row r="33" spans="1:11" ht="15.6" x14ac:dyDescent="0.3">
      <c r="A33" s="10"/>
      <c r="B33" s="10"/>
      <c r="C33" s="10"/>
      <c r="D33" s="10"/>
      <c r="E33" s="107" t="str">
        <f>'Input Form'!B6</f>
        <v>Jupiter, FL 33458</v>
      </c>
      <c r="F33" s="107"/>
      <c r="G33" s="107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41" t="s">
        <v>197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3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3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3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3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3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ht="13.9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5.8" x14ac:dyDescent="0.5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9" t="s">
        <v>183</v>
      </c>
      <c r="D56" s="119"/>
      <c r="E56" s="153" t="str">
        <f>CustomerName</f>
        <v>Dave Kingsley</v>
      </c>
      <c r="F56" s="154"/>
      <c r="G56" s="154"/>
      <c r="H56" s="154"/>
      <c r="I56" s="155"/>
      <c r="J56" s="10"/>
      <c r="K56" s="10"/>
    </row>
    <row r="57" spans="1:11" x14ac:dyDescent="0.3">
      <c r="A57" s="10"/>
      <c r="B57" s="10"/>
      <c r="C57" s="120" t="s">
        <v>184</v>
      </c>
      <c r="D57" s="121"/>
      <c r="E57" s="153" t="str">
        <f>CompanyName</f>
        <v>Express Car Wash</v>
      </c>
      <c r="F57" s="154"/>
      <c r="G57" s="154"/>
      <c r="H57" s="154"/>
      <c r="I57" s="155"/>
      <c r="J57" s="10"/>
      <c r="K57" s="10"/>
    </row>
    <row r="58" spans="1:11" x14ac:dyDescent="0.3">
      <c r="A58" s="10"/>
      <c r="B58" s="10"/>
      <c r="C58" s="122" t="s">
        <v>128</v>
      </c>
      <c r="D58" s="123"/>
      <c r="E58" s="158" t="str">
        <f>AddressLine1</f>
        <v>MacMillan Oil Company, LLC</v>
      </c>
      <c r="F58" s="159"/>
      <c r="G58" s="159"/>
      <c r="H58" s="159"/>
      <c r="I58" s="160"/>
      <c r="J58" s="13"/>
      <c r="K58" s="10"/>
    </row>
    <row r="59" spans="1:11" x14ac:dyDescent="0.3">
      <c r="A59" s="10"/>
      <c r="B59" s="10"/>
      <c r="C59" s="124"/>
      <c r="D59" s="125"/>
      <c r="E59" s="161" t="str">
        <f>AddressLine2</f>
        <v>6751 W Indiantown Rd.</v>
      </c>
      <c r="F59" s="162"/>
      <c r="G59" s="162"/>
      <c r="H59" s="162"/>
      <c r="I59" s="163"/>
      <c r="J59" s="10"/>
      <c r="K59" s="10"/>
    </row>
    <row r="60" spans="1:11" x14ac:dyDescent="0.3">
      <c r="A60" s="10"/>
      <c r="B60" s="10"/>
      <c r="C60" s="126"/>
      <c r="D60" s="127"/>
      <c r="E60" s="164" t="str">
        <f>AddressLine3</f>
        <v>Jupiter, FL 33458</v>
      </c>
      <c r="F60" s="165"/>
      <c r="G60" s="165"/>
      <c r="H60" s="165"/>
      <c r="I60" s="166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4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3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3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3438.1261455372132</v>
      </c>
      <c r="J65" s="18">
        <f>'Input Form'!B75</f>
        <v>8174.9110953124982</v>
      </c>
      <c r="K65" s="10"/>
    </row>
    <row r="66" spans="1:15" ht="18" x14ac:dyDescent="0.35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3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3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3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10</v>
      </c>
      <c r="G69" s="139">
        <f>'Input Form'!D19</f>
        <v>0.35</v>
      </c>
      <c r="H69" s="140"/>
      <c r="I69" s="20">
        <f>IFERROR((I$65*G69*F69),0)</f>
        <v>12033.441509380245</v>
      </c>
      <c r="J69" s="20">
        <f>J$65*F69*G69</f>
        <v>28612.188833593744</v>
      </c>
      <c r="K69" s="10"/>
    </row>
    <row r="70" spans="1:15" x14ac:dyDescent="0.3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0</v>
      </c>
      <c r="G70" s="139">
        <f>'Input Form'!D20</f>
        <v>0</v>
      </c>
      <c r="H70" s="140"/>
      <c r="I70" s="20">
        <f>IFERROR((I$65*G70*F70),0)</f>
        <v>0</v>
      </c>
      <c r="J70" s="20">
        <f t="shared" ref="J70:J73" si="0">J$65*F70*G70</f>
        <v>0</v>
      </c>
      <c r="K70" s="10"/>
    </row>
    <row r="71" spans="1:15" x14ac:dyDescent="0.3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0.35</v>
      </c>
      <c r="H71" s="140"/>
      <c r="I71" s="20">
        <f>IFERROR((I$65*G71*F71),0)</f>
        <v>18050.162264070368</v>
      </c>
      <c r="J71" s="20">
        <f t="shared" si="0"/>
        <v>42918.28325039061</v>
      </c>
      <c r="K71" s="10"/>
    </row>
    <row r="72" spans="1:15" x14ac:dyDescent="0.3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0.18</v>
      </c>
      <c r="H72" s="140"/>
      <c r="I72" s="20">
        <f t="shared" ref="I72:I73" si="1">I$65*G72*F72</f>
        <v>12377.254123933966</v>
      </c>
      <c r="J72" s="20">
        <f t="shared" si="0"/>
        <v>29429.679943124993</v>
      </c>
      <c r="K72" s="10"/>
    </row>
    <row r="73" spans="1:15" x14ac:dyDescent="0.3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0.12</v>
      </c>
      <c r="H73" s="140"/>
      <c r="I73" s="20">
        <f t="shared" si="1"/>
        <v>10314.37843661164</v>
      </c>
      <c r="J73" s="20">
        <f t="shared" si="0"/>
        <v>24524.733285937495</v>
      </c>
      <c r="K73" s="10"/>
    </row>
    <row r="74" spans="1:15" x14ac:dyDescent="0.3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52775.236333996218</v>
      </c>
      <c r="J74" s="20">
        <f>SUM(J69:J73)</f>
        <v>125484.88531304683</v>
      </c>
      <c r="K74" s="10"/>
      <c r="O74" s="5"/>
    </row>
    <row r="75" spans="1:15" x14ac:dyDescent="0.3">
      <c r="A75" s="10"/>
      <c r="B75" s="132" t="s">
        <v>137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-949.95425401193177</v>
      </c>
      <c r="J75" s="20">
        <f>-(J74*$F75*$G75)</f>
        <v>-2258.7279356348431</v>
      </c>
      <c r="K75" s="10"/>
      <c r="L75" s="7"/>
    </row>
    <row r="76" spans="1:15" x14ac:dyDescent="0.3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51825.282079984288</v>
      </c>
      <c r="J76" s="20">
        <f>SUM(J74:J75)</f>
        <v>123226.15737741199</v>
      </c>
      <c r="K76" s="10"/>
      <c r="L76" s="5"/>
      <c r="N76" s="8"/>
    </row>
    <row r="77" spans="1:15" x14ac:dyDescent="0.3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15.073699999999999</v>
      </c>
      <c r="J77" s="22">
        <f>J76/(J65+0.000000001)</f>
        <v>15.073699999998153</v>
      </c>
      <c r="K77" s="10"/>
      <c r="M77" s="5"/>
      <c r="N77" s="7"/>
    </row>
    <row r="78" spans="1:15" ht="18" x14ac:dyDescent="0.35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3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3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1554.7584623995285</v>
      </c>
      <c r="J80" s="20">
        <f>$G80*J76</f>
        <v>3696.7847213223595</v>
      </c>
      <c r="K80" s="10"/>
    </row>
    <row r="81" spans="1:12" x14ac:dyDescent="0.3">
      <c r="A81" s="10"/>
      <c r="B81" s="132" t="s">
        <v>141</v>
      </c>
      <c r="C81" s="133"/>
      <c r="D81" s="133"/>
      <c r="E81" s="133"/>
      <c r="F81" s="134"/>
      <c r="G81" s="130">
        <f>IFERROR((J81/J74),0)</f>
        <v>7.2837785016286641E-2</v>
      </c>
      <c r="H81" s="131"/>
      <c r="I81" s="20">
        <f>G81*I76</f>
        <v>3774.8387545503083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9140.0410992250909</v>
      </c>
      <c r="K81" s="10"/>
    </row>
    <row r="82" spans="1:12" x14ac:dyDescent="0.3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518.25282079984288</v>
      </c>
      <c r="J82" s="20">
        <f>$G82*J76</f>
        <v>1232.2615737741198</v>
      </c>
      <c r="K82" s="10"/>
    </row>
    <row r="83" spans="1:12" x14ac:dyDescent="0.3">
      <c r="A83" s="10"/>
      <c r="B83" s="132" t="s">
        <v>150</v>
      </c>
      <c r="C83" s="133"/>
      <c r="D83" s="133"/>
      <c r="E83" s="133"/>
      <c r="F83" s="134"/>
      <c r="G83" s="130">
        <f>IFERROR((I83/I74),0)</f>
        <v>1.8948280850347044E-2</v>
      </c>
      <c r="H83" s="131"/>
      <c r="I83" s="23">
        <v>1000</v>
      </c>
      <c r="J83" s="20">
        <f>I83</f>
        <v>1000</v>
      </c>
      <c r="K83" s="10"/>
    </row>
    <row r="84" spans="1:12" x14ac:dyDescent="0.3">
      <c r="A84" s="10"/>
      <c r="B84" s="132" t="s">
        <v>23</v>
      </c>
      <c r="C84" s="133"/>
      <c r="D84" s="133"/>
      <c r="E84" s="133"/>
      <c r="F84" s="134"/>
      <c r="G84" s="130">
        <f>IFERROR((I84/I74),0)</f>
        <v>0.38885282995465192</v>
      </c>
      <c r="H84" s="131"/>
      <c r="I84" s="20">
        <f>J84</f>
        <v>20521.8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20521.8</v>
      </c>
      <c r="K84" s="10"/>
    </row>
    <row r="85" spans="1:12" x14ac:dyDescent="0.3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518.25282079984288</v>
      </c>
      <c r="J85" s="20">
        <f>$G85*J76</f>
        <v>1232.2615737741198</v>
      </c>
      <c r="K85" s="10"/>
    </row>
    <row r="86" spans="1:12" x14ac:dyDescent="0.3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518.25282079984288</v>
      </c>
      <c r="J86" s="20">
        <f>$G86*J76</f>
        <v>1232.2615737741198</v>
      </c>
      <c r="K86" s="10"/>
    </row>
    <row r="87" spans="1:12" x14ac:dyDescent="0.3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777.37923119976426</v>
      </c>
      <c r="J87" s="20">
        <f>$G87*J76</f>
        <v>1848.3923606611797</v>
      </c>
      <c r="K87" s="10"/>
    </row>
    <row r="88" spans="1:12" x14ac:dyDescent="0.3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518.25282079984288</v>
      </c>
      <c r="J88" s="20">
        <f>$G88*J76</f>
        <v>1232.2615737741198</v>
      </c>
      <c r="K88" s="10"/>
    </row>
    <row r="89" spans="1:12" x14ac:dyDescent="0.3">
      <c r="A89" s="10"/>
      <c r="B89" s="132" t="s">
        <v>149</v>
      </c>
      <c r="C89" s="133"/>
      <c r="D89" s="133"/>
      <c r="E89" s="133"/>
      <c r="F89" s="134"/>
      <c r="G89" s="130">
        <f>IFERROR((I89/I74),0)</f>
        <v>3.7896561700694088E-2</v>
      </c>
      <c r="H89" s="131"/>
      <c r="I89" s="23">
        <v>2000</v>
      </c>
      <c r="J89" s="20">
        <f>I89</f>
        <v>2000</v>
      </c>
      <c r="K89" s="10"/>
    </row>
    <row r="90" spans="1:12" x14ac:dyDescent="0.3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518.25282079984288</v>
      </c>
      <c r="J90" s="20">
        <f>$G90*J76</f>
        <v>1232.2615737741198</v>
      </c>
      <c r="K90" s="10"/>
      <c r="L90" s="5"/>
    </row>
    <row r="91" spans="1:12" x14ac:dyDescent="0.3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4146.022566398743</v>
      </c>
      <c r="J91" s="20">
        <f>$G91*J76</f>
        <v>9858.0925901929586</v>
      </c>
      <c r="K91" s="10"/>
      <c r="L91" s="5"/>
    </row>
    <row r="92" spans="1:12" x14ac:dyDescent="0.3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36366.063118547558</v>
      </c>
      <c r="J92" s="20">
        <f>SUM(J80:J91)</f>
        <v>54226.418640272197</v>
      </c>
      <c r="K92" s="10"/>
    </row>
    <row r="93" spans="1:12" x14ac:dyDescent="0.3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15459.218961436731</v>
      </c>
      <c r="J93" s="24">
        <f>J76-J92</f>
        <v>68999.738737139793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5.8" x14ac:dyDescent="0.5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9" t="s">
        <v>183</v>
      </c>
      <c r="D108" s="119"/>
      <c r="E108" s="153" t="str">
        <f>CustomerName</f>
        <v>Dave Kingsley</v>
      </c>
      <c r="F108" s="154"/>
      <c r="G108" s="154"/>
      <c r="H108" s="154"/>
      <c r="I108" s="155"/>
      <c r="J108" s="10"/>
      <c r="K108" s="10"/>
    </row>
    <row r="109" spans="1:11" x14ac:dyDescent="0.3">
      <c r="A109" s="10"/>
      <c r="B109" s="10"/>
      <c r="C109" s="120" t="s">
        <v>184</v>
      </c>
      <c r="D109" s="121"/>
      <c r="E109" s="153" t="str">
        <f>CompanyName</f>
        <v>Express Car Wash</v>
      </c>
      <c r="F109" s="154"/>
      <c r="G109" s="154"/>
      <c r="H109" s="154"/>
      <c r="I109" s="155"/>
      <c r="J109" s="10"/>
      <c r="K109" s="10"/>
    </row>
    <row r="110" spans="1:11" x14ac:dyDescent="0.3">
      <c r="A110" s="10"/>
      <c r="B110" s="10"/>
      <c r="C110" s="122" t="s">
        <v>128</v>
      </c>
      <c r="D110" s="123"/>
      <c r="E110" s="158" t="str">
        <f>AddressLine1</f>
        <v>MacMillan Oil Company, LLC</v>
      </c>
      <c r="F110" s="159"/>
      <c r="G110" s="159"/>
      <c r="H110" s="159"/>
      <c r="I110" s="160"/>
      <c r="J110" s="10"/>
      <c r="K110" s="10"/>
    </row>
    <row r="111" spans="1:11" x14ac:dyDescent="0.3">
      <c r="A111" s="10"/>
      <c r="B111" s="10"/>
      <c r="C111" s="124"/>
      <c r="D111" s="125"/>
      <c r="E111" s="161" t="str">
        <f>AddressLine2</f>
        <v>6751 W Indiantown Rd.</v>
      </c>
      <c r="F111" s="162"/>
      <c r="G111" s="162"/>
      <c r="H111" s="162"/>
      <c r="I111" s="163"/>
      <c r="J111" s="10"/>
      <c r="K111" s="10"/>
    </row>
    <row r="112" spans="1:11" x14ac:dyDescent="0.3">
      <c r="A112" s="10"/>
      <c r="B112" s="10"/>
      <c r="C112" s="126"/>
      <c r="D112" s="127"/>
      <c r="E112" s="164" t="str">
        <f>AddressLine3</f>
        <v>Jupiter, FL 33458</v>
      </c>
      <c r="F112" s="165"/>
      <c r="G112" s="165"/>
      <c r="H112" s="165"/>
      <c r="I112" s="166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4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41.4" x14ac:dyDescent="0.3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3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3">
      <c r="A118" s="10"/>
      <c r="B118" s="27" t="s">
        <v>119</v>
      </c>
      <c r="C118" s="156">
        <f>'Input Form'!B82</f>
        <v>1140000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228000</v>
      </c>
      <c r="H118" s="140"/>
      <c r="I118" s="156">
        <f>'Input Form'!F82</f>
        <v>912000</v>
      </c>
      <c r="J118" s="140"/>
      <c r="K118" s="10"/>
    </row>
    <row r="119" spans="1:11" x14ac:dyDescent="0.3">
      <c r="A119" s="10"/>
      <c r="B119" s="27" t="s">
        <v>116</v>
      </c>
      <c r="C119" s="156">
        <f>'Input Form'!B83</f>
        <v>1225000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245000</v>
      </c>
      <c r="H119" s="140"/>
      <c r="I119" s="156">
        <f>'Input Form'!F83</f>
        <v>980000</v>
      </c>
      <c r="J119" s="140"/>
      <c r="K119" s="10"/>
    </row>
    <row r="120" spans="1:11" x14ac:dyDescent="0.3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3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3">
      <c r="A122" s="10"/>
      <c r="B122" s="27" t="s">
        <v>159</v>
      </c>
      <c r="C122" s="156">
        <f>'Input Form'!B86</f>
        <v>2365000</v>
      </c>
      <c r="D122" s="140"/>
      <c r="E122" s="28">
        <f>'Input Form'!C86</f>
        <v>0.2</v>
      </c>
      <c r="F122" s="28">
        <f>'Input Form'!D86</f>
        <v>0.8</v>
      </c>
      <c r="G122" s="156">
        <f>'Input Form'!E86</f>
        <v>473000</v>
      </c>
      <c r="H122" s="140"/>
      <c r="I122" s="156">
        <f>'Input Form'!F86</f>
        <v>1892000</v>
      </c>
      <c r="J122" s="140"/>
      <c r="K122" s="10"/>
    </row>
    <row r="123" spans="1:11" ht="18" x14ac:dyDescent="0.35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7.6" x14ac:dyDescent="0.3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3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180</v>
      </c>
      <c r="H125" s="140"/>
      <c r="I125" s="167">
        <f>'Input Form'!F89</f>
        <v>0</v>
      </c>
      <c r="J125" s="167"/>
      <c r="K125" s="10"/>
    </row>
    <row r="126" spans="1:11" x14ac:dyDescent="0.3">
      <c r="A126" s="10"/>
      <c r="B126" s="27" t="s">
        <v>119</v>
      </c>
      <c r="C126" s="156">
        <f>'Input Form'!B90</f>
        <v>912000</v>
      </c>
      <c r="D126" s="140"/>
      <c r="E126" s="108">
        <f>'Input Form'!C90</f>
        <v>5.5E-2</v>
      </c>
      <c r="F126" s="109"/>
      <c r="G126" s="140">
        <f>'Input Form'!D90</f>
        <v>180</v>
      </c>
      <c r="H126" s="140"/>
      <c r="I126" s="167">
        <f>'Input Form'!F90</f>
        <v>7451.8011061447896</v>
      </c>
      <c r="J126" s="167"/>
      <c r="K126" s="10"/>
    </row>
    <row r="127" spans="1:11" x14ac:dyDescent="0.3">
      <c r="A127" s="10"/>
      <c r="B127" s="27" t="s">
        <v>116</v>
      </c>
      <c r="C127" s="156">
        <f>'Input Form'!B91</f>
        <v>980000</v>
      </c>
      <c r="D127" s="140"/>
      <c r="E127" s="108">
        <f>'Input Form'!C91</f>
        <v>5.5E-2</v>
      </c>
      <c r="F127" s="109"/>
      <c r="G127" s="140">
        <f>'Input Form'!D91</f>
        <v>180</v>
      </c>
      <c r="H127" s="140"/>
      <c r="I127" s="167">
        <f>'Input Form'!F91</f>
        <v>8007.4178552871654</v>
      </c>
      <c r="J127" s="167"/>
      <c r="K127" s="10"/>
    </row>
    <row r="128" spans="1:11" x14ac:dyDescent="0.3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180</v>
      </c>
      <c r="H128" s="140"/>
      <c r="I128" s="167">
        <f>'Input Form'!F92</f>
        <v>0</v>
      </c>
      <c r="J128" s="167"/>
      <c r="K128" s="10"/>
    </row>
    <row r="129" spans="1:11" x14ac:dyDescent="0.3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120</v>
      </c>
      <c r="H129" s="140"/>
      <c r="I129" s="167">
        <f>'Input Form'!F93</f>
        <v>0</v>
      </c>
      <c r="J129" s="167"/>
      <c r="K129" s="10"/>
    </row>
    <row r="130" spans="1:11" x14ac:dyDescent="0.3">
      <c r="A130" s="10"/>
      <c r="B130" s="27" t="s">
        <v>121</v>
      </c>
      <c r="C130" s="156">
        <f>'Input Form'!B94</f>
        <v>1892000</v>
      </c>
      <c r="D130" s="140"/>
      <c r="E130" s="170"/>
      <c r="F130" s="171"/>
      <c r="G130" s="171"/>
      <c r="H130" s="172"/>
      <c r="I130" s="167">
        <f>'Input Form'!F94</f>
        <v>15459.218961431954</v>
      </c>
      <c r="J130" s="167"/>
      <c r="K130" s="10"/>
    </row>
    <row r="131" spans="1:11" ht="18" x14ac:dyDescent="0.35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3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3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3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3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3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" x14ac:dyDescent="0.35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3">
      <c r="A138" s="10"/>
      <c r="B138" s="135" t="s">
        <v>138</v>
      </c>
      <c r="C138" s="135"/>
      <c r="D138" s="135"/>
      <c r="E138" s="135"/>
      <c r="F138" s="135"/>
      <c r="G138" s="167">
        <f>I76</f>
        <v>51825.282079984288</v>
      </c>
      <c r="H138" s="167"/>
      <c r="I138" s="167">
        <f>J76</f>
        <v>123226.15737741199</v>
      </c>
      <c r="J138" s="167"/>
      <c r="K138" s="10"/>
    </row>
    <row r="139" spans="1:11" x14ac:dyDescent="0.3">
      <c r="A139" s="10"/>
      <c r="B139" s="135" t="s">
        <v>162</v>
      </c>
      <c r="C139" s="135"/>
      <c r="D139" s="135"/>
      <c r="E139" s="135"/>
      <c r="F139" s="135"/>
      <c r="G139" s="167">
        <f>I92</f>
        <v>36366.063118547558</v>
      </c>
      <c r="H139" s="167"/>
      <c r="I139" s="167">
        <f>J92</f>
        <v>54226.418640272197</v>
      </c>
      <c r="J139" s="167"/>
      <c r="K139" s="10"/>
    </row>
    <row r="140" spans="1:11" x14ac:dyDescent="0.3">
      <c r="A140" s="10"/>
      <c r="B140" s="135" t="s">
        <v>157</v>
      </c>
      <c r="C140" s="135"/>
      <c r="D140" s="135"/>
      <c r="E140" s="135"/>
      <c r="F140" s="135"/>
      <c r="G140" s="167">
        <f>G138-G139</f>
        <v>15459.218961436731</v>
      </c>
      <c r="H140" s="167"/>
      <c r="I140" s="167">
        <f>J93</f>
        <v>68999.738737139793</v>
      </c>
      <c r="J140" s="167"/>
      <c r="K140" s="10"/>
    </row>
    <row r="141" spans="1:11" x14ac:dyDescent="0.3">
      <c r="A141" s="10"/>
      <c r="B141" s="135" t="s">
        <v>163</v>
      </c>
      <c r="C141" s="135"/>
      <c r="D141" s="135"/>
      <c r="E141" s="135"/>
      <c r="F141" s="135"/>
      <c r="G141" s="167">
        <f>I130</f>
        <v>15459.218961431954</v>
      </c>
      <c r="H141" s="167"/>
      <c r="I141" s="167">
        <f>I130</f>
        <v>15459.218961431954</v>
      </c>
      <c r="J141" s="167"/>
      <c r="K141" s="10"/>
    </row>
    <row r="142" spans="1:11" x14ac:dyDescent="0.3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3">
      <c r="A143" s="10"/>
      <c r="B143" s="135" t="s">
        <v>165</v>
      </c>
      <c r="C143" s="135"/>
      <c r="D143" s="135"/>
      <c r="E143" s="135"/>
      <c r="F143" s="135"/>
      <c r="G143" s="167">
        <f>G140-G141-G142</f>
        <v>4.7766661737114191E-9</v>
      </c>
      <c r="H143" s="167"/>
      <c r="I143" s="167">
        <f>I140-I141-I142</f>
        <v>53540.519775707842</v>
      </c>
      <c r="J143" s="167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5.8" x14ac:dyDescent="0.5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9" t="s">
        <v>183</v>
      </c>
      <c r="D157" s="119"/>
      <c r="E157" s="153" t="str">
        <f>CustomerName</f>
        <v>Dave Kingsley</v>
      </c>
      <c r="F157" s="154"/>
      <c r="G157" s="154"/>
      <c r="H157" s="154"/>
      <c r="I157" s="155"/>
      <c r="J157" s="10"/>
      <c r="K157" s="10"/>
    </row>
    <row r="158" spans="1:11" x14ac:dyDescent="0.3">
      <c r="A158" s="10"/>
      <c r="B158" s="10"/>
      <c r="C158" s="120" t="s">
        <v>184</v>
      </c>
      <c r="D158" s="121"/>
      <c r="E158" s="153" t="str">
        <f>CompanyName</f>
        <v>Express Car Wash</v>
      </c>
      <c r="F158" s="154"/>
      <c r="G158" s="154"/>
      <c r="H158" s="154"/>
      <c r="I158" s="155"/>
      <c r="J158" s="10"/>
      <c r="K158" s="10"/>
    </row>
    <row r="159" spans="1:11" x14ac:dyDescent="0.3">
      <c r="A159" s="10"/>
      <c r="B159" s="10"/>
      <c r="C159" s="122" t="s">
        <v>128</v>
      </c>
      <c r="D159" s="123"/>
      <c r="E159" s="158" t="str">
        <f>AddressLine1</f>
        <v>MacMillan Oil Company, LLC</v>
      </c>
      <c r="F159" s="159"/>
      <c r="G159" s="159"/>
      <c r="H159" s="159"/>
      <c r="I159" s="160"/>
      <c r="J159" s="10"/>
      <c r="K159" s="10"/>
    </row>
    <row r="160" spans="1:11" x14ac:dyDescent="0.3">
      <c r="A160" s="10"/>
      <c r="B160" s="10"/>
      <c r="C160" s="124"/>
      <c r="D160" s="125"/>
      <c r="E160" s="161" t="str">
        <f>AddressLine2</f>
        <v>6751 W Indiantown Rd.</v>
      </c>
      <c r="F160" s="162"/>
      <c r="G160" s="162"/>
      <c r="H160" s="162"/>
      <c r="I160" s="163"/>
      <c r="J160" s="10"/>
      <c r="K160" s="10"/>
    </row>
    <row r="161" spans="1:11" x14ac:dyDescent="0.3">
      <c r="A161" s="10"/>
      <c r="B161" s="10"/>
      <c r="C161" s="126"/>
      <c r="D161" s="127"/>
      <c r="E161" s="164" t="str">
        <f>AddressLine3</f>
        <v>Jupiter, FL 33458</v>
      </c>
      <c r="F161" s="165"/>
      <c r="G161" s="165"/>
      <c r="H161" s="165"/>
      <c r="I161" s="166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4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3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3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98098.933143749979</v>
      </c>
      <c r="J166" s="177"/>
      <c r="K166" s="10"/>
    </row>
    <row r="167" spans="1:11" ht="18" x14ac:dyDescent="0.35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3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3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10</v>
      </c>
      <c r="G169" s="139">
        <f>'Input Form'!$D$19</f>
        <v>0.35</v>
      </c>
      <c r="H169" s="140"/>
      <c r="I169" s="20">
        <f>I$166*F169*G169</f>
        <v>343346.26600312488</v>
      </c>
      <c r="J169" s="30">
        <f>IFERROR((I169/I$174),0)</f>
        <v>0.2280130293159609</v>
      </c>
      <c r="K169" s="10"/>
    </row>
    <row r="170" spans="1:11" x14ac:dyDescent="0.3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0</v>
      </c>
      <c r="G170" s="139">
        <f>'Input Form'!$D$20</f>
        <v>0</v>
      </c>
      <c r="H170" s="140"/>
      <c r="I170" s="20">
        <f>I$166*F170*G170</f>
        <v>0</v>
      </c>
      <c r="J170" s="30">
        <f t="shared" ref="J170:J176" si="2">IFERROR((I170/I$174),0)</f>
        <v>0</v>
      </c>
      <c r="K170" s="10"/>
    </row>
    <row r="171" spans="1:11" x14ac:dyDescent="0.3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0.35</v>
      </c>
      <c r="H171" s="140"/>
      <c r="I171" s="20">
        <f>I$166*F171*G171</f>
        <v>515019.39900468732</v>
      </c>
      <c r="J171" s="30">
        <f t="shared" si="2"/>
        <v>0.34201954397394135</v>
      </c>
      <c r="K171" s="10"/>
    </row>
    <row r="172" spans="1:11" x14ac:dyDescent="0.3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0.18</v>
      </c>
      <c r="H172" s="140"/>
      <c r="I172" s="20">
        <f>I$166*F172*G172</f>
        <v>353156.1593174999</v>
      </c>
      <c r="J172" s="30">
        <f t="shared" si="2"/>
        <v>0.23452768729641693</v>
      </c>
      <c r="K172" s="10"/>
    </row>
    <row r="173" spans="1:11" x14ac:dyDescent="0.3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0.12</v>
      </c>
      <c r="H173" s="140"/>
      <c r="I173" s="20">
        <f>I$166*F173*G173</f>
        <v>294296.79943124991</v>
      </c>
      <c r="J173" s="30">
        <f t="shared" si="2"/>
        <v>0.19543973941368076</v>
      </c>
      <c r="K173" s="10"/>
    </row>
    <row r="174" spans="1:11" x14ac:dyDescent="0.3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1505818.6237565621</v>
      </c>
      <c r="J174" s="30">
        <f t="shared" si="2"/>
        <v>1</v>
      </c>
      <c r="K174" s="10"/>
    </row>
    <row r="175" spans="1:11" x14ac:dyDescent="0.3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0.6</v>
      </c>
      <c r="H175" s="179"/>
      <c r="I175" s="20">
        <f>-(I174*F175*G175)</f>
        <v>-27104.735227618115</v>
      </c>
      <c r="J175" s="30">
        <f t="shared" si="2"/>
        <v>-1.7999999999999999E-2</v>
      </c>
      <c r="K175" s="10"/>
    </row>
    <row r="176" spans="1:11" x14ac:dyDescent="0.3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1478713.888528944</v>
      </c>
      <c r="J176" s="30">
        <f t="shared" si="2"/>
        <v>0.98199999999999998</v>
      </c>
      <c r="K176" s="10"/>
    </row>
    <row r="177" spans="1:11" ht="18" x14ac:dyDescent="0.35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3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44361.416655868321</v>
      </c>
      <c r="J178" s="30">
        <f>IFERROR((I178/I$176),0)</f>
        <v>3.0000000000000002E-2</v>
      </c>
      <c r="K178" s="10"/>
    </row>
    <row r="179" spans="1:11" x14ac:dyDescent="0.3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107706.24431326847</v>
      </c>
      <c r="J179" s="30">
        <f t="shared" ref="J179:J196" si="3">IFERROR((I179/I$176),0)</f>
        <v>7.2837785016286641E-2</v>
      </c>
      <c r="K179" s="10"/>
    </row>
    <row r="180" spans="1:11" x14ac:dyDescent="0.3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14787.13888528944</v>
      </c>
      <c r="J180" s="30">
        <f t="shared" si="3"/>
        <v>0.01</v>
      </c>
      <c r="K180" s="10"/>
    </row>
    <row r="181" spans="1:11" x14ac:dyDescent="0.3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8.1151601354998125E-3</v>
      </c>
      <c r="K181" s="10"/>
    </row>
    <row r="182" spans="1:11" x14ac:dyDescent="0.3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246261.59999999998</v>
      </c>
      <c r="J182" s="30">
        <f t="shared" si="3"/>
        <v>0.16653769326870005</v>
      </c>
      <c r="K182" s="10"/>
    </row>
    <row r="183" spans="1:11" x14ac:dyDescent="0.3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14787.13888528944</v>
      </c>
      <c r="J183" s="30">
        <f t="shared" si="3"/>
        <v>0.01</v>
      </c>
      <c r="K183" s="10"/>
    </row>
    <row r="184" spans="1:11" x14ac:dyDescent="0.3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14787.13888528944</v>
      </c>
      <c r="J184" s="30">
        <f t="shared" si="3"/>
        <v>0.01</v>
      </c>
      <c r="K184" s="10"/>
    </row>
    <row r="185" spans="1:11" x14ac:dyDescent="0.3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22180.70832793416</v>
      </c>
      <c r="J185" s="30">
        <f t="shared" si="3"/>
        <v>1.5000000000000001E-2</v>
      </c>
      <c r="K185" s="10"/>
    </row>
    <row r="186" spans="1:11" x14ac:dyDescent="0.3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14787.13888528944</v>
      </c>
      <c r="J186" s="30">
        <f t="shared" si="3"/>
        <v>0.01</v>
      </c>
      <c r="K186" s="10"/>
    </row>
    <row r="187" spans="1:11" x14ac:dyDescent="0.3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1.6230320270999625E-2</v>
      </c>
      <c r="K187" s="10"/>
    </row>
    <row r="188" spans="1:11" x14ac:dyDescent="0.3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14787.13888528944</v>
      </c>
      <c r="J188" s="30">
        <f t="shared" si="3"/>
        <v>0.01</v>
      </c>
      <c r="K188" s="10"/>
    </row>
    <row r="189" spans="1:11" x14ac:dyDescent="0.3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118297.11108231552</v>
      </c>
      <c r="J189" s="30">
        <f t="shared" si="3"/>
        <v>0.08</v>
      </c>
      <c r="K189" s="10"/>
    </row>
    <row r="190" spans="1:11" x14ac:dyDescent="0.3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648742.7748058337</v>
      </c>
      <c r="J190" s="30">
        <f t="shared" si="3"/>
        <v>0.43872095869148614</v>
      </c>
      <c r="K190" s="10"/>
    </row>
    <row r="191" spans="1:11" x14ac:dyDescent="0.3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829971.11372311029</v>
      </c>
      <c r="J191" s="30">
        <f t="shared" si="3"/>
        <v>0.5612790413085138</v>
      </c>
      <c r="K191" s="10"/>
    </row>
    <row r="192" spans="1:11" ht="18" x14ac:dyDescent="0.35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3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185510.62753718346</v>
      </c>
      <c r="J193" s="30">
        <f t="shared" si="3"/>
        <v>0.12545403744177541</v>
      </c>
      <c r="K193" s="10"/>
    </row>
    <row r="194" spans="1:11" x14ac:dyDescent="0.3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185510.62753718346</v>
      </c>
      <c r="J195" s="30">
        <f t="shared" si="3"/>
        <v>0.12545403744177541</v>
      </c>
      <c r="K195" s="10"/>
    </row>
    <row r="196" spans="1:11" x14ac:dyDescent="0.3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644460.48618592683</v>
      </c>
      <c r="J196" s="30">
        <f t="shared" si="3"/>
        <v>0.43582500386673845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5.8" x14ac:dyDescent="0.5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9" t="s">
        <v>183</v>
      </c>
      <c r="D208" s="119"/>
      <c r="E208" s="153" t="str">
        <f>CustomerName</f>
        <v>Dave Kingsley</v>
      </c>
      <c r="F208" s="154"/>
      <c r="G208" s="154"/>
      <c r="H208" s="154"/>
      <c r="I208" s="155"/>
      <c r="J208" s="10"/>
      <c r="K208" s="10"/>
    </row>
    <row r="209" spans="1:11" x14ac:dyDescent="0.3">
      <c r="A209" s="10"/>
      <c r="B209" s="10"/>
      <c r="C209" s="120" t="s">
        <v>184</v>
      </c>
      <c r="D209" s="121"/>
      <c r="E209" s="153" t="str">
        <f>CompanyName</f>
        <v>Express Car Wash</v>
      </c>
      <c r="F209" s="154"/>
      <c r="G209" s="154"/>
      <c r="H209" s="154"/>
      <c r="I209" s="155"/>
      <c r="J209" s="10"/>
      <c r="K209" s="10"/>
    </row>
    <row r="210" spans="1:11" x14ac:dyDescent="0.3">
      <c r="A210" s="10"/>
      <c r="B210" s="10"/>
      <c r="C210" s="122" t="s">
        <v>128</v>
      </c>
      <c r="D210" s="123"/>
      <c r="E210" s="158" t="str">
        <f>AddressLine1</f>
        <v>MacMillan Oil Company, LLC</v>
      </c>
      <c r="F210" s="159"/>
      <c r="G210" s="159"/>
      <c r="H210" s="159"/>
      <c r="I210" s="160"/>
      <c r="J210" s="10"/>
      <c r="K210" s="10"/>
    </row>
    <row r="211" spans="1:11" x14ac:dyDescent="0.3">
      <c r="A211" s="10"/>
      <c r="B211" s="10"/>
      <c r="C211" s="124"/>
      <c r="D211" s="125"/>
      <c r="E211" s="161" t="str">
        <f>AddressLine2</f>
        <v>6751 W Indiantown Rd.</v>
      </c>
      <c r="F211" s="162"/>
      <c r="G211" s="162"/>
      <c r="H211" s="162"/>
      <c r="I211" s="163"/>
      <c r="J211" s="10"/>
      <c r="K211" s="10"/>
    </row>
    <row r="212" spans="1:11" x14ac:dyDescent="0.3">
      <c r="A212" s="10"/>
      <c r="B212" s="10"/>
      <c r="C212" s="126"/>
      <c r="D212" s="127"/>
      <c r="E212" s="164" t="str">
        <f>AddressLine3</f>
        <v>Jupiter, FL 33458</v>
      </c>
      <c r="F212" s="165"/>
      <c r="G212" s="165"/>
      <c r="H212" s="165"/>
      <c r="I212" s="166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4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3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3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129478.405546875</v>
      </c>
      <c r="J217" s="177"/>
      <c r="K217" s="10"/>
    </row>
    <row r="218" spans="1:11" ht="18" x14ac:dyDescent="0.35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7.6" x14ac:dyDescent="0.3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3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10</v>
      </c>
      <c r="G220" s="139">
        <f>'Input Form'!$D$19</f>
        <v>0.35</v>
      </c>
      <c r="H220" s="140"/>
      <c r="I220" s="20">
        <f>I$217*F220*G220</f>
        <v>453174.41941406246</v>
      </c>
      <c r="J220" s="30">
        <f>IFERROR((I220/I$225),0)</f>
        <v>0.2280130293159609</v>
      </c>
      <c r="K220" s="10"/>
    </row>
    <row r="221" spans="1:11" x14ac:dyDescent="0.3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0</v>
      </c>
      <c r="G221" s="139">
        <f>'Input Form'!$D$20</f>
        <v>0</v>
      </c>
      <c r="H221" s="140"/>
      <c r="I221" s="20">
        <f>I$217*F221*G221</f>
        <v>0</v>
      </c>
      <c r="J221" s="30">
        <f t="shared" ref="J221:J227" si="4">IFERROR((I221/I$225),0)</f>
        <v>0</v>
      </c>
      <c r="K221" s="10"/>
    </row>
    <row r="222" spans="1:11" x14ac:dyDescent="0.3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0.35</v>
      </c>
      <c r="H222" s="140"/>
      <c r="I222" s="20">
        <f>I$217*F222*G222</f>
        <v>679761.62912109378</v>
      </c>
      <c r="J222" s="30">
        <f t="shared" si="4"/>
        <v>0.34201954397394141</v>
      </c>
      <c r="K222" s="10"/>
    </row>
    <row r="223" spans="1:11" x14ac:dyDescent="0.3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0.18</v>
      </c>
      <c r="H223" s="140"/>
      <c r="I223" s="20">
        <f>I$217*F223*G223</f>
        <v>466122.25996874995</v>
      </c>
      <c r="J223" s="30">
        <f t="shared" si="4"/>
        <v>0.23452768729641693</v>
      </c>
      <c r="K223" s="10"/>
    </row>
    <row r="224" spans="1:11" x14ac:dyDescent="0.3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0.12</v>
      </c>
      <c r="H224" s="140"/>
      <c r="I224" s="20">
        <f>I$217*F224*G224</f>
        <v>388435.21664062497</v>
      </c>
      <c r="J224" s="30">
        <f t="shared" si="4"/>
        <v>0.19543973941368079</v>
      </c>
      <c r="K224" s="10"/>
    </row>
    <row r="225" spans="1:11" x14ac:dyDescent="0.3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1987493.5251445312</v>
      </c>
      <c r="J225" s="30">
        <f t="shared" si="4"/>
        <v>1</v>
      </c>
      <c r="K225" s="10"/>
    </row>
    <row r="226" spans="1:11" x14ac:dyDescent="0.3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0.6</v>
      </c>
      <c r="H226" s="179"/>
      <c r="I226" s="20">
        <f>-(I225*F226*G226)</f>
        <v>-35774.883452601556</v>
      </c>
      <c r="J226" s="30">
        <f t="shared" si="4"/>
        <v>-1.7999999999999999E-2</v>
      </c>
      <c r="K226" s="10"/>
    </row>
    <row r="227" spans="1:11" x14ac:dyDescent="0.3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1951718.6416919297</v>
      </c>
      <c r="J227" s="30">
        <f t="shared" si="4"/>
        <v>0.98199999999999998</v>
      </c>
      <c r="K227" s="10"/>
    </row>
    <row r="228" spans="1:11" ht="18" x14ac:dyDescent="0.35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3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58551.559250757891</v>
      </c>
      <c r="J229" s="30">
        <f>IFERROR((I229/I$227),0)</f>
        <v>3.0000000000000002E-2</v>
      </c>
      <c r="K229" s="10"/>
    </row>
    <row r="230" spans="1:11" x14ac:dyDescent="0.3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142158.86283583575</v>
      </c>
      <c r="J230" s="30">
        <f t="shared" ref="J230:J247" si="5">IFERROR((I230/I$227),0)</f>
        <v>7.2837785016286641E-2</v>
      </c>
      <c r="K230" s="10"/>
    </row>
    <row r="231" spans="1:11" x14ac:dyDescent="0.3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19517.186416919296</v>
      </c>
      <c r="J231" s="30">
        <f t="shared" si="5"/>
        <v>0.01</v>
      </c>
      <c r="K231" s="10"/>
    </row>
    <row r="232" spans="1:11" x14ac:dyDescent="0.3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6.1484272085433863E-3</v>
      </c>
      <c r="K232" s="10"/>
    </row>
    <row r="233" spans="1:11" x14ac:dyDescent="0.3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246261.59999999998</v>
      </c>
      <c r="J233" s="30">
        <f t="shared" si="5"/>
        <v>0.12617679348828564</v>
      </c>
      <c r="K233" s="10"/>
    </row>
    <row r="234" spans="1:11" x14ac:dyDescent="0.3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19517.186416919296</v>
      </c>
      <c r="J234" s="30">
        <f t="shared" si="5"/>
        <v>0.01</v>
      </c>
      <c r="K234" s="10"/>
    </row>
    <row r="235" spans="1:11" x14ac:dyDescent="0.3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19517.186416919296</v>
      </c>
      <c r="J235" s="30">
        <f t="shared" si="5"/>
        <v>0.01</v>
      </c>
      <c r="K235" s="10"/>
    </row>
    <row r="236" spans="1:11" x14ac:dyDescent="0.3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29275.779625378946</v>
      </c>
      <c r="J236" s="30">
        <f t="shared" si="5"/>
        <v>1.5000000000000001E-2</v>
      </c>
      <c r="K236" s="10"/>
    </row>
    <row r="237" spans="1:11" x14ac:dyDescent="0.3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19517.186416919296</v>
      </c>
      <c r="J237" s="30">
        <f t="shared" si="5"/>
        <v>0.01</v>
      </c>
      <c r="K237" s="10"/>
    </row>
    <row r="238" spans="1:11" x14ac:dyDescent="0.3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1.2296854417086773E-2</v>
      </c>
      <c r="K238" s="10"/>
    </row>
    <row r="239" spans="1:11" x14ac:dyDescent="0.3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19517.186416919296</v>
      </c>
      <c r="J239" s="30">
        <f t="shared" si="5"/>
        <v>0.01</v>
      </c>
      <c r="K239" s="10"/>
    </row>
    <row r="240" spans="1:11" x14ac:dyDescent="0.3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156137.49133535437</v>
      </c>
      <c r="J240" s="30">
        <f t="shared" si="5"/>
        <v>0.08</v>
      </c>
      <c r="K240" s="10"/>
    </row>
    <row r="241" spans="1:11" x14ac:dyDescent="0.3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765971.22513192345</v>
      </c>
      <c r="J241" s="30">
        <f t="shared" si="5"/>
        <v>0.39245986013020245</v>
      </c>
      <c r="K241" s="10"/>
    </row>
    <row r="242" spans="1:11" x14ac:dyDescent="0.3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1185747.4165600063</v>
      </c>
      <c r="J242" s="30">
        <f t="shared" si="5"/>
        <v>0.6075401398697976</v>
      </c>
      <c r="K242" s="10"/>
    </row>
    <row r="243" spans="1:11" ht="18" x14ac:dyDescent="0.35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3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185510.62753718346</v>
      </c>
      <c r="J244" s="30">
        <f t="shared" si="5"/>
        <v>9.5049882485298054E-2</v>
      </c>
      <c r="K244" s="10"/>
    </row>
    <row r="245" spans="1:11" x14ac:dyDescent="0.3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185510.62753718346</v>
      </c>
      <c r="J246" s="30">
        <f t="shared" si="5"/>
        <v>9.5049882485298054E-2</v>
      </c>
      <c r="K246" s="10"/>
    </row>
    <row r="247" spans="1:11" x14ac:dyDescent="0.3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1000236.7890228229</v>
      </c>
      <c r="J247" s="30">
        <f t="shared" si="5"/>
        <v>0.51249025738449949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5.8" x14ac:dyDescent="0.5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9" t="s">
        <v>183</v>
      </c>
      <c r="D259" s="119"/>
      <c r="E259" s="153" t="str">
        <f>CustomerName</f>
        <v>Dave Kingsley</v>
      </c>
      <c r="F259" s="154"/>
      <c r="G259" s="154"/>
      <c r="H259" s="154"/>
      <c r="I259" s="155"/>
      <c r="J259" s="10"/>
      <c r="K259" s="10"/>
    </row>
    <row r="260" spans="1:11" x14ac:dyDescent="0.3">
      <c r="A260" s="10"/>
      <c r="B260" s="10"/>
      <c r="C260" s="120" t="s">
        <v>184</v>
      </c>
      <c r="D260" s="121"/>
      <c r="E260" s="153" t="str">
        <f>CompanyName</f>
        <v>Express Car Wash</v>
      </c>
      <c r="F260" s="154"/>
      <c r="G260" s="154"/>
      <c r="H260" s="154"/>
      <c r="I260" s="155"/>
      <c r="J260" s="10"/>
      <c r="K260" s="10"/>
    </row>
    <row r="261" spans="1:11" x14ac:dyDescent="0.3">
      <c r="A261" s="10"/>
      <c r="B261" s="10"/>
      <c r="C261" s="122" t="s">
        <v>128</v>
      </c>
      <c r="D261" s="123"/>
      <c r="E261" s="158" t="str">
        <f>AddressLine1</f>
        <v>MacMillan Oil Company, LLC</v>
      </c>
      <c r="F261" s="159"/>
      <c r="G261" s="159"/>
      <c r="H261" s="159"/>
      <c r="I261" s="160"/>
      <c r="J261" s="10"/>
      <c r="K261" s="10"/>
    </row>
    <row r="262" spans="1:11" x14ac:dyDescent="0.3">
      <c r="A262" s="10"/>
      <c r="B262" s="10"/>
      <c r="C262" s="124"/>
      <c r="D262" s="125"/>
      <c r="E262" s="161" t="str">
        <f>AddressLine2</f>
        <v>6751 W Indiantown Rd.</v>
      </c>
      <c r="F262" s="162"/>
      <c r="G262" s="162"/>
      <c r="H262" s="162"/>
      <c r="I262" s="163"/>
      <c r="J262" s="10"/>
      <c r="K262" s="10"/>
    </row>
    <row r="263" spans="1:11" x14ac:dyDescent="0.3">
      <c r="A263" s="10"/>
      <c r="B263" s="10"/>
      <c r="C263" s="126"/>
      <c r="D263" s="127"/>
      <c r="E263" s="164" t="str">
        <f>AddressLine3</f>
        <v>Jupiter, FL 33458</v>
      </c>
      <c r="F263" s="165"/>
      <c r="G263" s="165"/>
      <c r="H263" s="165"/>
      <c r="I263" s="166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4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3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3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142944.15972375002</v>
      </c>
      <c r="J268" s="177"/>
      <c r="K268" s="10"/>
    </row>
    <row r="269" spans="1:11" ht="18" x14ac:dyDescent="0.35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7.6" x14ac:dyDescent="0.3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3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10</v>
      </c>
      <c r="G271" s="139">
        <f>'Input Form'!$D$19</f>
        <v>0.35</v>
      </c>
      <c r="H271" s="140"/>
      <c r="I271" s="20">
        <f>I$268*F271*G271</f>
        <v>500304.55903312512</v>
      </c>
      <c r="J271" s="30">
        <f>IFERROR((I271/I$276),0)</f>
        <v>0.22801302931596093</v>
      </c>
      <c r="K271" s="10"/>
    </row>
    <row r="272" spans="1:11" x14ac:dyDescent="0.3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0</v>
      </c>
      <c r="G272" s="139">
        <f>'Input Form'!$D$20</f>
        <v>0</v>
      </c>
      <c r="H272" s="140"/>
      <c r="I272" s="20">
        <f t="shared" ref="I272:I275" si="6">I$268*F272*G272</f>
        <v>0</v>
      </c>
      <c r="J272" s="30">
        <f t="shared" ref="J272:J278" si="7">IFERROR((I272/I$276),0)</f>
        <v>0</v>
      </c>
      <c r="K272" s="10"/>
    </row>
    <row r="273" spans="1:11" x14ac:dyDescent="0.3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0.35</v>
      </c>
      <c r="H273" s="140"/>
      <c r="I273" s="20">
        <f t="shared" si="6"/>
        <v>750456.83854968764</v>
      </c>
      <c r="J273" s="30">
        <f t="shared" si="7"/>
        <v>0.34201954397394141</v>
      </c>
      <c r="K273" s="10"/>
    </row>
    <row r="274" spans="1:11" x14ac:dyDescent="0.3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0.18</v>
      </c>
      <c r="H274" s="140"/>
      <c r="I274" s="20">
        <f t="shared" si="6"/>
        <v>514598.97500550014</v>
      </c>
      <c r="J274" s="30">
        <f t="shared" si="7"/>
        <v>0.23452768729641699</v>
      </c>
      <c r="K274" s="10"/>
    </row>
    <row r="275" spans="1:11" x14ac:dyDescent="0.3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0.12</v>
      </c>
      <c r="H275" s="140"/>
      <c r="I275" s="20">
        <f t="shared" si="6"/>
        <v>428832.47917125002</v>
      </c>
      <c r="J275" s="30">
        <f t="shared" si="7"/>
        <v>0.19543973941368076</v>
      </c>
      <c r="K275" s="10"/>
    </row>
    <row r="276" spans="1:11" x14ac:dyDescent="0.3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2194192.8517595627</v>
      </c>
      <c r="J276" s="30">
        <f t="shared" si="7"/>
        <v>1</v>
      </c>
      <c r="K276" s="10"/>
    </row>
    <row r="277" spans="1:11" x14ac:dyDescent="0.3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0.6</v>
      </c>
      <c r="H277" s="179"/>
      <c r="I277" s="20">
        <f>-(I276*F277*G277)</f>
        <v>-39495.471331672125</v>
      </c>
      <c r="J277" s="30">
        <f t="shared" si="7"/>
        <v>-1.7999999999999999E-2</v>
      </c>
      <c r="K277" s="10"/>
    </row>
    <row r="278" spans="1:11" x14ac:dyDescent="0.3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2154697.3804278905</v>
      </c>
      <c r="J278" s="30">
        <f t="shared" si="7"/>
        <v>0.98199999999999998</v>
      </c>
      <c r="K278" s="10"/>
    </row>
    <row r="279" spans="1:11" ht="18" x14ac:dyDescent="0.35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3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64640.921412836709</v>
      </c>
      <c r="J280" s="30">
        <f>IFERROR((I280/I$278),0)</f>
        <v>0.03</v>
      </c>
      <c r="K280" s="10"/>
    </row>
    <row r="281" spans="1:11" x14ac:dyDescent="0.3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156943.38457076269</v>
      </c>
      <c r="J281" s="30">
        <f t="shared" ref="J281:J298" si="8">IFERROR((I281/I$278),0)</f>
        <v>7.2837785016286641E-2</v>
      </c>
      <c r="K281" s="10"/>
    </row>
    <row r="282" spans="1:11" x14ac:dyDescent="0.3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21546.973804278907</v>
      </c>
      <c r="J282" s="30">
        <f t="shared" si="8"/>
        <v>0.01</v>
      </c>
      <c r="K282" s="10"/>
    </row>
    <row r="283" spans="1:11" x14ac:dyDescent="0.3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5.5692275439704576E-3</v>
      </c>
      <c r="K283" s="10"/>
    </row>
    <row r="284" spans="1:11" x14ac:dyDescent="0.3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246261.59999999998</v>
      </c>
      <c r="J284" s="30">
        <f t="shared" si="8"/>
        <v>0.11429057381185294</v>
      </c>
      <c r="K284" s="10"/>
    </row>
    <row r="285" spans="1:11" x14ac:dyDescent="0.3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21546.973804278907</v>
      </c>
      <c r="J285" s="30">
        <f t="shared" si="8"/>
        <v>0.01</v>
      </c>
      <c r="K285" s="10"/>
    </row>
    <row r="286" spans="1:11" x14ac:dyDescent="0.3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21546.973804278907</v>
      </c>
      <c r="J286" s="30">
        <f t="shared" si="8"/>
        <v>0.01</v>
      </c>
      <c r="K286" s="10"/>
    </row>
    <row r="287" spans="1:11" x14ac:dyDescent="0.3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32320.460706418355</v>
      </c>
      <c r="J287" s="30">
        <f t="shared" si="8"/>
        <v>1.4999999999999999E-2</v>
      </c>
      <c r="K287" s="10"/>
    </row>
    <row r="288" spans="1:11" x14ac:dyDescent="0.3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21546.973804278907</v>
      </c>
      <c r="J288" s="30">
        <f t="shared" si="8"/>
        <v>0.01</v>
      </c>
      <c r="K288" s="10"/>
    </row>
    <row r="289" spans="1:11" x14ac:dyDescent="0.3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1.1138455087940915E-2</v>
      </c>
      <c r="K289" s="10"/>
    </row>
    <row r="290" spans="1:11" x14ac:dyDescent="0.3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21546.973804278907</v>
      </c>
      <c r="J290" s="30">
        <f t="shared" si="8"/>
        <v>0.01</v>
      </c>
      <c r="K290" s="10"/>
    </row>
    <row r="291" spans="1:11" x14ac:dyDescent="0.3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172375.79043423125</v>
      </c>
      <c r="J291" s="30">
        <f t="shared" si="8"/>
        <v>0.08</v>
      </c>
      <c r="K291" s="10"/>
    </row>
    <row r="292" spans="1:11" x14ac:dyDescent="0.3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816277.02614564344</v>
      </c>
      <c r="J292" s="30">
        <f t="shared" si="8"/>
        <v>0.37883604146005095</v>
      </c>
      <c r="K292" s="10"/>
    </row>
    <row r="293" spans="1:11" x14ac:dyDescent="0.3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1338420.3542822469</v>
      </c>
      <c r="J293" s="30">
        <f t="shared" si="8"/>
        <v>0.62116395853994899</v>
      </c>
      <c r="K293" s="10"/>
    </row>
    <row r="294" spans="1:11" ht="18" x14ac:dyDescent="0.35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3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185510.62753718346</v>
      </c>
      <c r="J295" s="30">
        <f t="shared" si="8"/>
        <v>8.6095908048277228E-2</v>
      </c>
      <c r="K295" s="10"/>
    </row>
    <row r="296" spans="1:11" x14ac:dyDescent="0.3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185510.62753718346</v>
      </c>
      <c r="J297" s="30">
        <f t="shared" si="8"/>
        <v>8.6095908048277228E-2</v>
      </c>
      <c r="K297" s="10"/>
    </row>
    <row r="298" spans="1:11" x14ac:dyDescent="0.3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1152909.7267450634</v>
      </c>
      <c r="J298" s="30">
        <f t="shared" si="8"/>
        <v>0.53506805049167183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5.8" x14ac:dyDescent="0.5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9" t="s">
        <v>183</v>
      </c>
      <c r="D310" s="119"/>
      <c r="E310" s="153" t="str">
        <f>CustomerName</f>
        <v>Dave Kingsley</v>
      </c>
      <c r="F310" s="154"/>
      <c r="G310" s="154"/>
      <c r="H310" s="154"/>
      <c r="I310" s="155"/>
      <c r="J310" s="10"/>
      <c r="K310" s="10"/>
    </row>
    <row r="311" spans="1:11" x14ac:dyDescent="0.3">
      <c r="A311" s="10"/>
      <c r="B311" s="10"/>
      <c r="C311" s="120" t="s">
        <v>184</v>
      </c>
      <c r="D311" s="121"/>
      <c r="E311" s="153" t="str">
        <f>CompanyName</f>
        <v>Express Car Wash</v>
      </c>
      <c r="F311" s="154"/>
      <c r="G311" s="154"/>
      <c r="H311" s="154"/>
      <c r="I311" s="155"/>
      <c r="J311" s="10"/>
      <c r="K311" s="10"/>
    </row>
    <row r="312" spans="1:11" x14ac:dyDescent="0.3">
      <c r="A312" s="10"/>
      <c r="B312" s="10"/>
      <c r="C312" s="122" t="s">
        <v>128</v>
      </c>
      <c r="D312" s="123"/>
      <c r="E312" s="158" t="str">
        <f>AddressLine1</f>
        <v>MacMillan Oil Company, LLC</v>
      </c>
      <c r="F312" s="159"/>
      <c r="G312" s="159"/>
      <c r="H312" s="159"/>
      <c r="I312" s="160"/>
      <c r="J312" s="10"/>
      <c r="K312" s="10"/>
    </row>
    <row r="313" spans="1:11" x14ac:dyDescent="0.3">
      <c r="A313" s="10"/>
      <c r="B313" s="10"/>
      <c r="C313" s="124"/>
      <c r="D313" s="125"/>
      <c r="E313" s="161" t="str">
        <f>AddressLine2</f>
        <v>6751 W Indiantown Rd.</v>
      </c>
      <c r="F313" s="162"/>
      <c r="G313" s="162"/>
      <c r="H313" s="162"/>
      <c r="I313" s="163"/>
      <c r="J313" s="10"/>
      <c r="K313" s="10"/>
    </row>
    <row r="314" spans="1:11" x14ac:dyDescent="0.3">
      <c r="A314" s="10"/>
      <c r="B314" s="10"/>
      <c r="C314" s="126"/>
      <c r="D314" s="127"/>
      <c r="E314" s="164" t="str">
        <f>AddressLine3</f>
        <v>Jupiter, FL 33458</v>
      </c>
      <c r="F314" s="165"/>
      <c r="G314" s="165"/>
      <c r="H314" s="165"/>
      <c r="I314" s="166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4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3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3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148173.82410388722</v>
      </c>
      <c r="J319" s="177"/>
      <c r="K319" s="10"/>
    </row>
    <row r="320" spans="1:11" ht="18" x14ac:dyDescent="0.35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7.6" x14ac:dyDescent="0.3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3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10</v>
      </c>
      <c r="G322" s="139">
        <f>'Input Form'!$D$19</f>
        <v>0.35</v>
      </c>
      <c r="H322" s="140"/>
      <c r="I322" s="20">
        <f>I$319*F322*G322</f>
        <v>518608.38436360523</v>
      </c>
      <c r="J322" s="30">
        <f>IFERROR((I322/I$327),0)</f>
        <v>0.2280130293159609</v>
      </c>
      <c r="K322" s="10"/>
    </row>
    <row r="323" spans="1:11" x14ac:dyDescent="0.3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0</v>
      </c>
      <c r="G323" s="139">
        <f>'Input Form'!$D$20</f>
        <v>0</v>
      </c>
      <c r="H323" s="140"/>
      <c r="I323" s="20">
        <f>I$319*F323*G323</f>
        <v>0</v>
      </c>
      <c r="J323" s="30">
        <f t="shared" ref="J323:J329" si="9">IFERROR((I323/I$327),0)</f>
        <v>0</v>
      </c>
      <c r="K323" s="10"/>
    </row>
    <row r="324" spans="1:11" x14ac:dyDescent="0.3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0.35</v>
      </c>
      <c r="H324" s="140"/>
      <c r="I324" s="20">
        <f>I$319*F324*G324</f>
        <v>777912.57654540788</v>
      </c>
      <c r="J324" s="30">
        <f t="shared" si="9"/>
        <v>0.34201954397394135</v>
      </c>
      <c r="K324" s="10"/>
    </row>
    <row r="325" spans="1:11" x14ac:dyDescent="0.3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0.18</v>
      </c>
      <c r="H325" s="140"/>
      <c r="I325" s="20">
        <f>I$319*F325*G325</f>
        <v>533425.76677399396</v>
      </c>
      <c r="J325" s="30">
        <f t="shared" si="9"/>
        <v>0.23452768729641693</v>
      </c>
      <c r="K325" s="10"/>
    </row>
    <row r="326" spans="1:11" x14ac:dyDescent="0.3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0.12</v>
      </c>
      <c r="H326" s="140"/>
      <c r="I326" s="20">
        <f>I$319*F326*G326</f>
        <v>444521.4723116617</v>
      </c>
      <c r="J326" s="30">
        <f t="shared" si="9"/>
        <v>0.19543973941368079</v>
      </c>
      <c r="K326" s="10"/>
    </row>
    <row r="327" spans="1:11" x14ac:dyDescent="0.3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2274468.1999946688</v>
      </c>
      <c r="J327" s="30">
        <f t="shared" si="9"/>
        <v>1</v>
      </c>
      <c r="K327" s="10"/>
    </row>
    <row r="328" spans="1:11" x14ac:dyDescent="0.3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0.6</v>
      </c>
      <c r="H328" s="179"/>
      <c r="I328" s="20">
        <f>-(I327*F328*G328)</f>
        <v>-40940.427599904033</v>
      </c>
      <c r="J328" s="30">
        <f t="shared" si="9"/>
        <v>-1.7999999999999999E-2</v>
      </c>
      <c r="K328" s="10"/>
    </row>
    <row r="329" spans="1:11" x14ac:dyDescent="0.3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2233527.7723947647</v>
      </c>
      <c r="J329" s="30">
        <f t="shared" si="9"/>
        <v>0.98199999999999998</v>
      </c>
      <c r="K329" s="10"/>
    </row>
    <row r="330" spans="1:11" ht="18" x14ac:dyDescent="0.35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3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67005.83317184294</v>
      </c>
      <c r="J331" s="30">
        <f>IFERROR((I331/I$329),0)</f>
        <v>0.03</v>
      </c>
      <c r="K331" s="10"/>
    </row>
    <row r="332" spans="1:11" x14ac:dyDescent="0.3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162685.21571359548</v>
      </c>
      <c r="J332" s="30">
        <f t="shared" ref="J332:J344" si="10">IFERROR((I332/I$329),0)</f>
        <v>7.2837785016286641E-2</v>
      </c>
      <c r="K332" s="10"/>
    </row>
    <row r="333" spans="1:11" x14ac:dyDescent="0.3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22335.277723947649</v>
      </c>
      <c r="J333" s="30">
        <f t="shared" si="10"/>
        <v>0.01</v>
      </c>
      <c r="K333" s="10"/>
    </row>
    <row r="334" spans="1:11" x14ac:dyDescent="0.3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5.3726665718303234E-3</v>
      </c>
      <c r="K334" s="10"/>
    </row>
    <row r="335" spans="1:11" x14ac:dyDescent="0.3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246261.59999999998</v>
      </c>
      <c r="J335" s="30">
        <f t="shared" si="10"/>
        <v>0.11025678885378752</v>
      </c>
      <c r="K335" s="10"/>
    </row>
    <row r="336" spans="1:11" x14ac:dyDescent="0.3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22335.277723947649</v>
      </c>
      <c r="J336" s="30">
        <f t="shared" si="10"/>
        <v>0.01</v>
      </c>
      <c r="K336" s="10"/>
    </row>
    <row r="337" spans="1:11" x14ac:dyDescent="0.3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22335.277723947649</v>
      </c>
      <c r="J337" s="30">
        <f t="shared" si="10"/>
        <v>0.01</v>
      </c>
      <c r="K337" s="10"/>
    </row>
    <row r="338" spans="1:11" x14ac:dyDescent="0.3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33502.91658592147</v>
      </c>
      <c r="J338" s="30">
        <f t="shared" si="10"/>
        <v>1.4999999999999999E-2</v>
      </c>
      <c r="K338" s="10"/>
    </row>
    <row r="339" spans="1:11" x14ac:dyDescent="0.3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22335.277723947649</v>
      </c>
      <c r="J339" s="30">
        <f t="shared" si="10"/>
        <v>0.01</v>
      </c>
      <c r="K339" s="10"/>
    </row>
    <row r="340" spans="1:11" x14ac:dyDescent="0.3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1.0745333143660647E-2</v>
      </c>
      <c r="K340" s="10"/>
    </row>
    <row r="341" spans="1:11" x14ac:dyDescent="0.3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22335.277723947649</v>
      </c>
      <c r="J341" s="30">
        <f t="shared" si="10"/>
        <v>0.01</v>
      </c>
      <c r="K341" s="10"/>
    </row>
    <row r="342" spans="1:11" x14ac:dyDescent="0.3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178682.22179158119</v>
      </c>
      <c r="J342" s="30">
        <f t="shared" si="10"/>
        <v>0.08</v>
      </c>
      <c r="K342" s="10"/>
    </row>
    <row r="343" spans="1:11" x14ac:dyDescent="0.3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835814.17588267918</v>
      </c>
      <c r="J343" s="30">
        <f t="shared" si="10"/>
        <v>0.37421257358556509</v>
      </c>
      <c r="K343" s="10"/>
    </row>
    <row r="344" spans="1:11" x14ac:dyDescent="0.3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1397713.5965120855</v>
      </c>
      <c r="J344" s="30">
        <f t="shared" si="10"/>
        <v>0.62578742641443486</v>
      </c>
      <c r="K344" s="10"/>
    </row>
    <row r="345" spans="1:11" ht="18" x14ac:dyDescent="0.35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3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185510.62753718346</v>
      </c>
      <c r="J346" s="30">
        <f t="shared" ref="J346:J349" si="11">IFERROR((I346/I$329),0)</f>
        <v>8.3057228940690966E-2</v>
      </c>
      <c r="K346" s="10"/>
    </row>
    <row r="347" spans="1:11" x14ac:dyDescent="0.3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185510.62753718346</v>
      </c>
      <c r="J348" s="30">
        <f t="shared" si="11"/>
        <v>8.3057228940690966E-2</v>
      </c>
      <c r="K348" s="10"/>
    </row>
    <row r="349" spans="1:11" x14ac:dyDescent="0.3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1212202.9689749021</v>
      </c>
      <c r="J349" s="30">
        <f t="shared" si="11"/>
        <v>0.54273019747374396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5.8" x14ac:dyDescent="0.5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9" t="s">
        <v>183</v>
      </c>
      <c r="D361" s="119"/>
      <c r="E361" s="153" t="str">
        <f>CustomerName</f>
        <v>Dave Kingsley</v>
      </c>
      <c r="F361" s="154"/>
      <c r="G361" s="154"/>
      <c r="H361" s="154"/>
      <c r="I361" s="155"/>
      <c r="J361" s="10"/>
      <c r="K361" s="10"/>
    </row>
    <row r="362" spans="1:11" x14ac:dyDescent="0.3">
      <c r="A362" s="10"/>
      <c r="B362" s="10"/>
      <c r="C362" s="120" t="s">
        <v>184</v>
      </c>
      <c r="D362" s="121"/>
      <c r="E362" s="153" t="str">
        <f>CompanyName</f>
        <v>Express Car Wash</v>
      </c>
      <c r="F362" s="154"/>
      <c r="G362" s="154"/>
      <c r="H362" s="154"/>
      <c r="I362" s="155"/>
      <c r="J362" s="10"/>
      <c r="K362" s="10"/>
    </row>
    <row r="363" spans="1:11" x14ac:dyDescent="0.3">
      <c r="A363" s="10"/>
      <c r="B363" s="10"/>
      <c r="C363" s="122" t="s">
        <v>128</v>
      </c>
      <c r="D363" s="123"/>
      <c r="E363" s="158" t="str">
        <f>AddressLine1</f>
        <v>MacMillan Oil Company, LLC</v>
      </c>
      <c r="F363" s="159"/>
      <c r="G363" s="159"/>
      <c r="H363" s="159"/>
      <c r="I363" s="160"/>
      <c r="J363" s="10"/>
      <c r="K363" s="10"/>
    </row>
    <row r="364" spans="1:11" x14ac:dyDescent="0.3">
      <c r="A364" s="10"/>
      <c r="B364" s="10"/>
      <c r="C364" s="124"/>
      <c r="D364" s="125"/>
      <c r="E364" s="161" t="str">
        <f>AddressLine2</f>
        <v>6751 W Indiantown Rd.</v>
      </c>
      <c r="F364" s="162"/>
      <c r="G364" s="162"/>
      <c r="H364" s="162"/>
      <c r="I364" s="163"/>
      <c r="J364" s="10"/>
      <c r="K364" s="10"/>
    </row>
    <row r="365" spans="1:11" x14ac:dyDescent="0.3">
      <c r="A365" s="10"/>
      <c r="B365" s="10"/>
      <c r="C365" s="126"/>
      <c r="D365" s="127"/>
      <c r="E365" s="164" t="str">
        <f>AddressLine3</f>
        <v>Jupiter, FL 33458</v>
      </c>
      <c r="F365" s="165"/>
      <c r="G365" s="165"/>
      <c r="H365" s="165"/>
      <c r="I365" s="166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4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3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3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158304.3874133635</v>
      </c>
      <c r="J370" s="177"/>
      <c r="K370" s="10"/>
    </row>
    <row r="371" spans="1:11" ht="18" x14ac:dyDescent="0.35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7.6" x14ac:dyDescent="0.3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3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10</v>
      </c>
      <c r="G373" s="139">
        <f>'Input Form'!$D$19</f>
        <v>0.35</v>
      </c>
      <c r="H373" s="140"/>
      <c r="I373" s="20">
        <f>I$370*F373*G373</f>
        <v>554065.35594677215</v>
      </c>
      <c r="J373" s="30">
        <f>IFERROR((I373/I$378),0)</f>
        <v>0.22801302931596093</v>
      </c>
      <c r="K373" s="10"/>
    </row>
    <row r="374" spans="1:11" x14ac:dyDescent="0.3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0</v>
      </c>
      <c r="G374" s="139">
        <f>'Input Form'!$D$20</f>
        <v>0</v>
      </c>
      <c r="H374" s="140"/>
      <c r="I374" s="20">
        <f t="shared" ref="I374:I377" si="12">I$370*F374*G374</f>
        <v>0</v>
      </c>
      <c r="J374" s="30">
        <f t="shared" ref="J374:J380" si="13">IFERROR((I374/I$378),0)</f>
        <v>0</v>
      </c>
      <c r="K374" s="10"/>
    </row>
    <row r="375" spans="1:11" x14ac:dyDescent="0.3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0.35</v>
      </c>
      <c r="H375" s="140"/>
      <c r="I375" s="20">
        <f t="shared" si="12"/>
        <v>831098.03392015828</v>
      </c>
      <c r="J375" s="30">
        <f t="shared" si="13"/>
        <v>0.34201954397394141</v>
      </c>
      <c r="K375" s="10"/>
    </row>
    <row r="376" spans="1:11" x14ac:dyDescent="0.3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0.18</v>
      </c>
      <c r="H376" s="140"/>
      <c r="I376" s="20">
        <f t="shared" si="12"/>
        <v>569895.79468810849</v>
      </c>
      <c r="J376" s="30">
        <f t="shared" si="13"/>
        <v>0.23452768729641696</v>
      </c>
      <c r="K376" s="10"/>
    </row>
    <row r="377" spans="1:11" x14ac:dyDescent="0.3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0.12</v>
      </c>
      <c r="H377" s="140"/>
      <c r="I377" s="20">
        <f t="shared" si="12"/>
        <v>474913.16224009049</v>
      </c>
      <c r="J377" s="30">
        <f t="shared" si="13"/>
        <v>0.19543973941368081</v>
      </c>
      <c r="K377" s="10"/>
    </row>
    <row r="378" spans="1:11" x14ac:dyDescent="0.3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2429972.3467951291</v>
      </c>
      <c r="J378" s="30">
        <f t="shared" si="13"/>
        <v>1</v>
      </c>
      <c r="K378" s="10"/>
    </row>
    <row r="379" spans="1:11" x14ac:dyDescent="0.3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0.6</v>
      </c>
      <c r="H379" s="179"/>
      <c r="I379" s="20">
        <f>-(I378*F379*G379)</f>
        <v>-43739.502242312323</v>
      </c>
      <c r="J379" s="30">
        <f t="shared" si="13"/>
        <v>-1.7999999999999999E-2</v>
      </c>
      <c r="K379" s="10"/>
    </row>
    <row r="380" spans="1:11" x14ac:dyDescent="0.3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2386232.8445528168</v>
      </c>
      <c r="J380" s="30">
        <f t="shared" si="13"/>
        <v>0.98199999999999998</v>
      </c>
      <c r="K380" s="10"/>
    </row>
    <row r="381" spans="1:11" ht="18" x14ac:dyDescent="0.35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3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71586.985336584505</v>
      </c>
      <c r="J382" s="30">
        <f>IFERROR((I382/I$380),0)</f>
        <v>0.03</v>
      </c>
      <c r="K382" s="10"/>
    </row>
    <row r="383" spans="1:11" x14ac:dyDescent="0.3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173807.91493034022</v>
      </c>
      <c r="J383" s="30">
        <f t="shared" ref="J383:J395" si="14">IFERROR((I383/I$380),0)</f>
        <v>7.2837785016286641E-2</v>
      </c>
      <c r="K383" s="10"/>
    </row>
    <row r="384" spans="1:11" x14ac:dyDescent="0.3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23862.328445528168</v>
      </c>
      <c r="J384" s="30">
        <f t="shared" si="14"/>
        <v>0.01</v>
      </c>
      <c r="K384" s="10"/>
    </row>
    <row r="385" spans="1:11" x14ac:dyDescent="0.3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5.0288470496050088E-3</v>
      </c>
      <c r="K385" s="10"/>
    </row>
    <row r="386" spans="1:11" x14ac:dyDescent="0.3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246261.59999999998</v>
      </c>
      <c r="J386" s="30">
        <f t="shared" si="14"/>
        <v>0.10320099338258405</v>
      </c>
      <c r="K386" s="10"/>
    </row>
    <row r="387" spans="1:11" x14ac:dyDescent="0.3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23862.328445528168</v>
      </c>
      <c r="J387" s="30">
        <f t="shared" si="14"/>
        <v>0.01</v>
      </c>
      <c r="K387" s="10"/>
    </row>
    <row r="388" spans="1:11" x14ac:dyDescent="0.3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23862.328445528168</v>
      </c>
      <c r="J388" s="30">
        <f t="shared" si="14"/>
        <v>0.01</v>
      </c>
      <c r="K388" s="10"/>
    </row>
    <row r="389" spans="1:11" x14ac:dyDescent="0.3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35793.492668292252</v>
      </c>
      <c r="J389" s="30">
        <f t="shared" si="14"/>
        <v>1.4999999999999999E-2</v>
      </c>
      <c r="K389" s="10"/>
    </row>
    <row r="390" spans="1:11" x14ac:dyDescent="0.3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23862.328445528168</v>
      </c>
      <c r="J390" s="30">
        <f t="shared" si="14"/>
        <v>0.01</v>
      </c>
      <c r="K390" s="10"/>
    </row>
    <row r="391" spans="1:11" x14ac:dyDescent="0.3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1.0057694099210018E-2</v>
      </c>
      <c r="K391" s="10"/>
    </row>
    <row r="392" spans="1:11" x14ac:dyDescent="0.3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23862.328445528168</v>
      </c>
      <c r="J392" s="30">
        <f t="shared" si="14"/>
        <v>0.01</v>
      </c>
      <c r="K392" s="10"/>
    </row>
    <row r="393" spans="1:11" x14ac:dyDescent="0.3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190898.62756422535</v>
      </c>
      <c r="J393" s="30">
        <f t="shared" si="14"/>
        <v>0.08</v>
      </c>
      <c r="K393" s="10"/>
    </row>
    <row r="394" spans="1:11" x14ac:dyDescent="0.3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873660.26272708317</v>
      </c>
      <c r="J394" s="30">
        <f t="shared" si="14"/>
        <v>0.36612531954768573</v>
      </c>
      <c r="K394" s="10"/>
    </row>
    <row r="395" spans="1:11" x14ac:dyDescent="0.3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1512572.5818257337</v>
      </c>
      <c r="J395" s="30">
        <f t="shared" si="14"/>
        <v>0.63387468045231421</v>
      </c>
      <c r="K395" s="10"/>
    </row>
    <row r="396" spans="1:11" ht="18" x14ac:dyDescent="0.35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3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185510.62753718346</v>
      </c>
      <c r="J397" s="30">
        <f t="shared" ref="J397:J400" si="15">IFERROR((I397/I$380),0)</f>
        <v>7.7742047663394889E-2</v>
      </c>
      <c r="K397" s="10"/>
    </row>
    <row r="398" spans="1:11" x14ac:dyDescent="0.3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185510.62753718346</v>
      </c>
      <c r="J399" s="30">
        <f t="shared" si="15"/>
        <v>7.7742047663394889E-2</v>
      </c>
      <c r="K399" s="10"/>
    </row>
    <row r="400" spans="1:11" x14ac:dyDescent="0.3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1327061.9542885502</v>
      </c>
      <c r="J400" s="30">
        <f t="shared" si="15"/>
        <v>0.55613263278891933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5.8" x14ac:dyDescent="0.5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9" t="s">
        <v>183</v>
      </c>
      <c r="D412" s="119"/>
      <c r="E412" s="153" t="str">
        <f>CustomerName</f>
        <v>Dave Kingsley</v>
      </c>
      <c r="F412" s="154"/>
      <c r="G412" s="154"/>
      <c r="H412" s="154"/>
      <c r="I412" s="155"/>
      <c r="J412" s="10"/>
      <c r="K412" s="10"/>
    </row>
    <row r="413" spans="1:11" x14ac:dyDescent="0.3">
      <c r="A413" s="10"/>
      <c r="B413" s="10"/>
      <c r="C413" s="120" t="s">
        <v>184</v>
      </c>
      <c r="D413" s="121"/>
      <c r="E413" s="153" t="str">
        <f>CompanyName</f>
        <v>Express Car Wash</v>
      </c>
      <c r="F413" s="154"/>
      <c r="G413" s="154"/>
      <c r="H413" s="154"/>
      <c r="I413" s="155"/>
      <c r="J413" s="10"/>
      <c r="K413" s="10"/>
    </row>
    <row r="414" spans="1:11" x14ac:dyDescent="0.3">
      <c r="A414" s="10"/>
      <c r="B414" s="10"/>
      <c r="C414" s="122" t="s">
        <v>128</v>
      </c>
      <c r="D414" s="123"/>
      <c r="E414" s="158" t="str">
        <f>AddressLine1</f>
        <v>MacMillan Oil Company, LLC</v>
      </c>
      <c r="F414" s="159"/>
      <c r="G414" s="159"/>
      <c r="H414" s="159"/>
      <c r="I414" s="160"/>
      <c r="J414" s="10"/>
      <c r="K414" s="10"/>
    </row>
    <row r="415" spans="1:11" x14ac:dyDescent="0.3">
      <c r="A415" s="10"/>
      <c r="B415" s="10"/>
      <c r="C415" s="124"/>
      <c r="D415" s="125"/>
      <c r="E415" s="161" t="str">
        <f>AddressLine2</f>
        <v>6751 W Indiantown Rd.</v>
      </c>
      <c r="F415" s="162"/>
      <c r="G415" s="162"/>
      <c r="H415" s="162"/>
      <c r="I415" s="163"/>
      <c r="J415" s="10"/>
      <c r="K415" s="10"/>
    </row>
    <row r="416" spans="1:11" x14ac:dyDescent="0.3">
      <c r="A416" s="10"/>
      <c r="B416" s="10"/>
      <c r="C416" s="126"/>
      <c r="D416" s="127"/>
      <c r="E416" s="164" t="str">
        <f>AddressLine3</f>
        <v>Jupiter, FL 33458</v>
      </c>
      <c r="F416" s="165"/>
      <c r="G416" s="165"/>
      <c r="H416" s="165"/>
      <c r="I416" s="166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4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3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473000</v>
      </c>
      <c r="J420" s="182"/>
      <c r="K420" s="10"/>
    </row>
    <row r="421" spans="1:11" x14ac:dyDescent="0.3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1.3624957424649615</v>
      </c>
      <c r="J421" s="184"/>
      <c r="K421" s="10"/>
    </row>
    <row r="422" spans="1:11" x14ac:dyDescent="0.3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2.114665515904488</v>
      </c>
      <c r="J422" s="180"/>
      <c r="K422" s="10"/>
    </row>
    <row r="423" spans="1:11" x14ac:dyDescent="0.3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2.4374412827591194</v>
      </c>
      <c r="J423" s="180"/>
      <c r="K423" s="10"/>
    </row>
    <row r="424" spans="1:11" x14ac:dyDescent="0.3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2.5627969745769601</v>
      </c>
      <c r="J424" s="180"/>
      <c r="K424" s="10"/>
    </row>
    <row r="425" spans="1:11" x14ac:dyDescent="0.3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2.805627810335201</v>
      </c>
      <c r="J425" s="180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56A2+xmFxCFfbqf/sSfkWQgeFKGpD/OWkiiDORuZmqig7KXHh2PWvxUOw5oOdlMBRa8vTS72vJw8i49YJ2Skqw==" saltValue="wVNpvM6qsYUlH3HEktLya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2021-11-08T16:44:00Z</cp:lastPrinted>
  <dcterms:created xsi:type="dcterms:W3CDTF">2003-04-06T16:14:55Z</dcterms:created>
  <dcterms:modified xsi:type="dcterms:W3CDTF">2021-11-09T14:01:26Z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