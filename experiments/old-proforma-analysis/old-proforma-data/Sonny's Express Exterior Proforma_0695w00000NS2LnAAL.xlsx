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Josh Kingsley\FL\8714 Atlantic Blvd., Jacksonville\"/>
    </mc:Choice>
  </mc:AlternateContent>
  <xr:revisionPtr revIDLastSave="0" documentId="8_{A1AFBA41-D115-4F8D-BCBC-E313E4F67D79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<sst xmlns="http://schemas.openxmlformats.org/spreadsheetml/2006/main" count="431" uniqueCount="198">
  <si>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</si>
  <si>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</si>
  <si>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</si>
  <si>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</si>
  <si>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</si>
  <si>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</si>
  <si>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</si>
  <si>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</si>
  <si>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</si>
  <si>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</si>
  <si>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</si>
  <si>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</si>
  <si>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</si>
  <si>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</si>
  <si>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</si>
  <si>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</si>
  <si>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</si>
  <si>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</si>
  <si>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</si>
  <si>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</si>
  <si>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</si>
  <si>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</si>
  <si>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</si>
  <si>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</si>
  <si>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</si>
  <si>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</si>
  <si>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</si>
  <si>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</si>
  <si>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</si>
  <si>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</si>
  <si>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</si>
  <si>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</si>
  <si>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</si>
  <si>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</si>
  <si>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</si>
  <si>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</si>
  <si>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</si>
  <si>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</si>
  <si>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</si>
  <si>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</si>
  <si>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</si>
  <si>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</si>
  <si>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</si>
  <si>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</si>
  <si>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</si>
  <si>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</si>
  <si>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</si>
  <si>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</si>
  <si>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</si>
  <si>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</si>
  <si>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</si>
  <si>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</si>
  <si>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</si>
  <si>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</si>
  <si>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</si>
  <si>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</si>
  <si>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</si>
  <si>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</si>
  <si>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</si>
  <si>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</si>
  <si>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</si>
  <si>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</si>
  <si>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</si>
  <si>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</si>
  <si>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</si>
  <si>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</si>
  <si>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</si>
  <si>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</si>
  <si>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</si>
  <si>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</si>
  <si>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</si>
  <si>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</si>
  <si>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</si>
  <si>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</si>
  <si>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</si>
  <si>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</si>
  <si>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</si>
  <si>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</si>
  <si>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</si>
  <si>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</si>
  <si>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</si>
  <si>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</si>
  <si>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</si>
  <si>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</si>
  <si>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</si>
  <si>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</si>
  <si>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</si>
  <si>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</si>
  <si>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</si>
  <si>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</si>
  <si>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</si>
  <si>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</si>
  <si>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</si>
  <si>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</si>
  <si>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</si>
  <si>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</si>
  <si>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</si>
  <si>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</si>
  <si>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</si>
  <si>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</si>
  <si>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</si>
  <si>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</si>
  <si>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</si>
  <si>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</si>
  <si>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</si>
  <si>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</si>
  <si>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</si>
  <si>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</si>
  <si>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</si>
  <si>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</si>
  <si>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</si>
  <si>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</si>
  <si>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</si>
  <si>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</si>
  <si>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</si>
  <si>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</si>
  <si>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</si>
  <si>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</si>
  <si>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</si>
  <si>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</si>
  <si>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</si>
  <si>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</si>
  <si>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</si>
  <si>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</si>
  <si>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</si>
  <si>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</si>
  <si>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</si>
  <si>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</si>
  <si>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</si>
  <si>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</si>
  <si>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</si>
  <si>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</si>
  <si>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</si>
  <si>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</si>
  <si>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</si>
  <si>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</si>
  <si>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</si>
  <si>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</si>
  <si>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</si>
  <si>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</si>
  <si>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</si>
  <si>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</si>
  <si>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</si>
  <si>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</si>
  <si>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</si>
  <si>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</si>
  <si>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</si>
  <si>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</si>
  <si>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</si>
  <si>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</si>
  <si>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</si>
  <si>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</si>
  <si>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</si>
  <si>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</si>
  <si>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</si>
  <si>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</si>
  <si>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</si>
  <si>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</si>
  <si>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</si>
  <si>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</si>
  <si>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</si>
  <si>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</si>
  <si>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</si>
  <si>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</si>
  <si>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</si>
  <si>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</si>
  <si>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</si>
  <si>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</si>
  <si>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</si>
  <si>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</si>
  <si>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</si>
  <si>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</si>
  <si>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</si>
  <si>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</si>
  <si>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</si>
  <si>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</si>
  <si>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</si>
  <si>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</si>
  <si>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</si>
  <si>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</si>
  <si>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</si>
  <si>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</si>
  <si>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</si>
  <si>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</si>
  <si>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</si>
  <si>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</si>
  <si>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</si>
  <si>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</si>
  <si>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</si>
  <si>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</si>
  <si>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</si>
  <si>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</si>
  <si>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 </t>
    </r>
  </si>
  <si>
    <t>Josh Kingsley</t>
  </si>
  <si>
    <t>LUV Car Wash</t>
  </si>
  <si>
    <t>Zips Car Wash</t>
  </si>
  <si>
    <t>8714 Atlantic Blvd.</t>
  </si>
  <si>
    <t>Jacksonville, FL 32211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</si>
</sst>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32</xdr:row>
      <xdr:rowOff>190500</xdr:rowOff>
    </xdr:from>
    <xdr:to>
      <xdr:col>5</xdr:col>
      <xdr:colOff>714376</xdr:colOff>
      <xdr:row>39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35AB2-5552-492D-A8A8-2F95EED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5895975"/>
          <a:ext cx="1000126" cy="100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22" zoomScaleNormal="100" workbookViewId="0">
      <selection activeCell="H42" sqref="H42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193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194</v>
      </c>
      <c r="C3" s="87"/>
      <c r="D3" s="88"/>
      <c r="E3" s="34"/>
      <c r="F3" s="34"/>
    </row>
    <row r="4" spans="1:9" ht="15.75" x14ac:dyDescent="0.25">
      <c r="A4" s="35" t="s">
        <v>12</v>
      </c>
      <c r="B4" s="86" t="s">
        <v>195</v>
      </c>
      <c r="C4" s="87"/>
      <c r="D4" s="88"/>
      <c r="E4" s="34"/>
      <c r="F4" s="34"/>
    </row>
    <row r="5" spans="1:9" ht="15.75" x14ac:dyDescent="0.25">
      <c r="A5" s="35" t="s">
        <v>13</v>
      </c>
      <c r="B5" s="86" t="s">
        <v>196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197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29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30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>
        <v>1</v>
      </c>
      <c r="C49" s="54"/>
      <c r="D49" s="54"/>
      <c r="E49" s="54"/>
      <c r="F49" s="51">
        <f>IF(B49=1,0.15,IF(C49=1,0.1,IF(D49=1,0.05,IF(E49=1,0,0))))</f>
        <v>0.15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1.0249999999999999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2.44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0.52500000000000002</v>
      </c>
      <c r="F58" s="61">
        <f>-0.3*(0.55-E58)</f>
        <v>-7.5000000000000067E-3</v>
      </c>
    </row>
    <row r="59" spans="1:8" ht="15.75" x14ac:dyDescent="0.25">
      <c r="A59" s="83" t="s">
        <v>3</v>
      </c>
      <c r="B59" s="84"/>
      <c r="C59" s="84"/>
      <c r="D59" s="85"/>
      <c r="E59" s="45">
        <v>0.66400000000000003</v>
      </c>
      <c r="F59" s="61">
        <f>-0.75*(0.5-E59)</f>
        <v>0.12300000000000003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2.8875000000000005E-2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8.6849154411764683E-3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1.1463009510869563E-2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1.3876274671052629E-2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32000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83375.188235294088</v>
      </c>
      <c r="C74" s="68">
        <f>F65*A70*300</f>
        <v>110044.89130434781</v>
      </c>
      <c r="D74" s="68">
        <f>($F$54*(1+$F$61))/85*($A$70*(1+B$70))*300</f>
        <v>120298.48588235292</v>
      </c>
      <c r="E74" s="68">
        <f>($F$54*(1+$F$61))/82*($A$70*(1+C$70))*300</f>
        <v>124699.64999999998</v>
      </c>
      <c r="F74" s="68">
        <f>F66*(A70*(1+D70)*300)</f>
        <v>134544.35921052628</v>
      </c>
    </row>
    <row r="75" spans="1:6" ht="15.75" x14ac:dyDescent="0.25">
      <c r="A75" s="35" t="s">
        <v>105</v>
      </c>
      <c r="B75" s="68">
        <f>B74/12</f>
        <v>6947.932352941174</v>
      </c>
      <c r="C75" s="68">
        <f>C74/12</f>
        <v>9170.4076086956502</v>
      </c>
      <c r="D75" s="68">
        <f t="shared" ref="D75:F75" si="0">D74/12</f>
        <v>10024.873823529409</v>
      </c>
      <c r="E75" s="68">
        <f t="shared" si="0"/>
        <v>10391.637499999999</v>
      </c>
      <c r="F75" s="68">
        <f t="shared" si="0"/>
        <v>11212.029934210523</v>
      </c>
    </row>
    <row r="76" spans="1:6" ht="15.75" x14ac:dyDescent="0.25">
      <c r="A76" s="35" t="s">
        <v>106</v>
      </c>
      <c r="B76" s="68">
        <f>B75/4.5/7*3</f>
        <v>661.70784313725471</v>
      </c>
      <c r="C76" s="68">
        <f t="shared" ref="C76:F76" si="1">C75/4.5/7*3</f>
        <v>873.37215320910946</v>
      </c>
      <c r="D76" s="68">
        <f t="shared" si="1"/>
        <v>954.74988795518186</v>
      </c>
      <c r="E76" s="68">
        <f t="shared" si="1"/>
        <v>989.67976190476202</v>
      </c>
      <c r="F76" s="68">
        <f t="shared" si="1"/>
        <v>1067.8123746867163</v>
      </c>
    </row>
    <row r="77" spans="1:6" ht="15.75" x14ac:dyDescent="0.25">
      <c r="A77" s="35" t="s">
        <v>107</v>
      </c>
      <c r="B77" s="68">
        <f>IFERROR((B76/$B9*1.3),0)</f>
        <v>71.685016339869264</v>
      </c>
      <c r="C77" s="68">
        <f t="shared" ref="C77:F77" si="2">IFERROR((C76/$B9*1.3),0)</f>
        <v>94.615316597653532</v>
      </c>
      <c r="D77" s="68">
        <f t="shared" si="2"/>
        <v>103.43123786181137</v>
      </c>
      <c r="E77" s="68">
        <f t="shared" si="2"/>
        <v>107.21530753968256</v>
      </c>
      <c r="F77" s="68">
        <f t="shared" si="2"/>
        <v>115.67967392439427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E32" sqref="E32:G32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Josh Kingsley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LUV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Zips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8714 Atlantic Blvd.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Jacksonville, FL 32211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192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Josh Kingsley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LUV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 t="str">
        <f>AddressLine1</f>
        <v>Zips Car Wash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8714 Atlantic Blvd.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Jacksonville, FL 32211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2120.9619200905904</v>
      </c>
      <c r="J65" s="18">
        <f>'Input Form'!B75</f>
        <v>6947.932352941174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0.4</v>
      </c>
      <c r="H70" s="140"/>
      <c r="I70" s="20">
        <f>IFERROR((I$65*G70*F70),0)</f>
        <v>8483.8476803623616</v>
      </c>
      <c r="J70" s="20">
        <f t="shared" ref="J70:J73" si="0">J$65*F70*G70</f>
        <v>27791.7294117647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0.3</v>
      </c>
      <c r="H71" s="140"/>
      <c r="I71" s="20">
        <f>IFERROR((I$65*G71*F71),0)</f>
        <v>10180.617216434834</v>
      </c>
      <c r="J71" s="20">
        <f t="shared" si="0"/>
        <v>33350.075294117632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22</v>
      </c>
      <c r="G73" s="139">
        <f>'Input Form'!D23</f>
        <v>0.3</v>
      </c>
      <c r="H73" s="140"/>
      <c r="I73" s="20">
        <f t="shared" si="1"/>
        <v>13998.348672597896</v>
      </c>
      <c r="J73" s="20">
        <f t="shared" si="0"/>
        <v>45856.353529411746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32662.81356939509</v>
      </c>
      <c r="J74" s="20">
        <f>SUM(J69:J73)</f>
        <v>106998.15823529407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-734.91330531138954</v>
      </c>
      <c r="J75" s="20">
        <f>-(J74*$F75*$G75)</f>
        <v>-2407.4585602941165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31927.900264083699</v>
      </c>
      <c r="J76" s="20">
        <f>SUM(J74:J75)</f>
        <v>104590.69967499995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15.053499999999998</v>
      </c>
      <c r="J77" s="22">
        <f>J76/(J65+0.000000001)</f>
        <v>15.053499999997831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957.83700792251091</v>
      </c>
      <c r="J80" s="20">
        <f>$G80*J76</f>
        <v>3137.7209902499985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8.4863636363636363E-2</v>
      </c>
      <c r="H81" s="131"/>
      <c r="I81" s="20">
        <f>G81*I76</f>
        <v>2709.5177178656486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9080.25279205882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319.27900264083701</v>
      </c>
      <c r="J82" s="20">
        <f>$G82*J76</f>
        <v>1045.9069967499995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3.0615856098110163E-2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0.63163572716011074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319.27900264083701</v>
      </c>
      <c r="J85" s="20">
        <f>$G85*J76</f>
        <v>1045.9069967499995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319.27900264083701</v>
      </c>
      <c r="J86" s="20">
        <f>$G86*J76</f>
        <v>1045.9069967499995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478.91850396125545</v>
      </c>
      <c r="J87" s="20">
        <f>$G87*J76</f>
        <v>1568.8604951249993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319.27900264083701</v>
      </c>
      <c r="J88" s="20">
        <f>$G88*J76</f>
        <v>1045.9069967499995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6.1231712196220325E-2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319.27900264083701</v>
      </c>
      <c r="J90" s="20">
        <f>$G90*J76</f>
        <v>1045.9069967499995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2554.2320211266961</v>
      </c>
      <c r="J91" s="20">
        <f>$G91*J76</f>
        <v>8367.2559739999961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31927.900264080297</v>
      </c>
      <c r="J92" s="20">
        <f>SUM(J80:J91)</f>
        <v>51014.625235183805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3.4015101846307516E-9</v>
      </c>
      <c r="J93" s="24">
        <f>J76-J92</f>
        <v>53576.074439816148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Josh Kingsley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LUV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 t="str">
        <f>AddressLine1</f>
        <v>Zips Car Wash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8714 Atlantic Blvd.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Jacksonville, FL 32211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31927.900264083699</v>
      </c>
      <c r="H138" s="167"/>
      <c r="I138" s="167">
        <f>J76</f>
        <v>104590.69967499995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31927.900264080297</v>
      </c>
      <c r="H139" s="167"/>
      <c r="I139" s="167">
        <f>J92</f>
        <v>51014.625235183805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3.4015101846307516E-9</v>
      </c>
      <c r="H140" s="167"/>
      <c r="I140" s="167">
        <f>J93</f>
        <v>53576.074439816148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3.4015101846307516E-9</v>
      </c>
      <c r="H143" s="167"/>
      <c r="I143" s="167">
        <f>I140-I141-I142</f>
        <v>53576.074439816148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Josh Kingsley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LUV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 t="str">
        <f>AddressLine1</f>
        <v>Zips Car Wash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8714 Atlantic Blvd.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Jacksonville, FL 32211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83375.188235294088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0.4</v>
      </c>
      <c r="H170" s="140"/>
      <c r="I170" s="20">
        <f>I$166*F170*G170</f>
        <v>333500.75294117635</v>
      </c>
      <c r="J170" s="30">
        <f t="shared" ref="J170:J176" si="2">IFERROR((I170/I$174),0)</f>
        <v>0.25974025974025972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0.3</v>
      </c>
      <c r="H171" s="140"/>
      <c r="I171" s="20">
        <f>I$166*F171*G171</f>
        <v>400200.90352941159</v>
      </c>
      <c r="J171" s="30">
        <f t="shared" si="2"/>
        <v>0.31168831168831163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22</v>
      </c>
      <c r="G173" s="139">
        <f>'Input Form'!$D$23</f>
        <v>0.3</v>
      </c>
      <c r="H173" s="140"/>
      <c r="I173" s="20">
        <f>I$166*F173*G173</f>
        <v>550276.24235294096</v>
      </c>
      <c r="J173" s="30">
        <f t="shared" si="2"/>
        <v>0.42857142857142855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1283977.898823529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-28889.502723529404</v>
      </c>
      <c r="J175" s="30">
        <f t="shared" si="2"/>
        <v>-2.2499999999999999E-2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1255088.3960999995</v>
      </c>
      <c r="J176" s="30">
        <f t="shared" si="2"/>
        <v>0.97749999999999992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37652.651882999984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106511.36525084997</v>
      </c>
      <c r="J179" s="30">
        <f t="shared" ref="J179:J196" si="3">IFERROR((I179/I$176),0)</f>
        <v>8.4863636363636363E-2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12550.883960999996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9.5610795520763431E-3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0.19725463223888703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12550.883960999996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12550.883960999996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18826.325941499992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12550.883960999996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1.9122159104152686E-2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12550.883960999996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100407.07168799997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609723.83456834999</v>
      </c>
      <c r="J190" s="30">
        <f t="shared" si="3"/>
        <v>0.48580150725875254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645364.56153164955</v>
      </c>
      <c r="J191" s="30">
        <f t="shared" si="3"/>
        <v>0.51419849274124751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645364.56153164955</v>
      </c>
      <c r="J196" s="30">
        <f t="shared" si="3"/>
        <v>0.51419849274124751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Josh Kingsley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LUV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 t="str">
        <f>AddressLine1</f>
        <v>Zips Car Wash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8714 Atlantic Blvd.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Jacksonville, FL 32211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110044.89130434781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0.4</v>
      </c>
      <c r="H221" s="140"/>
      <c r="I221" s="20">
        <f>I$217*F221*G221</f>
        <v>440179.56521739124</v>
      </c>
      <c r="J221" s="30">
        <f t="shared" ref="J221:J227" si="4">IFERROR((I221/I$225),0)</f>
        <v>0.25974025974025972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0.3</v>
      </c>
      <c r="H222" s="140"/>
      <c r="I222" s="20">
        <f>I$217*F222*G222</f>
        <v>528215.47826086951</v>
      </c>
      <c r="J222" s="30">
        <f t="shared" si="4"/>
        <v>0.31168831168831168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22</v>
      </c>
      <c r="G224" s="139">
        <f>'Input Form'!$D$23</f>
        <v>0.3</v>
      </c>
      <c r="H224" s="140"/>
      <c r="I224" s="20">
        <f>I$217*F224*G224</f>
        <v>726296.28260869556</v>
      </c>
      <c r="J224" s="30">
        <f t="shared" si="4"/>
        <v>0.42857142857142855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1694691.3260869563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-38130.554836956515</v>
      </c>
      <c r="J226" s="30">
        <f t="shared" si="4"/>
        <v>-2.2499999999999999E-2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1656560.7712499998</v>
      </c>
      <c r="J227" s="30">
        <f t="shared" si="4"/>
        <v>0.97749999999999992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49696.823137499989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140581.77090562499</v>
      </c>
      <c r="J230" s="30">
        <f t="shared" ref="J230:J247" si="5">IFERROR((I230/I$227),0)</f>
        <v>8.4863636363636363E-2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16565.607712499997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7.243923801808428E-3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0.14944939195510967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16565.607712499997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16565.607712499997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24848.411568749994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16565.607712499997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1.4487847603616856E-2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16565.607712499997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132524.86169999998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714051.90587437502</v>
      </c>
      <c r="J241" s="30">
        <f t="shared" si="5"/>
        <v>0.43104479972417137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942508.86537562474</v>
      </c>
      <c r="J242" s="30">
        <f t="shared" si="5"/>
        <v>0.56895520027582858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942508.86537562474</v>
      </c>
      <c r="J247" s="30">
        <f t="shared" si="5"/>
        <v>0.56895520027582858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Josh Kingsley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LUV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 t="str">
        <f>AddressLine1</f>
        <v>Zips Car Wash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8714 Atlantic Blvd.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Jacksonville, FL 32211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120298.48588235292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0.4</v>
      </c>
      <c r="H272" s="140"/>
      <c r="I272" s="20">
        <f t="shared" ref="I272:I275" si="6">I$268*F272*G272</f>
        <v>481193.94352941168</v>
      </c>
      <c r="J272" s="30">
        <f t="shared" ref="J272:J278" si="7">IFERROR((I272/I$276),0)</f>
        <v>0.25974025974025983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0.3</v>
      </c>
      <c r="H273" s="140"/>
      <c r="I273" s="20">
        <f t="shared" si="6"/>
        <v>577432.73223529395</v>
      </c>
      <c r="J273" s="30">
        <f t="shared" si="7"/>
        <v>0.31168831168831174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22</v>
      </c>
      <c r="G275" s="139">
        <f>'Input Form'!$D$23</f>
        <v>0.3</v>
      </c>
      <c r="H275" s="140"/>
      <c r="I275" s="20">
        <f t="shared" si="6"/>
        <v>793970.00682352914</v>
      </c>
      <c r="J275" s="30">
        <f t="shared" si="7"/>
        <v>0.4285714285714286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1852596.6825882345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-41683.425358235276</v>
      </c>
      <c r="J277" s="30">
        <f t="shared" si="7"/>
        <v>-2.2499999999999999E-2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1810913.2572299992</v>
      </c>
      <c r="J278" s="30">
        <f t="shared" si="7"/>
        <v>0.97749999999999992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54327.39771689997</v>
      </c>
      <c r="J280" s="30">
        <f>IFERROR((I280/I$278),0)</f>
        <v>2.9999999999999995E-2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153680.68414765492</v>
      </c>
      <c r="J281" s="30">
        <f t="shared" ref="J281:J298" si="8">IFERROR((I281/I$278),0)</f>
        <v>8.4863636363636349E-2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18109.132572299994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6.6264907786667731E-3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0.13671113125467421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18109.132572299994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18109.132572299994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27163.698858449985</v>
      </c>
      <c r="J287" s="30">
        <f t="shared" si="8"/>
        <v>1.4999999999999998E-2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18109.132572299994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1.3252981557333546E-2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18109.132572299994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144873.06057839995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754162.50416290481</v>
      </c>
      <c r="J292" s="30">
        <f t="shared" si="8"/>
        <v>0.41645423995431091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1056750.7530670944</v>
      </c>
      <c r="J293" s="30">
        <f t="shared" si="8"/>
        <v>0.58354576004568914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1056750.7530670944</v>
      </c>
      <c r="J298" s="30">
        <f t="shared" si="8"/>
        <v>0.58354576004568914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Josh Kingsley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LUV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 t="str">
        <f>AddressLine1</f>
        <v>Zips Car Wash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8714 Atlantic Blvd.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Jacksonville, FL 32211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124699.64999999998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0.4</v>
      </c>
      <c r="H323" s="140"/>
      <c r="I323" s="20">
        <f>I$319*F323*G323</f>
        <v>498798.59999999992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0.3</v>
      </c>
      <c r="H324" s="140"/>
      <c r="I324" s="20">
        <f>I$319*F324*G324</f>
        <v>598558.31999999983</v>
      </c>
      <c r="J324" s="30">
        <f t="shared" si="9"/>
        <v>0.31168831168831168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22</v>
      </c>
      <c r="G326" s="139">
        <f>'Input Form'!$D$23</f>
        <v>0.3</v>
      </c>
      <c r="H326" s="140"/>
      <c r="I326" s="20">
        <f>I$319*F326*G326</f>
        <v>823017.68999999983</v>
      </c>
      <c r="J326" s="30">
        <f t="shared" si="9"/>
        <v>0.4285714285714286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1920374.6099999994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-43208.428724999991</v>
      </c>
      <c r="J328" s="30">
        <f t="shared" si="9"/>
        <v>-2.2500000000000003E-2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1877166.1812749994</v>
      </c>
      <c r="J329" s="30">
        <f t="shared" si="9"/>
        <v>0.97750000000000004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56314.985438249983</v>
      </c>
      <c r="J331" s="30">
        <f>IFERROR((I331/I$329),0)</f>
        <v>3.0000000000000002E-2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159303.14820183744</v>
      </c>
      <c r="J332" s="30">
        <f t="shared" ref="J332:J344" si="10">IFERROR((I332/I$329),0)</f>
        <v>8.4863636363636363E-2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18771.661812749993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6.3926146335373567E-3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0.1318860325045092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18771.661812749993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18771.661812749993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28157.492719124992</v>
      </c>
      <c r="J338" s="30">
        <f t="shared" si="10"/>
        <v>1.5000000000000001E-2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18771.661812749993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1.2785229267074713E-2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18771.661812749993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150173.29450199995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771379.22992496239</v>
      </c>
      <c r="J343" s="30">
        <f t="shared" si="10"/>
        <v>0.41092751276875766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1105786.951350037</v>
      </c>
      <c r="J344" s="30">
        <f t="shared" si="10"/>
        <v>0.58907248723124228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1105786.951350037</v>
      </c>
      <c r="J349" s="30">
        <f t="shared" si="11"/>
        <v>0.58907248723124228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Josh Kingsley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LUV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 t="str">
        <f>AddressLine1</f>
        <v>Zips Car Wash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8714 Atlantic Blvd.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Jacksonville, FL 32211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134544.35921052628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0.4</v>
      </c>
      <c r="H374" s="140"/>
      <c r="I374" s="20">
        <f t="shared" ref="I374:I377" si="12">I$370*F374*G374</f>
        <v>538177.43684210523</v>
      </c>
      <c r="J374" s="30">
        <f t="shared" ref="J374:J380" si="13">IFERROR((I374/I$378),0)</f>
        <v>0.25974025974025977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0.3</v>
      </c>
      <c r="H375" s="140"/>
      <c r="I375" s="20">
        <f t="shared" si="12"/>
        <v>645812.92421052617</v>
      </c>
      <c r="J375" s="30">
        <f t="shared" si="13"/>
        <v>0.31168831168831168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22</v>
      </c>
      <c r="G377" s="139">
        <f>'Input Form'!$D$23</f>
        <v>0.3</v>
      </c>
      <c r="H377" s="140"/>
      <c r="I377" s="20">
        <f t="shared" si="12"/>
        <v>887992.77078947343</v>
      </c>
      <c r="J377" s="30">
        <f t="shared" si="13"/>
        <v>0.42857142857142855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2071983.1318421047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-46619.620466447355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2025363.5113756573</v>
      </c>
      <c r="J380" s="30">
        <f t="shared" si="13"/>
        <v>0.97749999999999992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60760.905341269718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171879.71253356145</v>
      </c>
      <c r="J383" s="30">
        <f t="shared" ref="J383:J395" si="14">IFERROR((I383/I$380),0)</f>
        <v>8.4863636363636363E-2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20253.635113756573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5.9248623432785258E-3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0.12223583500417927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20253.635113756573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20253.635113756573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30380.452670634859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20253.635113756573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1.1849724686557052E-2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20253.635113756573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162029.08091005258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809890.32702430128</v>
      </c>
      <c r="J394" s="30">
        <f t="shared" si="14"/>
        <v>0.39987405839765111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1215473.184351356</v>
      </c>
      <c r="J395" s="30">
        <f t="shared" si="14"/>
        <v>0.60012594160234889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1215473.184351356</v>
      </c>
      <c r="J400" s="30">
        <f t="shared" si="15"/>
        <v>0.60012594160234889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Josh Kingsley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LUV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 t="str">
        <f>AddressLine1</f>
        <v>Zips Car Wash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8714 Atlantic Blvd.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Jacksonville, FL 32211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oAjjEdMHykKWl/FAcBlhASN4kZ6eVUA9UTp/I1/JXVANgPByU0Fy2HgH5H2f0BWYrZ+QZl6CCIrDwX8brNYNXQ==" saltValue="+B3js6wTl91oWQd28aTuh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2022-01-20T13:42:51Z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