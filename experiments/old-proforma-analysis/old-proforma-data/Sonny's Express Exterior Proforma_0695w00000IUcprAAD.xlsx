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Arizona\Ford Wright\10380 N 59th Ave., Glendale\"/>
    </mc:Choice>
  </mc:AlternateContent>
  <xr:revisionPtr revIDLastSave="0" documentId="14_{98E99240-C6C7-44FA-A2CC-156B6A5C7B05}" xr6:coauthVersionLast="46" xr6:coauthVersionMax="46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E74" i="2" l="1"/>
  <c r="I319" i="3" s="1"/>
  <c r="D74" i="2"/>
  <c r="I268" i="3" s="1"/>
  <c r="C86" i="2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F65" i="2"/>
  <c r="C74" i="2" s="1"/>
  <c r="F66" i="2"/>
  <c r="F64" i="2"/>
  <c r="B74" i="2" s="1"/>
  <c r="F74" i="2" l="1"/>
  <c r="F75" i="2" s="1"/>
  <c r="F76" i="2" s="1"/>
  <c r="F77" i="2" s="1"/>
  <c r="F92" i="2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E75" i="2"/>
  <c r="E76" i="2" s="1"/>
  <c r="E77" i="2" s="1"/>
  <c r="D75" i="2"/>
  <c r="D76" i="2" s="1"/>
  <c r="D77" i="2" s="1"/>
  <c r="I370" i="3" l="1"/>
  <c r="I373" i="3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4" i="3" l="1"/>
  <c r="I376" i="3"/>
  <c r="I377" i="3"/>
  <c r="I375" i="3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I378" i="3" l="1"/>
  <c r="J376" i="3" s="1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J374" i="3" l="1"/>
  <c r="J373" i="3"/>
  <c r="J375" i="3"/>
  <c r="J377" i="3"/>
  <c r="I379" i="3"/>
  <c r="J379" i="3" s="1"/>
  <c r="J378" i="3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80" i="3" l="1"/>
  <c r="I389" i="3" s="1"/>
  <c r="J389" i="3" s="1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399" i="3" l="1"/>
  <c r="J380" i="3"/>
  <c r="J398" i="3"/>
  <c r="I388" i="3"/>
  <c r="J388" i="3" s="1"/>
  <c r="J386" i="3"/>
  <c r="I393" i="3"/>
  <c r="J393" i="3" s="1"/>
  <c r="J385" i="3"/>
  <c r="J397" i="3"/>
  <c r="I387" i="3"/>
  <c r="J387" i="3" s="1"/>
  <c r="I384" i="3"/>
  <c r="J384" i="3" s="1"/>
  <c r="J391" i="3"/>
  <c r="I390" i="3"/>
  <c r="J390" i="3" s="1"/>
  <c r="I392" i="3"/>
  <c r="J392" i="3" s="1"/>
  <c r="I382" i="3"/>
  <c r="J382" i="3" s="1"/>
  <c r="J181" i="3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<sst xmlns="http://schemas.openxmlformats.org/spreadsheetml/2006/main" count="434" uniqueCount="202">
  <si>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</si>
  <si>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</si>
  <si>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</si>
  <si>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</si>
  <si>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</si>
  <si>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</si>
  <si>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</si>
  <si>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</si>
  <si>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</si>
  <si>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</si>
  <si>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</si>
  <si>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</si>
  <si>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</si>
  <si>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</si>
  <si>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</si>
  <si>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</si>
  <si>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</si>
  <si>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</si>
  <si>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</si>
  <si>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</si>
  <si>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</si>
  <si>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</si>
  <si>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</si>
  <si>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</si>
  <si>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</si>
  <si>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</si>
  <si>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</si>
  <si>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</si>
  <si>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</si>
  <si>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</si>
  <si>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</si>
  <si>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</si>
  <si>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</si>
  <si>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</si>
  <si>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</si>
  <si>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</si>
  <si>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</si>
  <si>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</si>
  <si>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</si>
  <si>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</si>
  <si>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</si>
  <si>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</si>
  <si>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</si>
  <si>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</si>
  <si>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</si>
  <si>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</si>
  <si>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</si>
  <si>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</si>
  <si>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</si>
  <si>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</si>
  <si>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</si>
  <si>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</si>
  <si>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</si>
  <si>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</si>
  <si>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</si>
  <si>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</si>
  <si>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</si>
  <si>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</si>
  <si>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</si>
  <si>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</si>
  <si>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</si>
  <si>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</si>
  <si>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</si>
  <si>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</si>
  <si>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</si>
  <si>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</si>
  <si>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</si>
  <si>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</si>
  <si>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</si>
  <si>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</si>
  <si>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</si>
  <si>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</si>
  <si>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</si>
  <si>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</si>
  <si>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</si>
  <si>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</si>
  <si>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</si>
  <si>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</si>
  <si>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</si>
  <si>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</si>
  <si>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</si>
  <si>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</si>
  <si>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</si>
  <si>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</si>
  <si>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</si>
  <si>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</si>
  <si>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</si>
  <si>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</si>
  <si>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</si>
  <si>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</si>
  <si>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</si>
  <si>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</si>
  <si>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</si>
  <si>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</si>
  <si>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</si>
  <si>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</si>
  <si>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</si>
  <si>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</si>
  <si>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</si>
  <si>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</si>
  <si>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</si>
  <si>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</si>
  <si>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</si>
  <si>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</si>
  <si>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</si>
  <si>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</si>
  <si>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</si>
  <si>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</si>
  <si>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</si>
  <si>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</si>
  <si>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</si>
  <si>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</si>
  <si>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</si>
  <si>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</si>
  <si>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</si>
  <si>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</si>
  <si>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</si>
  <si>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</si>
  <si>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</si>
  <si>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</si>
  <si>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</si>
  <si>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</si>
  <si>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</si>
  <si>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</si>
  <si>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</si>
  <si>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</si>
  <si>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</si>
  <si>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</si>
  <si>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</si>
  <si>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</si>
  <si>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</si>
  <si>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</si>
  <si>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</si>
  <si>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</si>
  <si>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</si>
  <si>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</si>
  <si>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</si>
  <si>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</si>
  <si>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</si>
  <si>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</si>
  <si>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</si>
  <si>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</si>
  <si>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</si>
  <si>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</si>
  <si>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</si>
  <si>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</si>
  <si>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</si>
  <si>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</si>
  <si>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</si>
  <si>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</si>
  <si>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</si>
  <si>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</si>
  <si>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</si>
  <si>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</si>
  <si>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</si>
  <si>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</si>
  <si>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</si>
  <si>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</si>
  <si>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</si>
  <si>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</si>
  <si>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</si>
  <si>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</si>
  <si>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</si>
  <si>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</si>
  <si>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</si>
  <si>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</si>
  <si>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</si>
  <si>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</si>
  <si>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</si>
  <si>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</si>
  <si>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</si>
  <si>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</si>
  <si>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</si>
  <si>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</si>
  <si>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</si>
  <si>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</si>
  <si>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</si>
  <si>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</si>
  <si>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</si>
  <si>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</si>
  <si>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</si>
  <si>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</si>
  <si>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</si>
  <si>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</si>
  <si>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</si>
  <si>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</si>
  <si>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</si>
  <si>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</si>
  <si>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</si>
  <si>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</si>
  <si>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</si>
  <si>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</si>
  <si>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</si>
  <si>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</si>
  <si>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</si>
  <si>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</si>
  <si>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</si>
  <si>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Ford Wright</t>
  </si>
  <si>
    <t>Aloha Car Wash Company</t>
  </si>
  <si>
    <t>10380 N 59th Ave.</t>
  </si>
  <si>
    <t>Glendale, AZ 85302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</si>
  <si>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 </t>
    </r>
    <r>
      <rPr>
        <b/>
        <sz val="10"/>
        <color rgb="FFFF0000"/>
        <rFont val="Calibri"/>
        <family val="2"/>
        <scheme val="minor"/>
      </rPr>
      <t>This proforma cannot account for the population density:competition.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</si>
</sst>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33</xdr:row>
      <xdr:rowOff>19050</xdr:rowOff>
    </xdr:from>
    <xdr:to>
      <xdr:col>6</xdr:col>
      <xdr:colOff>9525</xdr:colOff>
      <xdr:row>38</xdr:row>
      <xdr:rowOff>147191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FDAAB4-C6A4-417D-86E6-E58F9B3F9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5924550"/>
          <a:ext cx="1009650" cy="937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6" zoomScaleNormal="100" workbookViewId="0">
      <selection activeCell="H54" sqref="H54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197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198</v>
      </c>
      <c r="C3" s="101"/>
      <c r="D3" s="102"/>
      <c r="E3" s="34"/>
      <c r="F3" s="34"/>
    </row>
    <row r="4" spans="1:9" ht="15.75" x14ac:dyDescent="0.25">
      <c r="A4" s="35" t="s">
        <v>13</v>
      </c>
      <c r="B4" s="100"/>
      <c r="C4" s="101"/>
      <c r="D4" s="102"/>
      <c r="E4" s="34"/>
      <c r="F4" s="34"/>
    </row>
    <row r="5" spans="1:9" ht="15.75" x14ac:dyDescent="0.25">
      <c r="A5" s="35" t="s">
        <v>14</v>
      </c>
      <c r="B5" s="100" t="s">
        <v>199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200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22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16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0.35</v>
      </c>
      <c r="E19" s="34"/>
      <c r="F19" s="34"/>
    </row>
    <row r="20" spans="1:8" ht="15.75" x14ac:dyDescent="0.25">
      <c r="A20" s="43" t="s">
        <v>28</v>
      </c>
      <c r="B20" s="47">
        <v>9</v>
      </c>
      <c r="C20" s="48">
        <v>0.60519999999999996</v>
      </c>
      <c r="D20" s="45">
        <v>0.25</v>
      </c>
      <c r="E20" s="34"/>
      <c r="F20" s="34"/>
    </row>
    <row r="21" spans="1:8" ht="15.75" x14ac:dyDescent="0.25">
      <c r="A21" s="43" t="s">
        <v>29</v>
      </c>
      <c r="B21" s="47">
        <v>12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15</v>
      </c>
      <c r="C22" s="48">
        <v>1.357</v>
      </c>
      <c r="D22" s="45">
        <v>0.25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9</v>
      </c>
      <c r="C28" s="47">
        <v>9</v>
      </c>
      <c r="D28" s="47">
        <v>9</v>
      </c>
      <c r="E28" s="47">
        <v>9</v>
      </c>
      <c r="F28" s="34"/>
    </row>
    <row r="29" spans="1:8" ht="15.75" x14ac:dyDescent="0.25">
      <c r="A29" s="43" t="s">
        <v>29</v>
      </c>
      <c r="B29" s="47">
        <v>12</v>
      </c>
      <c r="C29" s="47">
        <v>12</v>
      </c>
      <c r="D29" s="47">
        <v>12</v>
      </c>
      <c r="E29" s="47">
        <v>12</v>
      </c>
      <c r="F29" s="34"/>
    </row>
    <row r="30" spans="1:8" ht="15.75" x14ac:dyDescent="0.25">
      <c r="A30" s="43" t="s">
        <v>30</v>
      </c>
      <c r="B30" s="47">
        <v>15</v>
      </c>
      <c r="C30" s="47">
        <v>15</v>
      </c>
      <c r="D30" s="47">
        <v>15</v>
      </c>
      <c r="E30" s="47">
        <v>15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0.77500000000000002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2.74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0.50600000000000001</v>
      </c>
      <c r="F58" s="61">
        <f>-0.3*(0.55-E58)</f>
        <v>-1.3200000000000012E-2</v>
      </c>
    </row>
    <row r="59" spans="1:8" ht="15.75" x14ac:dyDescent="0.25">
      <c r="A59" s="96" t="s">
        <v>3</v>
      </c>
      <c r="B59" s="97"/>
      <c r="C59" s="97"/>
      <c r="D59" s="98"/>
      <c r="E59" s="45">
        <v>0.69799999999999995</v>
      </c>
      <c r="F59" s="61">
        <f>-0.75*(0.5-E59)</f>
        <v>0.14849999999999997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3.3824999999999987E-2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6.5982360294117651E-3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8.7088519021739138E-3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1.0542294407894738E-2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31594</v>
      </c>
      <c r="B70" s="66">
        <v>0.02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F64*A70*330</f>
        <v>68793.340807367655</v>
      </c>
      <c r="C74" s="68">
        <f>F65*A70*330</f>
        <v>90798.664109103265</v>
      </c>
      <c r="D74" s="68">
        <f>($F$54*(1+$F$61))/85*($A$70*(1+B$70))*330</f>
        <v>100241.72517645003</v>
      </c>
      <c r="E74" s="68">
        <f>($F$54*(1+$F$61))/82*($A$70*(1+C$70))*330</f>
        <v>102890.38864655944</v>
      </c>
      <c r="F74" s="68">
        <f>F66*(A70*(1+D70)*330)</f>
        <v>111013.31406602467</v>
      </c>
    </row>
    <row r="75" spans="1:6" ht="15.75" x14ac:dyDescent="0.25">
      <c r="A75" s="35" t="s">
        <v>106</v>
      </c>
      <c r="B75" s="68">
        <f>B74/12</f>
        <v>5732.7784006139709</v>
      </c>
      <c r="C75" s="68">
        <f>C74/12</f>
        <v>7566.5553424252721</v>
      </c>
      <c r="D75" s="68">
        <f t="shared" ref="D75:F75" si="0">D74/12</f>
        <v>8353.4770980375015</v>
      </c>
      <c r="E75" s="68">
        <f t="shared" si="0"/>
        <v>8574.1990538799528</v>
      </c>
      <c r="F75" s="68">
        <f t="shared" si="0"/>
        <v>9251.109505502056</v>
      </c>
    </row>
    <row r="76" spans="1:6" ht="15.75" x14ac:dyDescent="0.25">
      <c r="A76" s="35" t="s">
        <v>107</v>
      </c>
      <c r="B76" s="68">
        <f>B75/4.5/7*3</f>
        <v>545.97889529656868</v>
      </c>
      <c r="C76" s="68">
        <f t="shared" ref="C76:F76" si="1">C75/4.5/7*3</f>
        <v>720.62431832621644</v>
      </c>
      <c r="D76" s="68">
        <f t="shared" si="1"/>
        <v>795.5692474321429</v>
      </c>
      <c r="E76" s="68">
        <f t="shared" si="1"/>
        <v>816.59038608380502</v>
      </c>
      <c r="F76" s="68">
        <f t="shared" si="1"/>
        <v>881.05804814305304</v>
      </c>
    </row>
    <row r="77" spans="1:6" ht="15.75" x14ac:dyDescent="0.25">
      <c r="A77" s="35" t="s">
        <v>108</v>
      </c>
      <c r="B77" s="68">
        <f>IFERROR((B76/$B9*1.3),0)</f>
        <v>59.147713657128271</v>
      </c>
      <c r="C77" s="68">
        <f t="shared" ref="C77:F77" si="2">IFERROR((C76/$B9*1.3),0)</f>
        <v>78.067634485340108</v>
      </c>
      <c r="D77" s="68">
        <f t="shared" si="2"/>
        <v>86.186668471815494</v>
      </c>
      <c r="E77" s="68">
        <f t="shared" si="2"/>
        <v>88.463958492412218</v>
      </c>
      <c r="F77" s="68">
        <f t="shared" si="2"/>
        <v>95.447955215497416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algorithmName="SHA-512" hashValue="6csh8NTY6VzXUsJ2XTx/I1/uLgSu/vTUUx7b75mkcW52WOPIw7MoQdNOCv323KbmAiQWeoEPmL+yYnvtZbmqAg==" saltValue="MLjXAU+Lb0zofvGxLlz+8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13" zoomScaleNormal="100" workbookViewId="0">
      <selection activeCell="N43" sqref="N43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Ford Wright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Aloha Car Wash Company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>
        <f>'Input Form'!B4</f>
        <v>0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10380 N 59th Ave.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Glendale, AZ 85302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201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Ford Wright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Aloha Car Wash Company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>
        <f>AddressLine1</f>
        <v>0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10380 N 59th Ave.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Glendale, AZ 85302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2638.1750916352084</v>
      </c>
      <c r="J65" s="18">
        <f>'Input Form'!B75</f>
        <v>5732.7784006139709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6</v>
      </c>
      <c r="G69" s="141">
        <f>'Input Form'!D19</f>
        <v>0.35</v>
      </c>
      <c r="H69" s="142"/>
      <c r="I69" s="20">
        <f>IFERROR((I$65*G69*F69),0)</f>
        <v>5540.1676924339372</v>
      </c>
      <c r="J69" s="20">
        <f>J$65*F69*G69</f>
        <v>12038.834641289339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9</v>
      </c>
      <c r="G70" s="141">
        <f>'Input Form'!D20</f>
        <v>0.25</v>
      </c>
      <c r="H70" s="142"/>
      <c r="I70" s="20">
        <f>IFERROR((I$65*G70*F70),0)</f>
        <v>5935.8939561792195</v>
      </c>
      <c r="J70" s="20">
        <f t="shared" ref="J70:J73" si="0">J$65*F70*G70</f>
        <v>12898.751401381434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12</v>
      </c>
      <c r="G71" s="141">
        <f>'Input Form'!D21</f>
        <v>0.15</v>
      </c>
      <c r="H71" s="142"/>
      <c r="I71" s="20">
        <f>IFERROR((I$65*G71*F71),0)</f>
        <v>4748.7151649433745</v>
      </c>
      <c r="J71" s="20">
        <f t="shared" si="0"/>
        <v>10319.001121105148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15</v>
      </c>
      <c r="G72" s="141">
        <f>'Input Form'!D22</f>
        <v>0.25</v>
      </c>
      <c r="H72" s="142"/>
      <c r="I72" s="20">
        <f t="shared" ref="I72:I73" si="1">I$65*G72*F72</f>
        <v>9893.1565936320312</v>
      </c>
      <c r="J72" s="20">
        <f t="shared" si="0"/>
        <v>21497.919002302391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0</v>
      </c>
      <c r="G73" s="141">
        <f>'Input Form'!D23</f>
        <v>0</v>
      </c>
      <c r="H73" s="142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26117.933407188561</v>
      </c>
      <c r="J74" s="20">
        <f>SUM(J69:J73)</f>
        <v>56754.50616607831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-470.12280132939406</v>
      </c>
      <c r="J75" s="20">
        <f>-(J74*$F75*$G75)</f>
        <v>-1021.5811109894096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25647.810605859166</v>
      </c>
      <c r="J76" s="20">
        <f>SUM(J74:J75)</f>
        <v>55732.925055088897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9.7217999999999982</v>
      </c>
      <c r="J77" s="22">
        <f>J76/(J65+0.000000001)</f>
        <v>9.7217999999983018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769.43431817577493</v>
      </c>
      <c r="J80" s="20">
        <f>$G80*J76</f>
        <v>1671.9877516526669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7.1747474747474754E-2</v>
      </c>
      <c r="H81" s="164"/>
      <c r="I81" s="20">
        <f>G81*I76</f>
        <v>1840.1656437718957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4071.9924979561038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256.47810605859166</v>
      </c>
      <c r="J82" s="20">
        <f>$G82*J76</f>
        <v>557.32925055088901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3.8287868508186232E-2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0.61501037427329375</v>
      </c>
      <c r="H84" s="164"/>
      <c r="I84" s="20">
        <f>J84</f>
        <v>16062.8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16062.8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256.47810605859166</v>
      </c>
      <c r="J85" s="20">
        <f>$G85*J76</f>
        <v>557.32925055088901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256.47810605859166</v>
      </c>
      <c r="J86" s="20">
        <f>$G86*J76</f>
        <v>557.32925055088901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384.71715908788747</v>
      </c>
      <c r="J87" s="20">
        <f>$G87*J76</f>
        <v>835.99387582633346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256.47810605859166</v>
      </c>
      <c r="J88" s="20">
        <f>$G88*J76</f>
        <v>557.32925055088901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7.6575737016372464E-2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256.47810605859166</v>
      </c>
      <c r="J90" s="20">
        <f>$G90*J76</f>
        <v>557.32925055088901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2308.3029545273248</v>
      </c>
      <c r="J91" s="20">
        <f>$G91*J76</f>
        <v>5015.963254958001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25647.810605855841</v>
      </c>
      <c r="J92" s="20">
        <f>SUM(J80:J91)</f>
        <v>33445.383633147554</v>
      </c>
      <c r="K92" s="10"/>
    </row>
    <row r="93" spans="1:12" x14ac:dyDescent="0.2">
      <c r="A93" s="10"/>
      <c r="B93" s="116" t="s">
        <v>196</v>
      </c>
      <c r="C93" s="116"/>
      <c r="D93" s="116"/>
      <c r="E93" s="116"/>
      <c r="F93" s="116"/>
      <c r="G93" s="116"/>
      <c r="H93" s="116"/>
      <c r="I93" s="24">
        <f>I76-I92</f>
        <v>3.3251126296818256E-9</v>
      </c>
      <c r="J93" s="24">
        <f>J76-J92</f>
        <v>22287.541421941343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Ford Wright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Aloha Car Wash Company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>
        <f>AddressLine1</f>
        <v>0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10380 N 59th Ave.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Glendale, AZ 85302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5.5E-2</v>
      </c>
      <c r="F125" s="154"/>
      <c r="G125" s="142">
        <f>'Input Form'!D89</f>
        <v>240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5.5E-2</v>
      </c>
      <c r="F126" s="154"/>
      <c r="G126" s="142">
        <f>'Input Form'!D90</f>
        <v>240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5.5E-2</v>
      </c>
      <c r="F127" s="154"/>
      <c r="G127" s="142">
        <f>'Input Form'!D91</f>
        <v>240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5.5E-2</v>
      </c>
      <c r="F128" s="154"/>
      <c r="G128" s="142">
        <f>'Input Form'!D92</f>
        <v>240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5.5E-2</v>
      </c>
      <c r="F129" s="154"/>
      <c r="G129" s="142">
        <f>'Input Form'!D93</f>
        <v>240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25647.810605859166</v>
      </c>
      <c r="H138" s="147"/>
      <c r="I138" s="147">
        <f>J76</f>
        <v>55732.925055088897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25647.810605855841</v>
      </c>
      <c r="H139" s="147"/>
      <c r="I139" s="147">
        <f>J92</f>
        <v>33445.383633147554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3.3251126296818256E-9</v>
      </c>
      <c r="H140" s="147"/>
      <c r="I140" s="147">
        <f>J93</f>
        <v>22287.541421941343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3.3251126296818256E-9</v>
      </c>
      <c r="H143" s="147"/>
      <c r="I143" s="147">
        <f>I140-I141-I142</f>
        <v>22287.541421941343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Ford Wright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Aloha Car Wash Company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>
        <f>AddressLine1</f>
        <v>0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10380 N 59th Ave.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Glendale, AZ 85302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68793.340807367655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6</v>
      </c>
      <c r="G169" s="141">
        <f>'Input Form'!$D$19</f>
        <v>0.35</v>
      </c>
      <c r="H169" s="142"/>
      <c r="I169" s="20">
        <f>I$166*F169*G169</f>
        <v>144466.01569547207</v>
      </c>
      <c r="J169" s="30">
        <f>IFERROR((I169/I$174),0)</f>
        <v>0.21212121212121213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9</v>
      </c>
      <c r="G170" s="141">
        <f>'Input Form'!$D$20</f>
        <v>0.25</v>
      </c>
      <c r="H170" s="142"/>
      <c r="I170" s="20">
        <f>I$166*F170*G170</f>
        <v>154785.01681657723</v>
      </c>
      <c r="J170" s="30">
        <f t="shared" ref="J170:J176" si="2">IFERROR((I170/I$174),0)</f>
        <v>0.22727272727272729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12</v>
      </c>
      <c r="G171" s="141">
        <f>'Input Form'!$D$21</f>
        <v>0.15</v>
      </c>
      <c r="H171" s="142"/>
      <c r="I171" s="20">
        <f>I$166*F171*G171</f>
        <v>123828.01345326178</v>
      </c>
      <c r="J171" s="30">
        <f t="shared" si="2"/>
        <v>0.18181818181818182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15</v>
      </c>
      <c r="G172" s="141">
        <f>'Input Form'!$D$22</f>
        <v>0.25</v>
      </c>
      <c r="H172" s="142"/>
      <c r="I172" s="20">
        <f>I$166*F172*G172</f>
        <v>257975.02802762869</v>
      </c>
      <c r="J172" s="30">
        <f t="shared" si="2"/>
        <v>0.37878787878787878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0</v>
      </c>
      <c r="G173" s="141">
        <f>'Input Form'!$D$23</f>
        <v>0</v>
      </c>
      <c r="H173" s="142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681054.07399293978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-12258.973331872916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668795.10066106683</v>
      </c>
      <c r="J176" s="30">
        <f t="shared" si="2"/>
        <v>0.98199999999999998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20063.853019832004</v>
      </c>
      <c r="J178" s="30">
        <f>IFERROR((I178/I$176),0)</f>
        <v>0.03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47984.359595914728</v>
      </c>
      <c r="J179" s="30">
        <f t="shared" ref="J179:J196" si="3">IFERROR((I179/I$176),0)</f>
        <v>7.1747474747474754E-2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6687.9510066106686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1.7942715172612159E-2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192753.59999999998</v>
      </c>
      <c r="J182" s="30">
        <f t="shared" si="3"/>
        <v>0.28821024527463457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6687.9510066106686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6687.9510066106686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10031.926509916002</v>
      </c>
      <c r="J185" s="30">
        <f t="shared" si="3"/>
        <v>1.4999999999999999E-2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6687.9510066106686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3.5885430345224317E-2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6687.9510066106686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60191.559059496009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400465.05321821198</v>
      </c>
      <c r="J190" s="30">
        <f t="shared" si="3"/>
        <v>0.59878586553994562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268330.04744285485</v>
      </c>
      <c r="J191" s="30">
        <f t="shared" si="3"/>
        <v>0.40121413446005433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268330.04744285485</v>
      </c>
      <c r="J196" s="30">
        <f t="shared" si="3"/>
        <v>0.40121413446005433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Ford Wright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Aloha Car Wash Company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>
        <f>AddressLine1</f>
        <v>0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10380 N 59th Ave.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Glendale, AZ 85302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90798.664109103265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6</v>
      </c>
      <c r="G220" s="141">
        <f>'Input Form'!$D$19</f>
        <v>0.35</v>
      </c>
      <c r="H220" s="142"/>
      <c r="I220" s="20">
        <f>I$217*F220*G220</f>
        <v>190677.19462911686</v>
      </c>
      <c r="J220" s="30">
        <f>IFERROR((I220/I$225),0)</f>
        <v>0.21212121212121213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9</v>
      </c>
      <c r="G221" s="141">
        <f>'Input Form'!$D$20</f>
        <v>0.25</v>
      </c>
      <c r="H221" s="142"/>
      <c r="I221" s="20">
        <f>I$217*F221*G221</f>
        <v>204296.99424548235</v>
      </c>
      <c r="J221" s="30">
        <f t="shared" ref="J221:J227" si="4">IFERROR((I221/I$225),0)</f>
        <v>0.22727272727272729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12</v>
      </c>
      <c r="G222" s="141">
        <f>'Input Form'!$D$21</f>
        <v>0.15</v>
      </c>
      <c r="H222" s="142"/>
      <c r="I222" s="20">
        <f>I$217*F222*G222</f>
        <v>163437.59539638588</v>
      </c>
      <c r="J222" s="30">
        <f t="shared" si="4"/>
        <v>0.18181818181818182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15</v>
      </c>
      <c r="G223" s="141">
        <f>'Input Form'!$D$22</f>
        <v>0.25</v>
      </c>
      <c r="H223" s="142"/>
      <c r="I223" s="20">
        <f>I$217*F223*G223</f>
        <v>340494.99040913722</v>
      </c>
      <c r="J223" s="30">
        <f t="shared" si="4"/>
        <v>0.37878787878787878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0</v>
      </c>
      <c r="G224" s="141">
        <f>'Input Form'!$D$23</f>
        <v>0</v>
      </c>
      <c r="H224" s="142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898906.77468012227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-16180.321944242198</v>
      </c>
      <c r="J226" s="30">
        <f t="shared" si="4"/>
        <v>-1.7999999999999995E-2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882726.45273588004</v>
      </c>
      <c r="J227" s="30">
        <f t="shared" si="4"/>
        <v>0.98199999999999998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26481.7935820764</v>
      </c>
      <c r="J229" s="30">
        <f>IFERROR((I229/I$227),0)</f>
        <v>0.03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63333.393876595517</v>
      </c>
      <c r="J230" s="30">
        <f t="shared" ref="J230:J247" si="5">IFERROR((I230/I$227),0)</f>
        <v>7.1747474747474754E-2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8827.2645273588005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1.359424537783792E-2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192753.59999999998</v>
      </c>
      <c r="J233" s="30">
        <f t="shared" si="5"/>
        <v>0.21836164465513491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8827.2645273588005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8827.2645273588005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13240.8967910382</v>
      </c>
      <c r="J236" s="30">
        <f t="shared" si="5"/>
        <v>1.4999999999999999E-2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8827.2645273588005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2.7188490755675841E-2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8827.2645273588005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79445.380746229202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455391.38763273339</v>
      </c>
      <c r="J241" s="30">
        <f t="shared" si="5"/>
        <v>0.51589185553612349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427335.06510314666</v>
      </c>
      <c r="J242" s="30">
        <f t="shared" si="5"/>
        <v>0.48410814446387651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427335.06510314666</v>
      </c>
      <c r="J247" s="30">
        <f t="shared" si="5"/>
        <v>0.48410814446387651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Ford Wright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Aloha Car Wash Company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>
        <f>AddressLine1</f>
        <v>0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10380 N 59th Ave.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Glendale, AZ 85302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100241.72517645003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6</v>
      </c>
      <c r="G271" s="141">
        <f>'Input Form'!$D$19</f>
        <v>0.35</v>
      </c>
      <c r="H271" s="142"/>
      <c r="I271" s="20">
        <f>I$268*F271*G271</f>
        <v>210507.62287054502</v>
      </c>
      <c r="J271" s="30">
        <f>IFERROR((I271/I$276),0)</f>
        <v>0.2121212121212121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9</v>
      </c>
      <c r="G272" s="141">
        <f>'Input Form'!$D$20</f>
        <v>0.25</v>
      </c>
      <c r="H272" s="142"/>
      <c r="I272" s="20">
        <f t="shared" ref="I272:I275" si="6">I$268*F272*G272</f>
        <v>225543.88164701255</v>
      </c>
      <c r="J272" s="30">
        <f t="shared" ref="J272:J278" si="7">IFERROR((I272/I$276),0)</f>
        <v>0.22727272727272727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12</v>
      </c>
      <c r="G273" s="141">
        <f>'Input Form'!$D$21</f>
        <v>0.15</v>
      </c>
      <c r="H273" s="142"/>
      <c r="I273" s="20">
        <f t="shared" si="6"/>
        <v>180435.10531761002</v>
      </c>
      <c r="J273" s="30">
        <f t="shared" si="7"/>
        <v>0.1818181818181818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15</v>
      </c>
      <c r="G274" s="141">
        <f>'Input Form'!$D$22</f>
        <v>0.25</v>
      </c>
      <c r="H274" s="142"/>
      <c r="I274" s="20">
        <f t="shared" si="6"/>
        <v>375906.46941168758</v>
      </c>
      <c r="J274" s="30">
        <f t="shared" si="7"/>
        <v>0.37878787878787878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0</v>
      </c>
      <c r="G275" s="141">
        <f>'Input Form'!$D$23</f>
        <v>0</v>
      </c>
      <c r="H275" s="142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992393.07924685522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-17863.075426443393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974530.00382041186</v>
      </c>
      <c r="J278" s="30">
        <f t="shared" si="7"/>
        <v>0.98199999999999998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29235.900114612356</v>
      </c>
      <c r="J280" s="30">
        <f>IFERROR((I280/I$278),0)</f>
        <v>0.03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69920.066839761479</v>
      </c>
      <c r="J281" s="30">
        <f t="shared" ref="J281:J298" si="8">IFERROR((I281/I$278),0)</f>
        <v>7.1747474747474754E-2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9745.3000382041191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1.2313628059635793E-2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192753.59999999998</v>
      </c>
      <c r="J284" s="30">
        <f t="shared" si="8"/>
        <v>0.1977913447963178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9745.3000382041191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9745.3000382041191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14617.950057306178</v>
      </c>
      <c r="J287" s="30">
        <f t="shared" si="8"/>
        <v>1.4999999999999999E-2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9745.3000382041191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2.4627256119271586E-2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9745.3000382041191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87707.700343837059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478961.71754653763</v>
      </c>
      <c r="J292" s="30">
        <f t="shared" si="8"/>
        <v>0.49147970372269989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495568.28627387423</v>
      </c>
      <c r="J293" s="30">
        <f t="shared" si="8"/>
        <v>0.50852029627730011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495568.28627387423</v>
      </c>
      <c r="J298" s="30">
        <f t="shared" si="8"/>
        <v>0.50852029627730011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Ford Wright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Aloha Car Wash Company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>
        <f>AddressLine1</f>
        <v>0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10380 N 59th Ave.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Glendale, AZ 85302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102890.38864655944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6</v>
      </c>
      <c r="G322" s="141">
        <f>'Input Form'!$D$19</f>
        <v>0.35</v>
      </c>
      <c r="H322" s="142"/>
      <c r="I322" s="20">
        <f>I$319*F322*G322</f>
        <v>216069.81615777483</v>
      </c>
      <c r="J322" s="30">
        <f>IFERROR((I322/I$327),0)</f>
        <v>0.2121212121212121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9</v>
      </c>
      <c r="G323" s="141">
        <f>'Input Form'!$D$20</f>
        <v>0.25</v>
      </c>
      <c r="H323" s="142"/>
      <c r="I323" s="20">
        <f>I$319*F323*G323</f>
        <v>231503.37445475874</v>
      </c>
      <c r="J323" s="30">
        <f t="shared" ref="J323:J329" si="9">IFERROR((I323/I$327),0)</f>
        <v>0.22727272727272727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12</v>
      </c>
      <c r="G324" s="141">
        <f>'Input Form'!$D$21</f>
        <v>0.15</v>
      </c>
      <c r="H324" s="142"/>
      <c r="I324" s="20">
        <f>I$319*F324*G324</f>
        <v>185202.69956380699</v>
      </c>
      <c r="J324" s="30">
        <f t="shared" si="9"/>
        <v>0.1818181818181818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15</v>
      </c>
      <c r="G325" s="141">
        <f>'Input Form'!$D$22</f>
        <v>0.25</v>
      </c>
      <c r="H325" s="142"/>
      <c r="I325" s="20">
        <f>I$319*F325*G325</f>
        <v>385838.95742459793</v>
      </c>
      <c r="J325" s="30">
        <f t="shared" si="9"/>
        <v>0.37878787878787878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0</v>
      </c>
      <c r="G326" s="141">
        <f>'Input Form'!$D$23</f>
        <v>0</v>
      </c>
      <c r="H326" s="142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1018614.8476009385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-18335.067256816892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1000279.7803441216</v>
      </c>
      <c r="J329" s="30">
        <f t="shared" si="9"/>
        <v>0.98199999999999998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30008.393410323646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71767.548280649455</v>
      </c>
      <c r="J332" s="30">
        <f t="shared" ref="J332:J344" si="10">IFERROR((I332/I$329),0)</f>
        <v>7.1747474747474754E-2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10002.797803441217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1.1996643574932301E-2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192753.59999999998</v>
      </c>
      <c r="J335" s="30">
        <f t="shared" si="10"/>
        <v>0.19269968641542254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10002.797803441217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10002.797803441217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15004.196705161823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10002.797803441217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2.3993287149864602E-2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10002.797803441217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90025.180230970946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485572.90764431201</v>
      </c>
      <c r="J343" s="30">
        <f t="shared" si="10"/>
        <v>0.48543709188769429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514706.87269980961</v>
      </c>
      <c r="J344" s="30">
        <f t="shared" si="10"/>
        <v>0.51456290811230576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514706.87269980961</v>
      </c>
      <c r="J349" s="30">
        <f t="shared" si="11"/>
        <v>0.51456290811230576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Ford Wright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Aloha Car Wash Company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>
        <f>AddressLine1</f>
        <v>0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10380 N 59th Ave.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Glendale, AZ 85302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111013.31406602467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6</v>
      </c>
      <c r="G373" s="141">
        <f>'Input Form'!$D$19</f>
        <v>0.35</v>
      </c>
      <c r="H373" s="142"/>
      <c r="I373" s="20">
        <f>I$370*F373*G373</f>
        <v>233127.9595386518</v>
      </c>
      <c r="J373" s="30">
        <f>IFERROR((I373/I$378),0)</f>
        <v>0.21212121212121213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9</v>
      </c>
      <c r="G374" s="141">
        <f>'Input Form'!$D$20</f>
        <v>0.25</v>
      </c>
      <c r="H374" s="142"/>
      <c r="I374" s="20">
        <f t="shared" ref="I374:I377" si="12">I$370*F374*G374</f>
        <v>249779.95664855553</v>
      </c>
      <c r="J374" s="30">
        <f t="shared" ref="J374:J380" si="13">IFERROR((I374/I$378),0)</f>
        <v>0.22727272727272729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12</v>
      </c>
      <c r="G375" s="141">
        <f>'Input Form'!$D$21</f>
        <v>0.15</v>
      </c>
      <c r="H375" s="142"/>
      <c r="I375" s="20">
        <f t="shared" si="12"/>
        <v>199823.96531884439</v>
      </c>
      <c r="J375" s="30">
        <f t="shared" si="13"/>
        <v>0.18181818181818182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15</v>
      </c>
      <c r="G376" s="141">
        <f>'Input Form'!$D$22</f>
        <v>0.25</v>
      </c>
      <c r="H376" s="142"/>
      <c r="I376" s="20">
        <f t="shared" si="12"/>
        <v>416299.9277475925</v>
      </c>
      <c r="J376" s="30">
        <f t="shared" si="13"/>
        <v>0.37878787878787878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0</v>
      </c>
      <c r="G377" s="141">
        <f>'Input Form'!$D$23</f>
        <v>0</v>
      </c>
      <c r="H377" s="142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1099031.8092536442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-19782.572566565592</v>
      </c>
      <c r="J379" s="30">
        <f t="shared" si="13"/>
        <v>-1.7999999999999995E-2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1079249.2366870786</v>
      </c>
      <c r="J380" s="30">
        <f t="shared" si="13"/>
        <v>0.98199999999999998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32377.477100612356</v>
      </c>
      <c r="J382" s="30">
        <f>IFERROR((I382/I$380),0)</f>
        <v>0.03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77433.407355437579</v>
      </c>
      <c r="J383" s="30">
        <f t="shared" ref="J383:J395" si="14">IFERROR((I383/I$380),0)</f>
        <v>7.1747474747474754E-2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10792.492366870787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1.1118840386522621E-2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192753.59999999998</v>
      </c>
      <c r="J386" s="30">
        <f t="shared" si="14"/>
        <v>0.17859970936063552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10792.492366870787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10792.492366870787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16188.738550306178</v>
      </c>
      <c r="J389" s="30">
        <f t="shared" si="14"/>
        <v>1.4999999999999999E-2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10792.492366870787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2.2237680773045242E-2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10792.492366870787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97132.431301837074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505848.11614254722</v>
      </c>
      <c r="J394" s="30">
        <f t="shared" si="14"/>
        <v>0.46870370526767824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573401.12054453138</v>
      </c>
      <c r="J395" s="30">
        <f t="shared" si="14"/>
        <v>0.53129629473232176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573401.12054453138</v>
      </c>
      <c r="J400" s="30">
        <f t="shared" si="15"/>
        <v>0.53129629473232176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Ford Wright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Aloha Car Wash Company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>
        <f>AddressLine1</f>
        <v>0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10380 N 59th Ave.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Glendale, AZ 85302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z1KAVnT5d0qP6yITWmcPauiAHs/c2IoNii9SjR3agn9cLzjSYgQcoLXYhXRlXB/qtX/bkFQh5KnYYHSZjIk9vw==" saltValue="QU48bH2BTUe+5CA2g/5Oj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2021-05-27T14:56:17Z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