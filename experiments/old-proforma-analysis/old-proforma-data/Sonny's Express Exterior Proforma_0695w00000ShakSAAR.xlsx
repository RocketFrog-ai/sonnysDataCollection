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Oklahoma\Bobby Story\3212 University\"/>
    </mc:Choice>
  </mc:AlternateContent>
  <xr:revisionPtr revIDLastSave="0" documentId="13_ncr:1_{409A69B0-DE2C-4634-A8AE-2FCD144A941F}" xr6:coauthVersionLast="45" xr6:coauthVersionMax="45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<sst xmlns="http://schemas.openxmlformats.org/spreadsheetml/2006/main" count="434" uniqueCount="202">
  <si>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</si>
  <si>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</si>
  <si>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</si>
  <si>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</si>
  <si>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</si>
  <si>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</si>
  <si>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</si>
  <si>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</si>
  <si>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</si>
  <si>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</si>
  <si>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</si>
  <si>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</si>
  <si>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</si>
  <si>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</si>
  <si>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</si>
  <si>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</si>
  <si>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</si>
  <si>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</si>
  <si>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</si>
  <si>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</si>
  <si>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</si>
  <si>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</si>
  <si>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</si>
  <si>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</si>
  <si>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</si>
  <si>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</si>
  <si>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</si>
  <si>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</si>
  <si>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</si>
  <si>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</si>
  <si>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</si>
  <si>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</si>
  <si>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</si>
  <si>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</si>
  <si>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</si>
  <si>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</si>
  <si>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</si>
  <si>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</si>
  <si>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</si>
  <si>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</si>
  <si>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</si>
  <si>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</si>
  <si>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</si>
  <si>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</si>
  <si>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</si>
  <si>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</si>
  <si>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</si>
  <si>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</si>
  <si>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</si>
  <si>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</si>
  <si>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</si>
  <si>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</si>
  <si>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</si>
  <si>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</si>
  <si>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</si>
  <si>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</si>
  <si>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</si>
  <si>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</si>
  <si>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</si>
  <si>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</si>
  <si>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</si>
  <si>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</si>
  <si>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</si>
  <si>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</si>
  <si>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</si>
  <si>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</si>
  <si>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</si>
  <si>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</si>
  <si>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</si>
  <si>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</si>
  <si>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</si>
  <si>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</si>
  <si>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</si>
  <si>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</si>
  <si>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</si>
  <si>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</si>
  <si>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</si>
  <si>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</si>
  <si>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</si>
  <si>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</si>
  <si>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</si>
  <si>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</si>
  <si>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</si>
  <si>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</si>
  <si>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</si>
  <si>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</si>
  <si>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</si>
  <si>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</si>
  <si>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</si>
  <si>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</si>
  <si>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</si>
  <si>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</si>
  <si>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</si>
  <si>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</si>
  <si>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</si>
  <si>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</si>
  <si>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</si>
  <si>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</si>
  <si>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</si>
  <si>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</si>
  <si>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</si>
  <si>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</si>
  <si>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</si>
  <si>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</si>
  <si>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</si>
  <si>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</si>
  <si>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</si>
  <si>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</si>
  <si>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</si>
  <si>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</si>
  <si>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</si>
  <si>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</si>
  <si>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</si>
  <si>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</si>
  <si>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</si>
  <si>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</si>
  <si>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</si>
  <si>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</si>
  <si>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</si>
  <si>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</si>
  <si>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</si>
  <si>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</si>
  <si>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</si>
  <si>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</si>
  <si>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</si>
  <si>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</si>
  <si>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</si>
  <si>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</si>
  <si>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</si>
  <si>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</si>
  <si>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</si>
  <si>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</si>
  <si>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</si>
  <si>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</si>
  <si>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</si>
  <si>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</si>
  <si>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</si>
  <si>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</si>
  <si>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</si>
  <si>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</si>
  <si>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</si>
  <si>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</si>
  <si>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</si>
  <si>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</si>
  <si>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</si>
  <si>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</si>
  <si>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</si>
  <si>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</si>
  <si>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</si>
  <si>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</si>
  <si>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</si>
  <si>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</si>
  <si>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</si>
  <si>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</si>
  <si>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</si>
  <si>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</si>
  <si>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</si>
  <si>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</si>
  <si>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</si>
  <si>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</si>
  <si>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</si>
  <si>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</si>
  <si>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</si>
  <si>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</si>
  <si>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</si>
  <si>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</si>
  <si>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</si>
  <si>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</si>
  <si>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</si>
  <si>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</si>
  <si>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</si>
  <si>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</si>
  <si>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</si>
  <si>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</si>
  <si>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</si>
  <si>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</si>
  <si>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</si>
  <si>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</si>
  <si>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</si>
  <si>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</si>
  <si>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</si>
  <si>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</si>
  <si>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</si>
  <si>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</si>
  <si>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</si>
  <si>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</si>
  <si>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</si>
  <si>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</si>
  <si>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</si>
  <si>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</si>
  <si>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</si>
  <si>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</si>
  <si>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</si>
  <si>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</si>
  <si>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</si>
  <si>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</si>
  <si>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</si>
  <si>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</si>
  <si>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Bobby Story</t>
  </si>
  <si>
    <t>University Park Auto Spa</t>
  </si>
  <si>
    <t>3212 University Place</t>
  </si>
  <si>
    <t>Durant OK 74701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</si>
</sst>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54" zoomScaleNormal="100" workbookViewId="0">
      <selection activeCell="A54" sqref="A54:E54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0" t="s">
        <v>41</v>
      </c>
      <c r="B1" s="90"/>
      <c r="C1" s="90"/>
      <c r="D1" s="90"/>
      <c r="E1" s="34"/>
      <c r="F1" s="34"/>
    </row>
    <row r="2" spans="1:9" ht="15.5" x14ac:dyDescent="0.35">
      <c r="A2" s="35" t="s">
        <v>12</v>
      </c>
      <c r="B2" s="86" t="s">
        <v>198</v>
      </c>
      <c r="C2" s="87"/>
      <c r="D2" s="88"/>
      <c r="E2" s="34"/>
      <c r="F2" s="34"/>
    </row>
    <row r="3" spans="1:9" ht="15.5" x14ac:dyDescent="0.35">
      <c r="A3" s="35" t="s">
        <v>15</v>
      </c>
      <c r="B3" s="86" t="s">
        <v>199</v>
      </c>
      <c r="C3" s="87"/>
      <c r="D3" s="88"/>
      <c r="E3" s="34"/>
      <c r="F3" s="34"/>
    </row>
    <row r="4" spans="1:9" ht="15.5" x14ac:dyDescent="0.35">
      <c r="A4" s="35" t="s">
        <v>13</v>
      </c>
      <c r="B4" s="86"/>
      <c r="C4" s="87"/>
      <c r="D4" s="88"/>
      <c r="E4" s="34"/>
      <c r="F4" s="34"/>
    </row>
    <row r="5" spans="1:9" ht="15.5" x14ac:dyDescent="0.35">
      <c r="A5" s="35" t="s">
        <v>14</v>
      </c>
      <c r="B5" s="86" t="s">
        <v>200</v>
      </c>
      <c r="C5" s="87"/>
      <c r="D5" s="88"/>
      <c r="E5" s="34"/>
      <c r="F5" s="34"/>
    </row>
    <row r="6" spans="1:9" ht="15.5" x14ac:dyDescent="0.35">
      <c r="A6" s="35" t="s">
        <v>16</v>
      </c>
      <c r="B6" s="86" t="s">
        <v>201</v>
      </c>
      <c r="C6" s="87"/>
      <c r="D6" s="88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9" t="s">
        <v>40</v>
      </c>
      <c r="B11" s="89"/>
      <c r="C11" s="89"/>
      <c r="D11" s="89"/>
      <c r="E11" s="34"/>
      <c r="F11" s="34"/>
    </row>
    <row r="12" spans="1:9" ht="15.5" x14ac:dyDescent="0.3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5" x14ac:dyDescent="0.3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5" x14ac:dyDescent="0.3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5" x14ac:dyDescent="0.3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79" t="s">
        <v>39</v>
      </c>
      <c r="B17" s="80"/>
      <c r="C17" s="80"/>
      <c r="D17" s="81"/>
      <c r="E17" s="34"/>
      <c r="F17" s="34"/>
    </row>
    <row r="18" spans="1:8" ht="15.5" x14ac:dyDescent="0.3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5" x14ac:dyDescent="0.35">
      <c r="A19" s="43" t="s">
        <v>27</v>
      </c>
      <c r="B19" s="47">
        <v>7</v>
      </c>
      <c r="C19" s="48">
        <v>0.309</v>
      </c>
      <c r="D19" s="45">
        <v>0.45</v>
      </c>
      <c r="E19" s="34"/>
      <c r="F19" s="34"/>
    </row>
    <row r="20" spans="1:8" ht="15.5" x14ac:dyDescent="0.3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5" x14ac:dyDescent="0.3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5" x14ac:dyDescent="0.3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5" x14ac:dyDescent="0.3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79" t="s">
        <v>44</v>
      </c>
      <c r="B25" s="80"/>
      <c r="C25" s="80"/>
      <c r="D25" s="80"/>
      <c r="E25" s="81"/>
      <c r="F25" s="34"/>
    </row>
    <row r="26" spans="1:8" ht="15.5" x14ac:dyDescent="0.3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5" x14ac:dyDescent="0.35">
      <c r="A27" s="43" t="s">
        <v>27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5" x14ac:dyDescent="0.3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79" t="s">
        <v>59</v>
      </c>
      <c r="B33" s="80"/>
      <c r="C33" s="80"/>
      <c r="D33" s="80"/>
      <c r="E33" s="80"/>
      <c r="F33" s="81"/>
    </row>
    <row r="34" spans="1:6" ht="15.5" x14ac:dyDescent="0.25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5" x14ac:dyDescent="0.45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5" x14ac:dyDescent="0.45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28" x14ac:dyDescent="0.25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5" x14ac:dyDescent="0.45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5" x14ac:dyDescent="0.45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31" x14ac:dyDescent="0.25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5" x14ac:dyDescent="0.45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" x14ac:dyDescent="0.25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5" x14ac:dyDescent="0.45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5" x14ac:dyDescent="0.45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5" x14ac:dyDescent="0.45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5" x14ac:dyDescent="0.45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" x14ac:dyDescent="0.25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5" x14ac:dyDescent="0.45">
      <c r="A53" s="82"/>
      <c r="B53" s="50">
        <v>1</v>
      </c>
      <c r="C53" s="50"/>
      <c r="D53" s="50"/>
      <c r="E53" s="50"/>
      <c r="F53" s="51">
        <f>IF(B53=1,0.15,IF(C53=1,0.1,IF(D53=1,0.05,IF(E53=1,0,0))))</f>
        <v>0.15</v>
      </c>
    </row>
    <row r="54" spans="1:8" ht="15.5" x14ac:dyDescent="0.35">
      <c r="A54" s="83" t="s">
        <v>0</v>
      </c>
      <c r="B54" s="84"/>
      <c r="C54" s="84"/>
      <c r="D54" s="84"/>
      <c r="E54" s="85"/>
      <c r="F54" s="56">
        <f>F35+F37+F39+F41+F43+F45+F47+F49+F51+F53</f>
        <v>1.2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79" t="s">
        <v>1</v>
      </c>
      <c r="B56" s="80"/>
      <c r="C56" s="80"/>
      <c r="D56" s="80"/>
      <c r="E56" s="80"/>
      <c r="F56" s="81"/>
    </row>
    <row r="57" spans="1:8" ht="15.5" x14ac:dyDescent="0.35">
      <c r="A57" s="83" t="s">
        <v>93</v>
      </c>
      <c r="B57" s="84"/>
      <c r="C57" s="84"/>
      <c r="D57" s="85"/>
      <c r="E57" s="59">
        <v>2.4</v>
      </c>
      <c r="F57" s="60">
        <f>IF(E57&lt;2.101,-0.1*(2.1-E57),IF(E57&gt;3,-0.5*(E57-3),0))</f>
        <v>0</v>
      </c>
      <c r="H57" s="2"/>
    </row>
    <row r="58" spans="1:8" ht="15.5" x14ac:dyDescent="0.35">
      <c r="A58" s="83" t="s">
        <v>94</v>
      </c>
      <c r="B58" s="84"/>
      <c r="C58" s="84"/>
      <c r="D58" s="85"/>
      <c r="E58" s="45">
        <v>0.48699999999999999</v>
      </c>
      <c r="F58" s="61">
        <f>-0.3*(0.55-E58)</f>
        <v>-1.8900000000000017E-2</v>
      </c>
    </row>
    <row r="59" spans="1:8" ht="15.5" x14ac:dyDescent="0.35">
      <c r="A59" s="83" t="s">
        <v>3</v>
      </c>
      <c r="B59" s="84"/>
      <c r="C59" s="84"/>
      <c r="D59" s="85"/>
      <c r="E59" s="45">
        <v>0.54700000000000004</v>
      </c>
      <c r="F59" s="61">
        <f>-0.75*(0.5-E59)</f>
        <v>3.5250000000000031E-2</v>
      </c>
    </row>
    <row r="60" spans="1:8" ht="15.5" x14ac:dyDescent="0.35">
      <c r="A60" s="83" t="s">
        <v>4</v>
      </c>
      <c r="B60" s="84"/>
      <c r="C60" s="84"/>
      <c r="D60" s="85"/>
      <c r="E60" s="47">
        <v>7</v>
      </c>
      <c r="F60" s="62">
        <f>IF(E60&lt;5.01,0.5*(5-E60),-0.075*(E60-5))</f>
        <v>-0.15</v>
      </c>
    </row>
    <row r="61" spans="1:8" ht="15.5" x14ac:dyDescent="0.35">
      <c r="A61" s="83" t="s">
        <v>95</v>
      </c>
      <c r="B61" s="84"/>
      <c r="C61" s="84"/>
      <c r="D61" s="84"/>
      <c r="E61" s="85"/>
      <c r="F61" s="61">
        <f>SUM(F57:F60)/4</f>
        <v>-3.3412499999999998E-2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1" t="s">
        <v>98</v>
      </c>
      <c r="B63" s="91"/>
      <c r="C63" s="91"/>
      <c r="D63" s="91"/>
      <c r="E63" s="91"/>
      <c r="F63" s="91"/>
    </row>
    <row r="64" spans="1:8" ht="15.5" x14ac:dyDescent="0.35">
      <c r="A64" s="83" t="s">
        <v>96</v>
      </c>
      <c r="B64" s="84"/>
      <c r="C64" s="84"/>
      <c r="D64" s="84"/>
      <c r="E64" s="85"/>
      <c r="F64" s="64">
        <f>(F54*0.7)*(1+F61)/85</f>
        <v>9.5521588235294112E-3</v>
      </c>
    </row>
    <row r="65" spans="1:6" ht="15.5" x14ac:dyDescent="0.35">
      <c r="A65" s="83" t="s">
        <v>97</v>
      </c>
      <c r="B65" s="84"/>
      <c r="C65" s="84"/>
      <c r="D65" s="84"/>
      <c r="E65" s="85"/>
      <c r="F65" s="64">
        <f>$F$54*(1+$F$61)/92</f>
        <v>1.2607663043478261E-2</v>
      </c>
    </row>
    <row r="66" spans="1:6" ht="15.5" x14ac:dyDescent="0.35">
      <c r="A66" s="83" t="s">
        <v>10</v>
      </c>
      <c r="B66" s="84"/>
      <c r="C66" s="84"/>
      <c r="D66" s="84"/>
      <c r="E66" s="85"/>
      <c r="F66" s="64">
        <f>$F$54*(1+$F$61)/76</f>
        <v>1.5261907894736842E-2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79" t="s">
        <v>103</v>
      </c>
      <c r="B68" s="80"/>
      <c r="C68" s="80"/>
      <c r="D68" s="81"/>
      <c r="E68" s="57"/>
      <c r="F68" s="58"/>
    </row>
    <row r="69" spans="1:6" ht="15.5" x14ac:dyDescent="0.3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5" x14ac:dyDescent="0.35">
      <c r="A70" s="78">
        <v>8983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79" t="s">
        <v>104</v>
      </c>
      <c r="B72" s="80"/>
      <c r="C72" s="80"/>
      <c r="D72" s="80"/>
      <c r="E72" s="80"/>
      <c r="F72" s="81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105</v>
      </c>
      <c r="B74" s="68">
        <f>F64*A70*300</f>
        <v>25742.112813529409</v>
      </c>
      <c r="C74" s="68">
        <f>F65*A70*300</f>
        <v>33976.391135869562</v>
      </c>
      <c r="D74" s="68">
        <f>($F$54*(1+$F$61))/85*($A$70*(1+B$70))*300</f>
        <v>36774.446876470589</v>
      </c>
      <c r="E74" s="68">
        <f>($F$54*(1+$F$61))/82*($A$70*(1+C$70))*300</f>
        <v>38119.853469512193</v>
      </c>
      <c r="F74" s="68">
        <f>F66*(A70*(1+D70)*300)</f>
        <v>41129.315585526318</v>
      </c>
    </row>
    <row r="75" spans="1:6" ht="15.5" x14ac:dyDescent="0.35">
      <c r="A75" s="35" t="s">
        <v>106</v>
      </c>
      <c r="B75" s="68">
        <f>B74/12</f>
        <v>2145.1760677941174</v>
      </c>
      <c r="C75" s="68">
        <f>C74/12</f>
        <v>2831.3659279891303</v>
      </c>
      <c r="D75" s="68">
        <f t="shared" ref="D75:F75" si="0">D74/12</f>
        <v>3064.5372397058823</v>
      </c>
      <c r="E75" s="68">
        <f t="shared" si="0"/>
        <v>3176.6544557926827</v>
      </c>
      <c r="F75" s="68">
        <f t="shared" si="0"/>
        <v>3427.4429654605265</v>
      </c>
    </row>
    <row r="76" spans="1:6" ht="15.5" x14ac:dyDescent="0.35">
      <c r="A76" s="35" t="s">
        <v>107</v>
      </c>
      <c r="B76" s="68">
        <f>B75/4.5/7*3</f>
        <v>204.30248264705881</v>
      </c>
      <c r="C76" s="68">
        <f t="shared" ref="C76:F76" si="1">C75/4.5/7*3</f>
        <v>269.65389790372672</v>
      </c>
      <c r="D76" s="68">
        <f t="shared" si="1"/>
        <v>291.86068949579828</v>
      </c>
      <c r="E76" s="68">
        <f t="shared" si="1"/>
        <v>302.53851959930313</v>
      </c>
      <c r="F76" s="68">
        <f t="shared" si="1"/>
        <v>326.42313956766918</v>
      </c>
    </row>
    <row r="77" spans="1:6" ht="15.5" x14ac:dyDescent="0.35">
      <c r="A77" s="35" t="s">
        <v>108</v>
      </c>
      <c r="B77" s="68">
        <f>IFERROR((B76/$B9*1.3),0)</f>
        <v>22.13276895343137</v>
      </c>
      <c r="C77" s="68">
        <f t="shared" ref="C77:F77" si="2">IFERROR((C76/$B9*1.3),0)</f>
        <v>29.212505606237059</v>
      </c>
      <c r="D77" s="68">
        <f t="shared" si="2"/>
        <v>31.618241362044817</v>
      </c>
      <c r="E77" s="68">
        <f t="shared" si="2"/>
        <v>32.775006289924505</v>
      </c>
      <c r="F77" s="68">
        <f t="shared" si="2"/>
        <v>35.362506786497498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9" t="s">
        <v>2</v>
      </c>
      <c r="B79" s="89"/>
      <c r="C79" s="89"/>
      <c r="D79" s="89"/>
      <c r="E79" s="89"/>
      <c r="F79" s="89"/>
    </row>
    <row r="80" spans="1:6" ht="31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5" x14ac:dyDescent="0.3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79" t="s">
        <v>122</v>
      </c>
      <c r="B87" s="80"/>
      <c r="C87" s="80"/>
      <c r="D87" s="80"/>
      <c r="E87" s="80"/>
      <c r="F87" s="81"/>
    </row>
    <row r="88" spans="1:6" ht="31" x14ac:dyDescent="0.25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5" x14ac:dyDescent="0.3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79" t="s">
        <v>124</v>
      </c>
      <c r="B95" s="80"/>
      <c r="C95" s="80"/>
      <c r="D95" s="80"/>
      <c r="E95" s="80"/>
      <c r="F95" s="81"/>
    </row>
    <row r="96" spans="1:6" ht="15.5" x14ac:dyDescent="0.35">
      <c r="A96" s="92" t="s">
        <v>125</v>
      </c>
      <c r="B96" s="93"/>
      <c r="C96" s="93"/>
      <c r="D96" s="94"/>
      <c r="E96" s="98" t="s">
        <v>127</v>
      </c>
      <c r="F96" s="99"/>
    </row>
    <row r="97" spans="1:8" ht="15.5" x14ac:dyDescent="0.35">
      <c r="A97" s="95" t="s">
        <v>117</v>
      </c>
      <c r="B97" s="96"/>
      <c r="C97" s="96"/>
      <c r="D97" s="97"/>
      <c r="E97" s="100">
        <v>0</v>
      </c>
      <c r="F97" s="101"/>
    </row>
    <row r="98" spans="1:8" ht="15.5" x14ac:dyDescent="0.35">
      <c r="A98" s="95" t="s">
        <v>118</v>
      </c>
      <c r="B98" s="96"/>
      <c r="C98" s="96"/>
      <c r="D98" s="97"/>
      <c r="E98" s="100">
        <v>0</v>
      </c>
      <c r="F98" s="101"/>
    </row>
    <row r="99" spans="1:8" ht="15.5" x14ac:dyDescent="0.3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5" x14ac:dyDescent="0.3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5">
      <c r="F103" s="6"/>
    </row>
  </sheetData>
  <sheetProtection algorithmName="SHA-512" hashValue="U+KQ5q16EzMFW1b7SBcji6uzV6cD54K8PGPo+uezvokm1OJY/q8ENtUBNYXplcgkGAgs6xmQsB7A1l0qiWEsBA==" saltValue="AgbDzerrFPKOT0l1VmoNA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view="pageLayout" zoomScale="110" zoomScaleNormal="100" zoomScalePageLayoutView="110" workbookViewId="0">
      <selection activeCell="B53" sqref="B53:J53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5.5429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07" t="str">
        <f>'Input Form'!B2</f>
        <v>Bobby Story</v>
      </c>
      <c r="F29" s="107"/>
      <c r="G29" s="107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07" t="str">
        <f>'Input Form'!B3</f>
        <v>University Park Auto Spa</v>
      </c>
      <c r="F30" s="107"/>
      <c r="G30" s="107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07" t="str">
        <f>'Input Form'!B5</f>
        <v>3212 University Place</v>
      </c>
      <c r="F32" s="107"/>
      <c r="G32" s="107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07" t="str">
        <f>'Input Form'!B6</f>
        <v>Durant OK 74701</v>
      </c>
      <c r="F33" s="107"/>
      <c r="G33" s="107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3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3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3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3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3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9" t="s">
        <v>188</v>
      </c>
      <c r="D56" s="119"/>
      <c r="E56" s="153" t="str">
        <f>CustomerName</f>
        <v>Bobby Story</v>
      </c>
      <c r="F56" s="154"/>
      <c r="G56" s="154"/>
      <c r="H56" s="154"/>
      <c r="I56" s="155"/>
      <c r="J56" s="10"/>
      <c r="K56" s="10"/>
    </row>
    <row r="57" spans="1:11" x14ac:dyDescent="0.3">
      <c r="A57" s="10"/>
      <c r="B57" s="10"/>
      <c r="C57" s="120" t="s">
        <v>189</v>
      </c>
      <c r="D57" s="121"/>
      <c r="E57" s="153" t="str">
        <f>CompanyName</f>
        <v>University Park Auto Spa</v>
      </c>
      <c r="F57" s="154"/>
      <c r="G57" s="154"/>
      <c r="H57" s="154"/>
      <c r="I57" s="155"/>
      <c r="J57" s="10"/>
      <c r="K57" s="10"/>
    </row>
    <row r="58" spans="1:11" x14ac:dyDescent="0.3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3">
      <c r="A59" s="10"/>
      <c r="B59" s="10"/>
      <c r="C59" s="124"/>
      <c r="D59" s="125"/>
      <c r="E59" s="163" t="str">
        <f>AddressLine2</f>
        <v>3212 University Place</v>
      </c>
      <c r="F59" s="164"/>
      <c r="G59" s="164"/>
      <c r="H59" s="164"/>
      <c r="I59" s="165"/>
      <c r="J59" s="10"/>
      <c r="K59" s="10"/>
    </row>
    <row r="60" spans="1:11" x14ac:dyDescent="0.3">
      <c r="A60" s="10"/>
      <c r="B60" s="10"/>
      <c r="C60" s="126"/>
      <c r="D60" s="127"/>
      <c r="E60" s="166" t="str">
        <f>AddressLine3</f>
        <v>Durant OK 74701</v>
      </c>
      <c r="F60" s="167"/>
      <c r="G60" s="167"/>
      <c r="H60" s="167"/>
      <c r="I60" s="168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3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3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1844.6685111899308</v>
      </c>
      <c r="J65" s="18">
        <f>'Input Form'!B75</f>
        <v>2145.1760677941174</v>
      </c>
      <c r="K65" s="10"/>
    </row>
    <row r="66" spans="1:15" ht="18.5" x14ac:dyDescent="0.45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3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3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3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7</v>
      </c>
      <c r="G69" s="139">
        <f>'Input Form'!D19</f>
        <v>0.45</v>
      </c>
      <c r="H69" s="140"/>
      <c r="I69" s="20">
        <f>IFERROR((I$65*G69*F69),0)</f>
        <v>5810.7058102482824</v>
      </c>
      <c r="J69" s="20">
        <f>J$65*F69*G69</f>
        <v>6757.3046135514705</v>
      </c>
      <c r="K69" s="10"/>
    </row>
    <row r="70" spans="1:15" x14ac:dyDescent="0.3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2767.0027667848963</v>
      </c>
      <c r="J70" s="20">
        <f t="shared" ref="J70:J73" si="0">J$65*F70*G70</f>
        <v>3217.7641016911757</v>
      </c>
      <c r="K70" s="10"/>
    </row>
    <row r="71" spans="1:15" x14ac:dyDescent="0.3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4150.5041501773439</v>
      </c>
      <c r="J71" s="20">
        <f t="shared" si="0"/>
        <v>4826.646152536764</v>
      </c>
      <c r="K71" s="10"/>
    </row>
    <row r="72" spans="1:15" x14ac:dyDescent="0.3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7378.6740447597231</v>
      </c>
      <c r="J72" s="20">
        <f t="shared" si="0"/>
        <v>8580.7042711764698</v>
      </c>
      <c r="K72" s="10"/>
    </row>
    <row r="73" spans="1:15" x14ac:dyDescent="0.3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2305.8356389874134</v>
      </c>
      <c r="J73" s="20">
        <f t="shared" si="0"/>
        <v>2681.470084742647</v>
      </c>
      <c r="K73" s="10"/>
    </row>
    <row r="74" spans="1:15" x14ac:dyDescent="0.3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22412.72241095766</v>
      </c>
      <c r="J74" s="20">
        <f>SUM(J69:J73)</f>
        <v>26063.889223698527</v>
      </c>
      <c r="K74" s="10"/>
      <c r="O74" s="5"/>
    </row>
    <row r="75" spans="1:15" x14ac:dyDescent="0.3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-403.42900339723786</v>
      </c>
      <c r="J75" s="20">
        <f>-(J74*$F75*$G75)</f>
        <v>-469.15000602657346</v>
      </c>
      <c r="K75" s="10"/>
      <c r="L75" s="7"/>
    </row>
    <row r="76" spans="1:15" x14ac:dyDescent="0.3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22009.293407560421</v>
      </c>
      <c r="J76" s="20">
        <f>SUM(J74:J75)</f>
        <v>25594.739217671951</v>
      </c>
      <c r="K76" s="10"/>
      <c r="L76" s="5"/>
      <c r="N76" s="8"/>
    </row>
    <row r="77" spans="1:15" x14ac:dyDescent="0.3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11.9313</v>
      </c>
      <c r="J77" s="22">
        <f>J76/(J65+0.000000001)</f>
        <v>11.931299999994437</v>
      </c>
      <c r="K77" s="10"/>
      <c r="M77" s="5"/>
      <c r="N77" s="7"/>
    </row>
    <row r="78" spans="1:15" ht="18.5" x14ac:dyDescent="0.45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3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3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660.27880222681256</v>
      </c>
      <c r="J80" s="20">
        <f>$G80*J76</f>
        <v>767.84217653015855</v>
      </c>
      <c r="K80" s="10"/>
    </row>
    <row r="81" spans="1:12" x14ac:dyDescent="0.3">
      <c r="A81" s="10"/>
      <c r="B81" s="132" t="s">
        <v>143</v>
      </c>
      <c r="C81" s="133"/>
      <c r="D81" s="133"/>
      <c r="E81" s="133"/>
      <c r="F81" s="134"/>
      <c r="G81" s="130">
        <f>IFERROR((J81/J74),0)</f>
        <v>5.7792592592592597E-2</v>
      </c>
      <c r="H81" s="131"/>
      <c r="I81" s="20">
        <f>G81*I76</f>
        <v>1271.9741271539735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1506.2997312836735</v>
      </c>
      <c r="K81" s="10"/>
    </row>
    <row r="82" spans="1:12" x14ac:dyDescent="0.3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220.09293407560421</v>
      </c>
      <c r="J82" s="20">
        <f>$G82*J76</f>
        <v>255.94739217671952</v>
      </c>
      <c r="K82" s="10"/>
    </row>
    <row r="83" spans="1:12" x14ac:dyDescent="0.3">
      <c r="A83" s="10"/>
      <c r="B83" s="132" t="s">
        <v>152</v>
      </c>
      <c r="C83" s="133"/>
      <c r="D83" s="133"/>
      <c r="E83" s="133"/>
      <c r="F83" s="134"/>
      <c r="G83" s="130">
        <f>IFERROR((I83/I74),0)</f>
        <v>4.4617515965445428E-2</v>
      </c>
      <c r="H83" s="131"/>
      <c r="I83" s="23">
        <v>1000</v>
      </c>
      <c r="J83" s="20">
        <f>I83</f>
        <v>1000</v>
      </c>
      <c r="K83" s="10"/>
    </row>
    <row r="84" spans="1:12" x14ac:dyDescent="0.3">
      <c r="A84" s="10"/>
      <c r="B84" s="132" t="s">
        <v>24</v>
      </c>
      <c r="C84" s="133"/>
      <c r="D84" s="133"/>
      <c r="E84" s="133"/>
      <c r="F84" s="134"/>
      <c r="G84" s="130">
        <f>IFERROR((I84/I74),0)</f>
        <v>0.60972512617739105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3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220.09293407560421</v>
      </c>
      <c r="J85" s="20">
        <f>$G85*J76</f>
        <v>255.94739217671952</v>
      </c>
      <c r="K85" s="10"/>
    </row>
    <row r="86" spans="1:12" x14ac:dyDescent="0.3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220.09293407560421</v>
      </c>
      <c r="J86" s="20">
        <f>$G86*J76</f>
        <v>255.94739217671952</v>
      </c>
      <c r="K86" s="10"/>
    </row>
    <row r="87" spans="1:12" x14ac:dyDescent="0.3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330.13940111340628</v>
      </c>
      <c r="J87" s="20">
        <f>$G87*J76</f>
        <v>383.92108826507928</v>
      </c>
      <c r="K87" s="10"/>
    </row>
    <row r="88" spans="1:12" x14ac:dyDescent="0.3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220.09293407560421</v>
      </c>
      <c r="J88" s="20">
        <f>$G88*J76</f>
        <v>255.94739217671952</v>
      </c>
      <c r="K88" s="10"/>
    </row>
    <row r="89" spans="1:12" x14ac:dyDescent="0.3">
      <c r="A89" s="10"/>
      <c r="B89" s="132" t="s">
        <v>151</v>
      </c>
      <c r="C89" s="133"/>
      <c r="D89" s="133"/>
      <c r="E89" s="133"/>
      <c r="F89" s="134"/>
      <c r="G89" s="130">
        <f>IFERROR((I89/I74),0)</f>
        <v>8.9235031930890857E-2</v>
      </c>
      <c r="H89" s="131"/>
      <c r="I89" s="23">
        <v>2000</v>
      </c>
      <c r="J89" s="20">
        <f>I89</f>
        <v>2000</v>
      </c>
      <c r="K89" s="10"/>
    </row>
    <row r="90" spans="1:12" x14ac:dyDescent="0.3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220.09293407560421</v>
      </c>
      <c r="J90" s="20">
        <f>$G90*J76</f>
        <v>255.94739217671952</v>
      </c>
      <c r="K90" s="10"/>
      <c r="L90" s="5"/>
    </row>
    <row r="91" spans="1:12" x14ac:dyDescent="0.3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1980.8364066804379</v>
      </c>
      <c r="J91" s="20">
        <f>$G91*J76</f>
        <v>2303.5265295904755</v>
      </c>
      <c r="K91" s="10"/>
      <c r="L91" s="5"/>
    </row>
    <row r="92" spans="1:12" x14ac:dyDescent="0.3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22009.293407552657</v>
      </c>
      <c r="J92" s="20">
        <f>SUM(J80:J91)</f>
        <v>22906.926486552988</v>
      </c>
      <c r="K92" s="10"/>
    </row>
    <row r="93" spans="1:12" x14ac:dyDescent="0.3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7.7634467743337154E-9</v>
      </c>
      <c r="J93" s="24">
        <f>J76-J92</f>
        <v>2687.8127311189637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9" t="s">
        <v>188</v>
      </c>
      <c r="D108" s="119"/>
      <c r="E108" s="153" t="str">
        <f>CustomerName</f>
        <v>Bobby Story</v>
      </c>
      <c r="F108" s="154"/>
      <c r="G108" s="154"/>
      <c r="H108" s="154"/>
      <c r="I108" s="155"/>
      <c r="J108" s="10"/>
      <c r="K108" s="10"/>
    </row>
    <row r="109" spans="1:11" x14ac:dyDescent="0.3">
      <c r="A109" s="10"/>
      <c r="B109" s="10"/>
      <c r="C109" s="120" t="s">
        <v>189</v>
      </c>
      <c r="D109" s="121"/>
      <c r="E109" s="153" t="str">
        <f>CompanyName</f>
        <v>University Park Auto Spa</v>
      </c>
      <c r="F109" s="154"/>
      <c r="G109" s="154"/>
      <c r="H109" s="154"/>
      <c r="I109" s="155"/>
      <c r="J109" s="10"/>
      <c r="K109" s="10"/>
    </row>
    <row r="110" spans="1:11" x14ac:dyDescent="0.3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3">
      <c r="A111" s="10"/>
      <c r="B111" s="10"/>
      <c r="C111" s="124"/>
      <c r="D111" s="125"/>
      <c r="E111" s="163" t="str">
        <f>AddressLine2</f>
        <v>3212 University Place</v>
      </c>
      <c r="F111" s="164"/>
      <c r="G111" s="164"/>
      <c r="H111" s="164"/>
      <c r="I111" s="165"/>
      <c r="J111" s="10"/>
      <c r="K111" s="10"/>
    </row>
    <row r="112" spans="1:11" x14ac:dyDescent="0.3">
      <c r="A112" s="10"/>
      <c r="B112" s="10"/>
      <c r="C112" s="126"/>
      <c r="D112" s="127"/>
      <c r="E112" s="166" t="str">
        <f>AddressLine3</f>
        <v>Durant OK 74701</v>
      </c>
      <c r="F112" s="167"/>
      <c r="G112" s="167"/>
      <c r="H112" s="167"/>
      <c r="I112" s="168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9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3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3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3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3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3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5" x14ac:dyDescent="0.45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6" x14ac:dyDescent="0.3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3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3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3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3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3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3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5" x14ac:dyDescent="0.45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3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3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3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3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3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5" x14ac:dyDescent="0.45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3">
      <c r="A138" s="10"/>
      <c r="B138" s="135" t="s">
        <v>140</v>
      </c>
      <c r="C138" s="135"/>
      <c r="D138" s="135"/>
      <c r="E138" s="135"/>
      <c r="F138" s="135"/>
      <c r="G138" s="169">
        <f>I76</f>
        <v>22009.293407560421</v>
      </c>
      <c r="H138" s="169"/>
      <c r="I138" s="169">
        <f>J76</f>
        <v>25594.739217671951</v>
      </c>
      <c r="J138" s="169"/>
      <c r="K138" s="10"/>
    </row>
    <row r="139" spans="1:11" x14ac:dyDescent="0.3">
      <c r="A139" s="10"/>
      <c r="B139" s="135" t="s">
        <v>164</v>
      </c>
      <c r="C139" s="135"/>
      <c r="D139" s="135"/>
      <c r="E139" s="135"/>
      <c r="F139" s="135"/>
      <c r="G139" s="169">
        <f>I92</f>
        <v>22009.293407552657</v>
      </c>
      <c r="H139" s="169"/>
      <c r="I139" s="169">
        <f>J92</f>
        <v>22906.926486552988</v>
      </c>
      <c r="J139" s="169"/>
      <c r="K139" s="10"/>
    </row>
    <row r="140" spans="1:11" x14ac:dyDescent="0.3">
      <c r="A140" s="10"/>
      <c r="B140" s="135" t="s">
        <v>159</v>
      </c>
      <c r="C140" s="135"/>
      <c r="D140" s="135"/>
      <c r="E140" s="135"/>
      <c r="F140" s="135"/>
      <c r="G140" s="169">
        <f>G138-G139</f>
        <v>7.7634467743337154E-9</v>
      </c>
      <c r="H140" s="169"/>
      <c r="I140" s="169">
        <f>J93</f>
        <v>2687.8127311189637</v>
      </c>
      <c r="J140" s="169"/>
      <c r="K140" s="10"/>
    </row>
    <row r="141" spans="1:11" x14ac:dyDescent="0.3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3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3">
      <c r="A143" s="10"/>
      <c r="B143" s="135" t="s">
        <v>167</v>
      </c>
      <c r="C143" s="135"/>
      <c r="D143" s="135"/>
      <c r="E143" s="135"/>
      <c r="F143" s="135"/>
      <c r="G143" s="169">
        <f>G140-G141-G142</f>
        <v>7.7634467743337154E-9</v>
      </c>
      <c r="H143" s="169"/>
      <c r="I143" s="169">
        <f>I140-I141-I142</f>
        <v>2687.8127311189637</v>
      </c>
      <c r="J143" s="169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9" t="s">
        <v>188</v>
      </c>
      <c r="D157" s="119"/>
      <c r="E157" s="153" t="str">
        <f>CustomerName</f>
        <v>Bobby Story</v>
      </c>
      <c r="F157" s="154"/>
      <c r="G157" s="154"/>
      <c r="H157" s="154"/>
      <c r="I157" s="155"/>
      <c r="J157" s="10"/>
      <c r="K157" s="10"/>
    </row>
    <row r="158" spans="1:11" x14ac:dyDescent="0.3">
      <c r="A158" s="10"/>
      <c r="B158" s="10"/>
      <c r="C158" s="120" t="s">
        <v>189</v>
      </c>
      <c r="D158" s="121"/>
      <c r="E158" s="153" t="str">
        <f>CompanyName</f>
        <v>University Park Auto Spa</v>
      </c>
      <c r="F158" s="154"/>
      <c r="G158" s="154"/>
      <c r="H158" s="154"/>
      <c r="I158" s="155"/>
      <c r="J158" s="10"/>
      <c r="K158" s="10"/>
    </row>
    <row r="159" spans="1:11" x14ac:dyDescent="0.3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3">
      <c r="A160" s="10"/>
      <c r="B160" s="10"/>
      <c r="C160" s="124"/>
      <c r="D160" s="125"/>
      <c r="E160" s="163" t="str">
        <f>AddressLine2</f>
        <v>3212 University Place</v>
      </c>
      <c r="F160" s="164"/>
      <c r="G160" s="164"/>
      <c r="H160" s="164"/>
      <c r="I160" s="165"/>
      <c r="J160" s="10"/>
      <c r="K160" s="10"/>
    </row>
    <row r="161" spans="1:11" x14ac:dyDescent="0.3">
      <c r="A161" s="10"/>
      <c r="B161" s="10"/>
      <c r="C161" s="126"/>
      <c r="D161" s="127"/>
      <c r="E161" s="166" t="str">
        <f>AddressLine3</f>
        <v>Durant OK 74701</v>
      </c>
      <c r="F161" s="167"/>
      <c r="G161" s="167"/>
      <c r="H161" s="167"/>
      <c r="I161" s="168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3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3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25742.112813529409</v>
      </c>
      <c r="J166" s="179"/>
      <c r="K166" s="10"/>
    </row>
    <row r="167" spans="1:11" ht="18.5" x14ac:dyDescent="0.45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3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3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7</v>
      </c>
      <c r="G169" s="139">
        <f>'Input Form'!$D$19</f>
        <v>0.45</v>
      </c>
      <c r="H169" s="140"/>
      <c r="I169" s="20">
        <f>I$166*F169*G169</f>
        <v>81087.655362617646</v>
      </c>
      <c r="J169" s="30">
        <f>IFERROR((I169/I$174),0)</f>
        <v>0.25925925925925924</v>
      </c>
      <c r="K169" s="10"/>
    </row>
    <row r="170" spans="1:11" x14ac:dyDescent="0.3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38613.169220294112</v>
      </c>
      <c r="J170" s="30">
        <f t="shared" ref="J170:J176" si="2">IFERROR((I170/I$174),0)</f>
        <v>0.12345679012345677</v>
      </c>
      <c r="K170" s="10"/>
    </row>
    <row r="171" spans="1:11" x14ac:dyDescent="0.3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57919.753830441172</v>
      </c>
      <c r="J171" s="30">
        <f t="shared" si="2"/>
        <v>0.18518518518518515</v>
      </c>
      <c r="K171" s="10"/>
    </row>
    <row r="172" spans="1:11" x14ac:dyDescent="0.3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102968.45125411765</v>
      </c>
      <c r="J172" s="30">
        <f t="shared" si="2"/>
        <v>0.32921810699588477</v>
      </c>
      <c r="K172" s="10"/>
    </row>
    <row r="173" spans="1:11" x14ac:dyDescent="0.3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32177.641016911763</v>
      </c>
      <c r="J173" s="30">
        <f t="shared" si="2"/>
        <v>0.10288065843621398</v>
      </c>
      <c r="K173" s="10"/>
    </row>
    <row r="174" spans="1:11" x14ac:dyDescent="0.3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312766.67068438238</v>
      </c>
      <c r="J174" s="30">
        <f t="shared" si="2"/>
        <v>1</v>
      </c>
      <c r="K174" s="10"/>
    </row>
    <row r="175" spans="1:11" x14ac:dyDescent="0.3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-5629.8000723188825</v>
      </c>
      <c r="J175" s="30">
        <f t="shared" si="2"/>
        <v>-1.7999999999999999E-2</v>
      </c>
      <c r="K175" s="10"/>
    </row>
    <row r="176" spans="1:11" x14ac:dyDescent="0.3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307136.8706120635</v>
      </c>
      <c r="J176" s="30">
        <f t="shared" si="2"/>
        <v>0.98199999999999998</v>
      </c>
      <c r="K176" s="10"/>
    </row>
    <row r="177" spans="1:11" ht="18.5" x14ac:dyDescent="0.45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3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9214.106118361904</v>
      </c>
      <c r="J178" s="30">
        <f>IFERROR((I178/I$176),0)</f>
        <v>2.9999999999999995E-2</v>
      </c>
      <c r="K178" s="10"/>
    </row>
    <row r="179" spans="1:11" x14ac:dyDescent="0.3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17750.23603344681</v>
      </c>
      <c r="J179" s="30">
        <f t="shared" ref="J179:J196" si="3">IFERROR((I179/I$176),0)</f>
        <v>5.779259259259259E-2</v>
      </c>
      <c r="K179" s="10"/>
    </row>
    <row r="180" spans="1:11" x14ac:dyDescent="0.3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3071.3687061206351</v>
      </c>
      <c r="J180" s="30">
        <f t="shared" si="3"/>
        <v>0.01</v>
      </c>
      <c r="K180" s="10"/>
    </row>
    <row r="181" spans="1:11" x14ac:dyDescent="0.3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3.9070528966731854E-2</v>
      </c>
      <c r="K181" s="10"/>
    </row>
    <row r="182" spans="1:11" x14ac:dyDescent="0.3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0.53392222064777084</v>
      </c>
      <c r="K182" s="10"/>
    </row>
    <row r="183" spans="1:11" x14ac:dyDescent="0.3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3071.3687061206351</v>
      </c>
      <c r="J183" s="30">
        <f t="shared" si="3"/>
        <v>0.01</v>
      </c>
      <c r="K183" s="10"/>
    </row>
    <row r="184" spans="1:11" x14ac:dyDescent="0.3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3071.3687061206351</v>
      </c>
      <c r="J184" s="30">
        <f t="shared" si="3"/>
        <v>0.01</v>
      </c>
      <c r="K184" s="10"/>
    </row>
    <row r="185" spans="1:11" x14ac:dyDescent="0.3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4607.053059180952</v>
      </c>
      <c r="J185" s="30">
        <f t="shared" si="3"/>
        <v>1.4999999999999998E-2</v>
      </c>
      <c r="K185" s="10"/>
    </row>
    <row r="186" spans="1:11" x14ac:dyDescent="0.3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3071.3687061206351</v>
      </c>
      <c r="J186" s="30">
        <f t="shared" si="3"/>
        <v>0.01</v>
      </c>
      <c r="K186" s="10"/>
    </row>
    <row r="187" spans="1:11" x14ac:dyDescent="0.3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7.8141057933463709E-2</v>
      </c>
      <c r="K187" s="10"/>
    </row>
    <row r="188" spans="1:11" x14ac:dyDescent="0.3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3071.3687061206351</v>
      </c>
      <c r="J188" s="30">
        <f t="shared" si="3"/>
        <v>0.01</v>
      </c>
      <c r="K188" s="10"/>
    </row>
    <row r="189" spans="1:11" x14ac:dyDescent="0.3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27642.318355085714</v>
      </c>
      <c r="J189" s="30">
        <f t="shared" si="3"/>
        <v>0.09</v>
      </c>
      <c r="K189" s="10"/>
    </row>
    <row r="190" spans="1:11" x14ac:dyDescent="0.3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274557.7570966786</v>
      </c>
      <c r="J190" s="30">
        <f t="shared" si="3"/>
        <v>0.89392640014055913</v>
      </c>
      <c r="K190" s="10"/>
    </row>
    <row r="191" spans="1:11" x14ac:dyDescent="0.3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32579.113515384903</v>
      </c>
      <c r="J191" s="30">
        <f t="shared" si="3"/>
        <v>0.10607359985944091</v>
      </c>
      <c r="K191" s="10"/>
    </row>
    <row r="192" spans="1:11" ht="18.5" x14ac:dyDescent="0.45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3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32579.113515384903</v>
      </c>
      <c r="J196" s="30">
        <f t="shared" si="3"/>
        <v>0.10607359985944091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9" t="s">
        <v>188</v>
      </c>
      <c r="D208" s="119"/>
      <c r="E208" s="153" t="str">
        <f>CustomerName</f>
        <v>Bobby Story</v>
      </c>
      <c r="F208" s="154"/>
      <c r="G208" s="154"/>
      <c r="H208" s="154"/>
      <c r="I208" s="155"/>
      <c r="J208" s="10"/>
      <c r="K208" s="10"/>
    </row>
    <row r="209" spans="1:11" x14ac:dyDescent="0.3">
      <c r="A209" s="10"/>
      <c r="B209" s="10"/>
      <c r="C209" s="120" t="s">
        <v>189</v>
      </c>
      <c r="D209" s="121"/>
      <c r="E209" s="153" t="str">
        <f>CompanyName</f>
        <v>University Park Auto Spa</v>
      </c>
      <c r="F209" s="154"/>
      <c r="G209" s="154"/>
      <c r="H209" s="154"/>
      <c r="I209" s="155"/>
      <c r="J209" s="10"/>
      <c r="K209" s="10"/>
    </row>
    <row r="210" spans="1:11" x14ac:dyDescent="0.3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3">
      <c r="A211" s="10"/>
      <c r="B211" s="10"/>
      <c r="C211" s="124"/>
      <c r="D211" s="125"/>
      <c r="E211" s="163" t="str">
        <f>AddressLine2</f>
        <v>3212 University Place</v>
      </c>
      <c r="F211" s="164"/>
      <c r="G211" s="164"/>
      <c r="H211" s="164"/>
      <c r="I211" s="165"/>
      <c r="J211" s="10"/>
      <c r="K211" s="10"/>
    </row>
    <row r="212" spans="1:11" x14ac:dyDescent="0.3">
      <c r="A212" s="10"/>
      <c r="B212" s="10"/>
      <c r="C212" s="126"/>
      <c r="D212" s="127"/>
      <c r="E212" s="166" t="str">
        <f>AddressLine3</f>
        <v>Durant OK 74701</v>
      </c>
      <c r="F212" s="167"/>
      <c r="G212" s="167"/>
      <c r="H212" s="167"/>
      <c r="I212" s="168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3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3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33976.391135869562</v>
      </c>
      <c r="J217" s="179"/>
      <c r="K217" s="10"/>
    </row>
    <row r="218" spans="1:11" ht="18.5" x14ac:dyDescent="0.45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6" x14ac:dyDescent="0.3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3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7</v>
      </c>
      <c r="G220" s="139">
        <f>'Input Form'!$D$19</f>
        <v>0.45</v>
      </c>
      <c r="H220" s="140"/>
      <c r="I220" s="20">
        <f>I$217*F220*G220</f>
        <v>107025.63207798912</v>
      </c>
      <c r="J220" s="30">
        <f>IFERROR((I220/I$225),0)</f>
        <v>0.2592592592592593</v>
      </c>
      <c r="K220" s="10"/>
    </row>
    <row r="221" spans="1:11" x14ac:dyDescent="0.3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50964.586703804336</v>
      </c>
      <c r="J221" s="30">
        <f t="shared" ref="J221:J227" si="4">IFERROR((I221/I$225),0)</f>
        <v>0.12345679012345678</v>
      </c>
      <c r="K221" s="10"/>
    </row>
    <row r="222" spans="1:11" x14ac:dyDescent="0.3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76446.880055706511</v>
      </c>
      <c r="J222" s="30">
        <f t="shared" si="4"/>
        <v>0.18518518518518517</v>
      </c>
      <c r="K222" s="10"/>
    </row>
    <row r="223" spans="1:11" x14ac:dyDescent="0.3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135905.56454347825</v>
      </c>
      <c r="J223" s="30">
        <f t="shared" si="4"/>
        <v>0.32921810699588477</v>
      </c>
      <c r="K223" s="10"/>
    </row>
    <row r="224" spans="1:11" x14ac:dyDescent="0.3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42470.488919836956</v>
      </c>
      <c r="J224" s="30">
        <f t="shared" si="4"/>
        <v>0.10288065843621401</v>
      </c>
      <c r="K224" s="10"/>
    </row>
    <row r="225" spans="1:11" x14ac:dyDescent="0.3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412813.15230081516</v>
      </c>
      <c r="J225" s="30">
        <f t="shared" si="4"/>
        <v>1</v>
      </c>
      <c r="K225" s="10"/>
    </row>
    <row r="226" spans="1:11" x14ac:dyDescent="0.3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-7430.6367414146725</v>
      </c>
      <c r="J226" s="30">
        <f t="shared" si="4"/>
        <v>-1.7999999999999999E-2</v>
      </c>
      <c r="K226" s="10"/>
    </row>
    <row r="227" spans="1:11" x14ac:dyDescent="0.3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405382.51555940049</v>
      </c>
      <c r="J227" s="30">
        <f t="shared" si="4"/>
        <v>0.98199999999999998</v>
      </c>
      <c r="K227" s="10"/>
    </row>
    <row r="228" spans="1:11" ht="18.5" x14ac:dyDescent="0.45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3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12161.475466782014</v>
      </c>
      <c r="J229" s="30">
        <f>IFERROR((I229/I$227),0)</f>
        <v>0.03</v>
      </c>
      <c r="K229" s="10"/>
    </row>
    <row r="230" spans="1:11" x14ac:dyDescent="0.3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23428.106565884762</v>
      </c>
      <c r="J230" s="30">
        <f t="shared" ref="J230:J247" si="5">IFERROR((I230/I$227),0)</f>
        <v>5.7792592592592597E-2</v>
      </c>
      <c r="K230" s="10"/>
    </row>
    <row r="231" spans="1:11" x14ac:dyDescent="0.3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4053.8251555940051</v>
      </c>
      <c r="J231" s="30">
        <f t="shared" si="5"/>
        <v>0.01</v>
      </c>
      <c r="K231" s="10"/>
    </row>
    <row r="232" spans="1:11" x14ac:dyDescent="0.3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2.9601671358323905E-2</v>
      </c>
      <c r="K232" s="10"/>
    </row>
    <row r="233" spans="1:11" x14ac:dyDescent="0.3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0.40452460011431118</v>
      </c>
      <c r="K233" s="10"/>
    </row>
    <row r="234" spans="1:11" x14ac:dyDescent="0.3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4053.8251555940051</v>
      </c>
      <c r="J234" s="30">
        <f t="shared" si="5"/>
        <v>0.01</v>
      </c>
      <c r="K234" s="10"/>
    </row>
    <row r="235" spans="1:11" x14ac:dyDescent="0.3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4053.8251555940051</v>
      </c>
      <c r="J235" s="30">
        <f t="shared" si="5"/>
        <v>0.01</v>
      </c>
      <c r="K235" s="10"/>
    </row>
    <row r="236" spans="1:11" x14ac:dyDescent="0.3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6080.7377333910072</v>
      </c>
      <c r="J236" s="30">
        <f t="shared" si="5"/>
        <v>1.4999999999999999E-2</v>
      </c>
      <c r="K236" s="10"/>
    </row>
    <row r="237" spans="1:11" x14ac:dyDescent="0.3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4053.8251555940051</v>
      </c>
      <c r="J237" s="30">
        <f t="shared" si="5"/>
        <v>0.01</v>
      </c>
      <c r="K237" s="10"/>
    </row>
    <row r="238" spans="1:11" x14ac:dyDescent="0.3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5.920334271664781E-2</v>
      </c>
      <c r="K238" s="10"/>
    </row>
    <row r="239" spans="1:11" x14ac:dyDescent="0.3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4053.8251555940051</v>
      </c>
      <c r="J239" s="30">
        <f t="shared" si="5"/>
        <v>0.01</v>
      </c>
      <c r="K239" s="10"/>
    </row>
    <row r="240" spans="1:11" x14ac:dyDescent="0.3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36484.426400346041</v>
      </c>
      <c r="J240" s="30">
        <f t="shared" si="5"/>
        <v>0.09</v>
      </c>
      <c r="K240" s="10"/>
    </row>
    <row r="241" spans="1:11" x14ac:dyDescent="0.3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298411.07194437389</v>
      </c>
      <c r="J241" s="30">
        <f t="shared" si="5"/>
        <v>0.73612220678187557</v>
      </c>
      <c r="K241" s="10"/>
    </row>
    <row r="242" spans="1:11" x14ac:dyDescent="0.3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106971.4436150266</v>
      </c>
      <c r="J242" s="30">
        <f t="shared" si="5"/>
        <v>0.26387779321812443</v>
      </c>
      <c r="K242" s="10"/>
    </row>
    <row r="243" spans="1:11" ht="18.5" x14ac:dyDescent="0.45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3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106971.4436150266</v>
      </c>
      <c r="J247" s="30">
        <f t="shared" si="5"/>
        <v>0.26387779321812443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9" t="s">
        <v>188</v>
      </c>
      <c r="D259" s="119"/>
      <c r="E259" s="153" t="str">
        <f>CustomerName</f>
        <v>Bobby Story</v>
      </c>
      <c r="F259" s="154"/>
      <c r="G259" s="154"/>
      <c r="H259" s="154"/>
      <c r="I259" s="155"/>
      <c r="J259" s="10"/>
      <c r="K259" s="10"/>
    </row>
    <row r="260" spans="1:11" x14ac:dyDescent="0.3">
      <c r="A260" s="10"/>
      <c r="B260" s="10"/>
      <c r="C260" s="120" t="s">
        <v>189</v>
      </c>
      <c r="D260" s="121"/>
      <c r="E260" s="153" t="str">
        <f>CompanyName</f>
        <v>University Park Auto Spa</v>
      </c>
      <c r="F260" s="154"/>
      <c r="G260" s="154"/>
      <c r="H260" s="154"/>
      <c r="I260" s="155"/>
      <c r="J260" s="10"/>
      <c r="K260" s="10"/>
    </row>
    <row r="261" spans="1:11" x14ac:dyDescent="0.3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3">
      <c r="A262" s="10"/>
      <c r="B262" s="10"/>
      <c r="C262" s="124"/>
      <c r="D262" s="125"/>
      <c r="E262" s="163" t="str">
        <f>AddressLine2</f>
        <v>3212 University Place</v>
      </c>
      <c r="F262" s="164"/>
      <c r="G262" s="164"/>
      <c r="H262" s="164"/>
      <c r="I262" s="165"/>
      <c r="J262" s="10"/>
      <c r="K262" s="10"/>
    </row>
    <row r="263" spans="1:11" x14ac:dyDescent="0.3">
      <c r="A263" s="10"/>
      <c r="B263" s="10"/>
      <c r="C263" s="126"/>
      <c r="D263" s="127"/>
      <c r="E263" s="166" t="str">
        <f>AddressLine3</f>
        <v>Durant OK 74701</v>
      </c>
      <c r="F263" s="167"/>
      <c r="G263" s="167"/>
      <c r="H263" s="167"/>
      <c r="I263" s="168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3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3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36774.446876470589</v>
      </c>
      <c r="J268" s="179"/>
      <c r="K268" s="10"/>
    </row>
    <row r="269" spans="1:11" ht="18.5" x14ac:dyDescent="0.45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6" x14ac:dyDescent="0.3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3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7</v>
      </c>
      <c r="G271" s="139">
        <f>'Input Form'!$D$19</f>
        <v>0.45</v>
      </c>
      <c r="H271" s="140"/>
      <c r="I271" s="20">
        <f>I$268*F271*G271</f>
        <v>115839.50766088236</v>
      </c>
      <c r="J271" s="30">
        <f>IFERROR((I271/I$276),0)</f>
        <v>0.25925925925925924</v>
      </c>
      <c r="K271" s="10"/>
    </row>
    <row r="272" spans="1:11" x14ac:dyDescent="0.3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55161.67031470588</v>
      </c>
      <c r="J272" s="30">
        <f t="shared" ref="J272:J278" si="7">IFERROR((I272/I$276),0)</f>
        <v>0.12345679012345677</v>
      </c>
      <c r="K272" s="10"/>
    </row>
    <row r="273" spans="1:11" x14ac:dyDescent="0.3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82742.505472058823</v>
      </c>
      <c r="J273" s="30">
        <f t="shared" si="7"/>
        <v>0.18518518518518515</v>
      </c>
      <c r="K273" s="10"/>
    </row>
    <row r="274" spans="1:11" x14ac:dyDescent="0.3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147097.78750588236</v>
      </c>
      <c r="J274" s="30">
        <f t="shared" si="7"/>
        <v>0.32921810699588472</v>
      </c>
      <c r="K274" s="10"/>
    </row>
    <row r="275" spans="1:11" x14ac:dyDescent="0.3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45968.058595588242</v>
      </c>
      <c r="J275" s="30">
        <f t="shared" si="7"/>
        <v>0.10288065843621398</v>
      </c>
      <c r="K275" s="10"/>
    </row>
    <row r="276" spans="1:11" x14ac:dyDescent="0.3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446809.52954911772</v>
      </c>
      <c r="J276" s="30">
        <f t="shared" si="7"/>
        <v>1</v>
      </c>
      <c r="K276" s="10"/>
    </row>
    <row r="277" spans="1:11" x14ac:dyDescent="0.3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-8042.5715318841185</v>
      </c>
      <c r="J277" s="30">
        <f t="shared" si="7"/>
        <v>-1.7999999999999999E-2</v>
      </c>
      <c r="K277" s="10"/>
    </row>
    <row r="278" spans="1:11" x14ac:dyDescent="0.3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438766.95801723358</v>
      </c>
      <c r="J278" s="30">
        <f t="shared" si="7"/>
        <v>0.98199999999999998</v>
      </c>
      <c r="K278" s="10"/>
    </row>
    <row r="279" spans="1:11" ht="18.5" x14ac:dyDescent="0.45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3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13163.008740517007</v>
      </c>
      <c r="J280" s="30">
        <f>IFERROR((I280/I$278),0)</f>
        <v>0.03</v>
      </c>
      <c r="K280" s="10"/>
    </row>
    <row r="281" spans="1:11" x14ac:dyDescent="0.3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25357.480047781162</v>
      </c>
      <c r="J281" s="30">
        <f t="shared" ref="J281:J298" si="8">IFERROR((I281/I$278),0)</f>
        <v>5.7792592592592604E-2</v>
      </c>
      <c r="K281" s="10"/>
    </row>
    <row r="282" spans="1:11" x14ac:dyDescent="0.3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4387.6695801723363</v>
      </c>
      <c r="J282" s="30">
        <f t="shared" si="8"/>
        <v>0.01</v>
      </c>
      <c r="K282" s="10"/>
    </row>
    <row r="283" spans="1:11" x14ac:dyDescent="0.3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2.7349370276712297E-2</v>
      </c>
      <c r="K283" s="10"/>
    </row>
    <row r="284" spans="1:11" x14ac:dyDescent="0.3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0.3737455544534396</v>
      </c>
      <c r="K284" s="10"/>
    </row>
    <row r="285" spans="1:11" x14ac:dyDescent="0.3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4387.6695801723363</v>
      </c>
      <c r="J285" s="30">
        <f t="shared" si="8"/>
        <v>0.01</v>
      </c>
      <c r="K285" s="10"/>
    </row>
    <row r="286" spans="1:11" x14ac:dyDescent="0.3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4387.6695801723363</v>
      </c>
      <c r="J286" s="30">
        <f t="shared" si="8"/>
        <v>0.01</v>
      </c>
      <c r="K286" s="10"/>
    </row>
    <row r="287" spans="1:11" x14ac:dyDescent="0.3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6581.5043702585035</v>
      </c>
      <c r="J287" s="30">
        <f t="shared" si="8"/>
        <v>1.4999999999999999E-2</v>
      </c>
      <c r="K287" s="10"/>
    </row>
    <row r="288" spans="1:11" x14ac:dyDescent="0.3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4387.6695801723363</v>
      </c>
      <c r="J288" s="30">
        <f t="shared" si="8"/>
        <v>0.01</v>
      </c>
      <c r="K288" s="10"/>
    </row>
    <row r="289" spans="1:11" x14ac:dyDescent="0.3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5.4698740553424594E-2</v>
      </c>
      <c r="K289" s="10"/>
    </row>
    <row r="290" spans="1:11" x14ac:dyDescent="0.3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4387.6695801723363</v>
      </c>
      <c r="J290" s="30">
        <f t="shared" si="8"/>
        <v>0.01</v>
      </c>
      <c r="K290" s="10"/>
    </row>
    <row r="291" spans="1:11" x14ac:dyDescent="0.3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39489.026221551023</v>
      </c>
      <c r="J291" s="30">
        <f t="shared" si="8"/>
        <v>0.09</v>
      </c>
      <c r="K291" s="10"/>
    </row>
    <row r="292" spans="1:11" x14ac:dyDescent="0.3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306516.56728096941</v>
      </c>
      <c r="J292" s="30">
        <f t="shared" si="8"/>
        <v>0.69858625787616913</v>
      </c>
      <c r="K292" s="10"/>
    </row>
    <row r="293" spans="1:11" x14ac:dyDescent="0.3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132250.39073626418</v>
      </c>
      <c r="J293" s="30">
        <f t="shared" si="8"/>
        <v>0.30141374212383087</v>
      </c>
      <c r="K293" s="10"/>
    </row>
    <row r="294" spans="1:11" ht="18.5" x14ac:dyDescent="0.45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3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132250.39073626418</v>
      </c>
      <c r="J298" s="30">
        <f t="shared" si="8"/>
        <v>0.30141374212383087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9" t="s">
        <v>188</v>
      </c>
      <c r="D310" s="119"/>
      <c r="E310" s="153" t="str">
        <f>CustomerName</f>
        <v>Bobby Story</v>
      </c>
      <c r="F310" s="154"/>
      <c r="G310" s="154"/>
      <c r="H310" s="154"/>
      <c r="I310" s="155"/>
      <c r="J310" s="10"/>
      <c r="K310" s="10"/>
    </row>
    <row r="311" spans="1:11" x14ac:dyDescent="0.3">
      <c r="A311" s="10"/>
      <c r="B311" s="10"/>
      <c r="C311" s="120" t="s">
        <v>189</v>
      </c>
      <c r="D311" s="121"/>
      <c r="E311" s="153" t="str">
        <f>CompanyName</f>
        <v>University Park Auto Spa</v>
      </c>
      <c r="F311" s="154"/>
      <c r="G311" s="154"/>
      <c r="H311" s="154"/>
      <c r="I311" s="155"/>
      <c r="J311" s="10"/>
      <c r="K311" s="10"/>
    </row>
    <row r="312" spans="1:11" x14ac:dyDescent="0.3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3">
      <c r="A313" s="10"/>
      <c r="B313" s="10"/>
      <c r="C313" s="124"/>
      <c r="D313" s="125"/>
      <c r="E313" s="163" t="str">
        <f>AddressLine2</f>
        <v>3212 University Place</v>
      </c>
      <c r="F313" s="164"/>
      <c r="G313" s="164"/>
      <c r="H313" s="164"/>
      <c r="I313" s="165"/>
      <c r="J313" s="10"/>
      <c r="K313" s="10"/>
    </row>
    <row r="314" spans="1:11" x14ac:dyDescent="0.3">
      <c r="A314" s="10"/>
      <c r="B314" s="10"/>
      <c r="C314" s="126"/>
      <c r="D314" s="127"/>
      <c r="E314" s="166" t="str">
        <f>AddressLine3</f>
        <v>Durant OK 74701</v>
      </c>
      <c r="F314" s="167"/>
      <c r="G314" s="167"/>
      <c r="H314" s="167"/>
      <c r="I314" s="168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3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3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38119.853469512193</v>
      </c>
      <c r="J319" s="179"/>
      <c r="K319" s="10"/>
    </row>
    <row r="320" spans="1:11" ht="18.5" x14ac:dyDescent="0.45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6" x14ac:dyDescent="0.3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3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7</v>
      </c>
      <c r="G322" s="139">
        <f>'Input Form'!$D$19</f>
        <v>0.45</v>
      </c>
      <c r="H322" s="140"/>
      <c r="I322" s="20">
        <f>I$319*F322*G322</f>
        <v>120077.53842896341</v>
      </c>
      <c r="J322" s="30">
        <f>IFERROR((I322/I$327),0)</f>
        <v>0.25925925925925924</v>
      </c>
      <c r="K322" s="10"/>
    </row>
    <row r="323" spans="1:11" x14ac:dyDescent="0.3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57179.780204268289</v>
      </c>
      <c r="J323" s="30">
        <f t="shared" ref="J323:J329" si="9">IFERROR((I323/I$327),0)</f>
        <v>0.1234567901234568</v>
      </c>
      <c r="K323" s="10"/>
    </row>
    <row r="324" spans="1:11" x14ac:dyDescent="0.3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85769.670306402433</v>
      </c>
      <c r="J324" s="30">
        <f t="shared" si="9"/>
        <v>0.1851851851851852</v>
      </c>
      <c r="K324" s="10"/>
    </row>
    <row r="325" spans="1:11" x14ac:dyDescent="0.3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152479.41387804877</v>
      </c>
      <c r="J325" s="30">
        <f t="shared" si="9"/>
        <v>0.32921810699588477</v>
      </c>
      <c r="K325" s="10"/>
    </row>
    <row r="326" spans="1:11" x14ac:dyDescent="0.3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47649.816836890241</v>
      </c>
      <c r="J326" s="30">
        <f t="shared" si="9"/>
        <v>0.102880658436214</v>
      </c>
      <c r="K326" s="10"/>
    </row>
    <row r="327" spans="1:11" x14ac:dyDescent="0.3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463156.21965457313</v>
      </c>
      <c r="J327" s="30">
        <f t="shared" si="9"/>
        <v>1</v>
      </c>
      <c r="K327" s="10"/>
    </row>
    <row r="328" spans="1:11" x14ac:dyDescent="0.3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-8336.811953782315</v>
      </c>
      <c r="J328" s="30">
        <f t="shared" si="9"/>
        <v>-1.7999999999999999E-2</v>
      </c>
      <c r="K328" s="10"/>
    </row>
    <row r="329" spans="1:11" x14ac:dyDescent="0.3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454819.40770079079</v>
      </c>
      <c r="J329" s="30">
        <f t="shared" si="9"/>
        <v>0.98199999999999998</v>
      </c>
      <c r="K329" s="10"/>
    </row>
    <row r="330" spans="1:11" ht="18.5" x14ac:dyDescent="0.45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3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13644.582231023724</v>
      </c>
      <c r="J331" s="30">
        <f>IFERROR((I331/I$329),0)</f>
        <v>0.03</v>
      </c>
      <c r="K331" s="10"/>
    </row>
    <row r="332" spans="1:11" x14ac:dyDescent="0.3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26285.192732456075</v>
      </c>
      <c r="J332" s="30">
        <f t="shared" ref="J332:J344" si="10">IFERROR((I332/I$329),0)</f>
        <v>5.7792592592592597E-2</v>
      </c>
      <c r="K332" s="10"/>
    </row>
    <row r="333" spans="1:11" x14ac:dyDescent="0.3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4548.1940770079082</v>
      </c>
      <c r="J333" s="30">
        <f t="shared" si="10"/>
        <v>0.01</v>
      </c>
      <c r="K333" s="10"/>
    </row>
    <row r="334" spans="1:11" x14ac:dyDescent="0.3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2.6384098384593047E-2</v>
      </c>
      <c r="K334" s="10"/>
    </row>
    <row r="335" spans="1:11" x14ac:dyDescent="0.3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0.36055453488449474</v>
      </c>
      <c r="K335" s="10"/>
    </row>
    <row r="336" spans="1:11" x14ac:dyDescent="0.3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4548.1940770079082</v>
      </c>
      <c r="J336" s="30">
        <f t="shared" si="10"/>
        <v>0.01</v>
      </c>
      <c r="K336" s="10"/>
    </row>
    <row r="337" spans="1:11" x14ac:dyDescent="0.3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4548.1940770079082</v>
      </c>
      <c r="J337" s="30">
        <f t="shared" si="10"/>
        <v>0.01</v>
      </c>
      <c r="K337" s="10"/>
    </row>
    <row r="338" spans="1:11" x14ac:dyDescent="0.3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6822.2911155118618</v>
      </c>
      <c r="J338" s="30">
        <f t="shared" si="10"/>
        <v>1.4999999999999999E-2</v>
      </c>
      <c r="K338" s="10"/>
    </row>
    <row r="339" spans="1:11" x14ac:dyDescent="0.3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4548.1940770079082</v>
      </c>
      <c r="J339" s="30">
        <f t="shared" si="10"/>
        <v>0.01</v>
      </c>
      <c r="K339" s="10"/>
    </row>
    <row r="340" spans="1:11" x14ac:dyDescent="0.3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5.2768196769186093E-2</v>
      </c>
      <c r="K340" s="10"/>
    </row>
    <row r="341" spans="1:11" x14ac:dyDescent="0.3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4548.1940770079082</v>
      </c>
      <c r="J341" s="30">
        <f t="shared" si="10"/>
        <v>0.01</v>
      </c>
      <c r="K341" s="10"/>
    </row>
    <row r="342" spans="1:11" x14ac:dyDescent="0.3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40933.746693071167</v>
      </c>
      <c r="J342" s="30">
        <f t="shared" si="10"/>
        <v>0.09</v>
      </c>
      <c r="K342" s="10"/>
    </row>
    <row r="343" spans="1:11" x14ac:dyDescent="0.3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310413.98315710237</v>
      </c>
      <c r="J343" s="30">
        <f t="shared" si="10"/>
        <v>0.68249942263086649</v>
      </c>
      <c r="K343" s="10"/>
    </row>
    <row r="344" spans="1:11" x14ac:dyDescent="0.3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144405.42454368842</v>
      </c>
      <c r="J344" s="30">
        <f t="shared" si="10"/>
        <v>0.31750057736913356</v>
      </c>
      <c r="K344" s="10"/>
    </row>
    <row r="345" spans="1:11" ht="18.5" x14ac:dyDescent="0.45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3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144405.42454368842</v>
      </c>
      <c r="J349" s="30">
        <f t="shared" si="11"/>
        <v>0.31750057736913356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9" t="s">
        <v>188</v>
      </c>
      <c r="D361" s="119"/>
      <c r="E361" s="153" t="str">
        <f>CustomerName</f>
        <v>Bobby Story</v>
      </c>
      <c r="F361" s="154"/>
      <c r="G361" s="154"/>
      <c r="H361" s="154"/>
      <c r="I361" s="155"/>
      <c r="J361" s="10"/>
      <c r="K361" s="10"/>
    </row>
    <row r="362" spans="1:11" x14ac:dyDescent="0.3">
      <c r="A362" s="10"/>
      <c r="B362" s="10"/>
      <c r="C362" s="120" t="s">
        <v>189</v>
      </c>
      <c r="D362" s="121"/>
      <c r="E362" s="153" t="str">
        <f>CompanyName</f>
        <v>University Park Auto Spa</v>
      </c>
      <c r="F362" s="154"/>
      <c r="G362" s="154"/>
      <c r="H362" s="154"/>
      <c r="I362" s="155"/>
      <c r="J362" s="10"/>
      <c r="K362" s="10"/>
    </row>
    <row r="363" spans="1:11" x14ac:dyDescent="0.3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3">
      <c r="A364" s="10"/>
      <c r="B364" s="10"/>
      <c r="C364" s="124"/>
      <c r="D364" s="125"/>
      <c r="E364" s="163" t="str">
        <f>AddressLine2</f>
        <v>3212 University Place</v>
      </c>
      <c r="F364" s="164"/>
      <c r="G364" s="164"/>
      <c r="H364" s="164"/>
      <c r="I364" s="165"/>
      <c r="J364" s="10"/>
      <c r="K364" s="10"/>
    </row>
    <row r="365" spans="1:11" x14ac:dyDescent="0.3">
      <c r="A365" s="10"/>
      <c r="B365" s="10"/>
      <c r="C365" s="126"/>
      <c r="D365" s="127"/>
      <c r="E365" s="166" t="str">
        <f>AddressLine3</f>
        <v>Durant OK 74701</v>
      </c>
      <c r="F365" s="167"/>
      <c r="G365" s="167"/>
      <c r="H365" s="167"/>
      <c r="I365" s="168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3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3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41129.315585526318</v>
      </c>
      <c r="J370" s="179"/>
      <c r="K370" s="10"/>
    </row>
    <row r="371" spans="1:11" ht="18.5" x14ac:dyDescent="0.45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6" x14ac:dyDescent="0.3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3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7</v>
      </c>
      <c r="G373" s="139">
        <f>'Input Form'!$D$19</f>
        <v>0.45</v>
      </c>
      <c r="H373" s="140"/>
      <c r="I373" s="20">
        <f>I$370*F373*G373</f>
        <v>129557.34409440792</v>
      </c>
      <c r="J373" s="30">
        <f>IFERROR((I373/I$378),0)</f>
        <v>0.25925925925925924</v>
      </c>
      <c r="K373" s="10"/>
    </row>
    <row r="374" spans="1:11" x14ac:dyDescent="0.3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61693.973378289476</v>
      </c>
      <c r="J374" s="30">
        <f t="shared" ref="J374:J380" si="13">IFERROR((I374/I$378),0)</f>
        <v>0.12345679012345678</v>
      </c>
      <c r="K374" s="10"/>
    </row>
    <row r="375" spans="1:11" x14ac:dyDescent="0.3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92540.960067434222</v>
      </c>
      <c r="J375" s="30">
        <f t="shared" si="13"/>
        <v>0.18518518518518517</v>
      </c>
      <c r="K375" s="10"/>
    </row>
    <row r="376" spans="1:11" x14ac:dyDescent="0.3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164517.26234210527</v>
      </c>
      <c r="J376" s="30">
        <f t="shared" si="13"/>
        <v>0.32921810699588472</v>
      </c>
      <c r="K376" s="10"/>
    </row>
    <row r="377" spans="1:11" x14ac:dyDescent="0.3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51411.644481907897</v>
      </c>
      <c r="J377" s="30">
        <f t="shared" si="13"/>
        <v>0.10288065843621398</v>
      </c>
      <c r="K377" s="10"/>
    </row>
    <row r="378" spans="1:11" x14ac:dyDescent="0.3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499721.18436414481</v>
      </c>
      <c r="J378" s="30">
        <f t="shared" si="13"/>
        <v>1</v>
      </c>
      <c r="K378" s="10"/>
    </row>
    <row r="379" spans="1:11" x14ac:dyDescent="0.3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-8994.9813185546063</v>
      </c>
      <c r="J379" s="30">
        <f t="shared" si="13"/>
        <v>-1.7999999999999999E-2</v>
      </c>
      <c r="K379" s="10"/>
    </row>
    <row r="380" spans="1:11" x14ac:dyDescent="0.3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490726.2030455902</v>
      </c>
      <c r="J380" s="30">
        <f t="shared" si="13"/>
        <v>0.98199999999999998</v>
      </c>
      <c r="K380" s="10"/>
    </row>
    <row r="381" spans="1:11" ht="18.5" x14ac:dyDescent="0.45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3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14721.786091367705</v>
      </c>
      <c r="J382" s="30">
        <f>IFERROR((I382/I$380),0)</f>
        <v>0.03</v>
      </c>
      <c r="K382" s="10"/>
    </row>
    <row r="383" spans="1:11" x14ac:dyDescent="0.3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28360.339527123666</v>
      </c>
      <c r="J383" s="30">
        <f t="shared" ref="J383:J395" si="14">IFERROR((I383/I$380),0)</f>
        <v>5.7792592592592597E-2</v>
      </c>
      <c r="K383" s="10"/>
    </row>
    <row r="384" spans="1:11" x14ac:dyDescent="0.3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4907.2620304559023</v>
      </c>
      <c r="J384" s="30">
        <f t="shared" si="14"/>
        <v>0.01</v>
      </c>
      <c r="K384" s="10"/>
    </row>
    <row r="385" spans="1:11" x14ac:dyDescent="0.3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2.4453554600354522E-2</v>
      </c>
      <c r="K385" s="10"/>
    </row>
    <row r="386" spans="1:11" x14ac:dyDescent="0.3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0.33417249574660479</v>
      </c>
      <c r="K386" s="10"/>
    </row>
    <row r="387" spans="1:11" x14ac:dyDescent="0.3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4907.2620304559023</v>
      </c>
      <c r="J387" s="30">
        <f t="shared" si="14"/>
        <v>0.01</v>
      </c>
      <c r="K387" s="10"/>
    </row>
    <row r="388" spans="1:11" x14ac:dyDescent="0.3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4907.2620304559023</v>
      </c>
      <c r="J388" s="30">
        <f t="shared" si="14"/>
        <v>0.01</v>
      </c>
      <c r="K388" s="10"/>
    </row>
    <row r="389" spans="1:11" x14ac:dyDescent="0.3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7360.8930456838525</v>
      </c>
      <c r="J389" s="30">
        <f t="shared" si="14"/>
        <v>1.4999999999999999E-2</v>
      </c>
      <c r="K389" s="10"/>
    </row>
    <row r="390" spans="1:11" x14ac:dyDescent="0.3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4907.2620304559023</v>
      </c>
      <c r="J390" s="30">
        <f t="shared" si="14"/>
        <v>0.01</v>
      </c>
      <c r="K390" s="10"/>
    </row>
    <row r="391" spans="1:11" x14ac:dyDescent="0.3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4.8907109200709044E-2</v>
      </c>
      <c r="K391" s="10"/>
    </row>
    <row r="392" spans="1:11" x14ac:dyDescent="0.3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4907.2620304559023</v>
      </c>
      <c r="J392" s="30">
        <f t="shared" si="14"/>
        <v>0.01</v>
      </c>
      <c r="K392" s="10"/>
    </row>
    <row r="393" spans="1:11" x14ac:dyDescent="0.3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44165.358274103113</v>
      </c>
      <c r="J393" s="30">
        <f t="shared" si="14"/>
        <v>0.09</v>
      </c>
      <c r="K393" s="10"/>
    </row>
    <row r="394" spans="1:11" x14ac:dyDescent="0.3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319131.88709055784</v>
      </c>
      <c r="J394" s="30">
        <f t="shared" si="14"/>
        <v>0.65032575214026089</v>
      </c>
      <c r="K394" s="10"/>
    </row>
    <row r="395" spans="1:11" x14ac:dyDescent="0.3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171594.31595503236</v>
      </c>
      <c r="J395" s="30">
        <f t="shared" si="14"/>
        <v>0.34967424785973911</v>
      </c>
      <c r="K395" s="10"/>
    </row>
    <row r="396" spans="1:11" ht="18.5" x14ac:dyDescent="0.45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3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171594.31595503236</v>
      </c>
      <c r="J400" s="30">
        <f t="shared" si="15"/>
        <v>0.34967424785973911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9" t="s">
        <v>188</v>
      </c>
      <c r="D412" s="119"/>
      <c r="E412" s="153" t="str">
        <f>CustomerName</f>
        <v>Bobby Story</v>
      </c>
      <c r="F412" s="154"/>
      <c r="G412" s="154"/>
      <c r="H412" s="154"/>
      <c r="I412" s="155"/>
      <c r="J412" s="10"/>
      <c r="K412" s="10"/>
    </row>
    <row r="413" spans="1:11" x14ac:dyDescent="0.3">
      <c r="A413" s="10"/>
      <c r="B413" s="10"/>
      <c r="C413" s="120" t="s">
        <v>189</v>
      </c>
      <c r="D413" s="121"/>
      <c r="E413" s="153" t="str">
        <f>CompanyName</f>
        <v>University Park Auto Spa</v>
      </c>
      <c r="F413" s="154"/>
      <c r="G413" s="154"/>
      <c r="H413" s="154"/>
      <c r="I413" s="155"/>
      <c r="J413" s="10"/>
      <c r="K413" s="10"/>
    </row>
    <row r="414" spans="1:11" x14ac:dyDescent="0.3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3">
      <c r="A415" s="10"/>
      <c r="B415" s="10"/>
      <c r="C415" s="124"/>
      <c r="D415" s="125"/>
      <c r="E415" s="163" t="str">
        <f>AddressLine2</f>
        <v>3212 University Place</v>
      </c>
      <c r="F415" s="164"/>
      <c r="G415" s="164"/>
      <c r="H415" s="164"/>
      <c r="I415" s="165"/>
      <c r="J415" s="10"/>
      <c r="K415" s="10"/>
    </row>
    <row r="416" spans="1:11" x14ac:dyDescent="0.3">
      <c r="A416" s="10"/>
      <c r="B416" s="10"/>
      <c r="C416" s="126"/>
      <c r="D416" s="127"/>
      <c r="E416" s="166" t="str">
        <f>AddressLine3</f>
        <v>Durant OK 74701</v>
      </c>
      <c r="F416" s="167"/>
      <c r="G416" s="167"/>
      <c r="H416" s="167"/>
      <c r="I416" s="168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3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3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3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3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3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3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3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3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3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JGY/+JwYakWmzpA3o3xJmQS4tTzdEtk6TnLlsPNa3jG0OLbVCixa7urEGRkgjcuDApkB8H+Zg/rze05SgojFAg==" saltValue="grJD9KwJ+KfFee4SFUPXl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2020-11-17T15:26:29Z</cp:lastPrinted>
  <dcterms:created xsi:type="dcterms:W3CDTF">2003-04-06T16:14:55Z</dcterms:created>
  <dcterms:modified xsi:type="dcterms:W3CDTF">2020-12-29T16:18:54Z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