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227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West Virginia\Evan Dailey\231 MacCorkle Ave SW, South Charleston\"/>
    </mc:Choice>
  </mc:AlternateContent>
  <xr:revisionPtr revIDLastSave="0" documentId="8_{3E12845F-4705-4AD5-A752-E8A8543950D1}" xr6:coauthVersionLast="47" xr6:coauthVersionMax="47" xr10:uidLastSave="{00000000-0000-0000-0000-000000000000}"/>
  <workbookProtection workbookPassword="FB8D" lockStructure="1"/>
  <bookViews>
    <workbookView xWindow="9510" yWindow="-90" windowWidth="19380" windowHeight="10530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Forma'!$A$1:$K$427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84" i="3" l="1"/>
  <c r="F374" i="3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C118" i="3"/>
  <c r="C119" i="3"/>
  <c r="C120" i="3"/>
  <c r="C121" i="3"/>
  <c r="C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B92" i="2" s="1"/>
  <c r="F120" i="3"/>
  <c r="C122" i="3"/>
  <c r="F83" i="2"/>
  <c r="B91" i="2" s="1"/>
  <c r="F119" i="3"/>
  <c r="I194" i="3"/>
  <c r="I296" i="3"/>
  <c r="I245" i="3"/>
  <c r="F81" i="2"/>
  <c r="B89" i="2" s="1"/>
  <c r="F117" i="3"/>
  <c r="F82" i="2"/>
  <c r="F118" i="3"/>
  <c r="I398" i="3"/>
  <c r="F85" i="2"/>
  <c r="F121" i="3"/>
  <c r="I347" i="3"/>
  <c r="E86" i="2"/>
  <c r="C86" i="2" s="1"/>
  <c r="F54" i="2"/>
  <c r="F61" i="2"/>
  <c r="E74" i="2" l="1"/>
  <c r="I319" i="3" s="1"/>
  <c r="D74" i="2"/>
  <c r="I268" i="3" s="1"/>
  <c r="I118" i="3"/>
  <c r="B90" i="2"/>
  <c r="F86" i="2"/>
  <c r="E122" i="3"/>
  <c r="I420" i="3"/>
  <c r="G122" i="3"/>
  <c r="B93" i="2"/>
  <c r="F93" i="2" s="1"/>
  <c r="I121" i="3"/>
  <c r="I117" i="3"/>
  <c r="F91" i="2"/>
  <c r="I119" i="3"/>
  <c r="F92" i="2"/>
  <c r="I120" i="3"/>
  <c r="F65" i="2"/>
  <c r="C74" i="2" s="1"/>
  <c r="F66" i="2"/>
  <c r="F74" i="2" s="1"/>
  <c r="F64" i="2"/>
  <c r="B74" i="2" s="1"/>
  <c r="I370" i="3" l="1"/>
  <c r="F89" i="2"/>
  <c r="D86" i="2"/>
  <c r="F122" i="3" s="1"/>
  <c r="C126" i="3"/>
  <c r="F90" i="2"/>
  <c r="I126" i="3" s="1"/>
  <c r="I122" i="3"/>
  <c r="C128" i="3"/>
  <c r="I128" i="3"/>
  <c r="C125" i="3"/>
  <c r="B94" i="2"/>
  <c r="C130" i="3" s="1"/>
  <c r="C129" i="3"/>
  <c r="I129" i="3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C127" i="3"/>
  <c r="I127" i="3"/>
  <c r="E75" i="2"/>
  <c r="E76" i="2" s="1"/>
  <c r="E77" i="2" s="1"/>
  <c r="D75" i="2"/>
  <c r="D76" i="2" s="1"/>
  <c r="D77" i="2" s="1"/>
  <c r="I375" i="3" l="1"/>
  <c r="I373" i="3"/>
  <c r="I377" i="3"/>
  <c r="I374" i="3"/>
  <c r="I376" i="3"/>
  <c r="F75" i="2"/>
  <c r="F76" i="2" s="1"/>
  <c r="F77" i="2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8" i="3" l="1"/>
  <c r="J378" i="3" s="1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J374" i="3" l="1"/>
  <c r="J377" i="3"/>
  <c r="I379" i="3"/>
  <c r="J379" i="3" s="1"/>
  <c r="J375" i="3"/>
  <c r="J373" i="3"/>
  <c r="J376" i="3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I380" i="3" l="1"/>
  <c r="J397" i="3" s="1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J385" i="3" l="1"/>
  <c r="I392" i="3"/>
  <c r="J392" i="3" s="1"/>
  <c r="I390" i="3"/>
  <c r="J390" i="3" s="1"/>
  <c r="I393" i="3"/>
  <c r="J393" i="3" s="1"/>
  <c r="J399" i="3"/>
  <c r="I382" i="3"/>
  <c r="J382" i="3" s="1"/>
  <c r="J398" i="3"/>
  <c r="I389" i="3"/>
  <c r="J389" i="3" s="1"/>
  <c r="I387" i="3"/>
  <c r="J387" i="3" s="1"/>
  <c r="I388" i="3"/>
  <c r="J388" i="3" s="1"/>
  <c r="J380" i="3"/>
  <c r="I384" i="3"/>
  <c r="J384" i="3" s="1"/>
  <c r="J386" i="3"/>
  <c r="J391" i="3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<sst xmlns="http://schemas.openxmlformats.org/spreadsheetml/2006/main" count="440" uniqueCount="200">
  <si>
    <t>CUSTOMER INFORMATION</t>
  </si>
  <si>
    <t>Customer Name</t>
  </si>
  <si>
    <t>Name</t>
  </si>
  <si>
    <t>Company Name</t>
  </si>
  <si>
    <t>Address Line 1</t>
  </si>
  <si>
    <t>Address Line 2</t>
  </si>
  <si>
    <t>Address</t>
  </si>
  <si>
    <t>Address Line 3</t>
  </si>
  <si>
    <t>Weekly Hours of Operation</t>
  </si>
  <si>
    <t>Average Daily Wash Hours</t>
  </si>
  <si>
    <t>LABOR</t>
  </si>
  <si>
    <t>Position</t>
  </si>
  <si>
    <t>Labor Hours</t>
  </si>
  <si>
    <t>Hourly Wages</t>
  </si>
  <si>
    <t>Burden Rate</t>
  </si>
  <si>
    <t>Manager</t>
  </si>
  <si>
    <t>Assistant Manager</t>
  </si>
  <si>
    <t>Attendants</t>
  </si>
  <si>
    <t>WASH PACKAGES</t>
  </si>
  <si>
    <t>Packages</t>
  </si>
  <si>
    <t>Price</t>
  </si>
  <si>
    <t>Chemical Costs</t>
  </si>
  <si>
    <t>% of Customers</t>
  </si>
  <si>
    <t>Basic Package</t>
  </si>
  <si>
    <t>Menu Package #1</t>
  </si>
  <si>
    <t>Menu Package #2</t>
  </si>
  <si>
    <t>Menu Package #3</t>
  </si>
  <si>
    <t>Menu Package #4</t>
  </si>
  <si>
    <t>WASH PACKAGE CHANGES - YEAR 2 THROUGH YEAR 5</t>
  </si>
  <si>
    <t>Year 2 Price</t>
  </si>
  <si>
    <t>Year 3 Price</t>
  </si>
  <si>
    <t>Year 4 Price</t>
  </si>
  <si>
    <t>Year 5 Price</t>
  </si>
  <si>
    <t>SITE - SPECIFIC FACTORS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</si>
  <si>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</si>
  <si>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</si>
  <si>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</si>
  <si>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</si>
  <si>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</si>
  <si>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</si>
  <si>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</si>
  <si>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One in 4 Miles</t>
  </si>
  <si>
    <t>Multiple in 4 Miles</t>
  </si>
  <si>
    <t>One in 2 Miles</t>
  </si>
  <si>
    <t>Multiple in 2 Miles</t>
  </si>
  <si>
    <t>More Than 70 Hours</t>
  </si>
  <si>
    <t>65 - 70 Hours</t>
  </si>
  <si>
    <t>60 - 64 Hours</t>
  </si>
  <si>
    <t>Less Than 60 Hours</t>
  </si>
  <si>
    <t>Type of Site</t>
  </si>
  <si>
    <t>Corner Lot With Light</t>
  </si>
  <si>
    <t>Corner Lot Without Light</t>
  </si>
  <si>
    <t>Inside Lot Near Light</t>
  </si>
  <si>
    <t>Inside Lot No Light</t>
  </si>
  <si>
    <t>Site Accessibility</t>
  </si>
  <si>
    <t>Easy In &amp; Easy Out</t>
  </si>
  <si>
    <t>Easy In/Out With Divided Highway</t>
  </si>
  <si>
    <t>Easy In Or Easy Out One Way</t>
  </si>
  <si>
    <t>Difficult In and Out</t>
  </si>
  <si>
    <t>Entrance Stack Up Area</t>
  </si>
  <si>
    <t>More Than 20 Vehicles</t>
  </si>
  <si>
    <t>20 - 15 Vehicles</t>
  </si>
  <si>
    <t>14 - 10 Vehicles</t>
  </si>
  <si>
    <t>Less Than 10 Vehicles</t>
  </si>
  <si>
    <t>Number of Free Vacuum Slots</t>
  </si>
  <si>
    <t>12 - 20 Vehicles</t>
  </si>
  <si>
    <t>Less Than 12 Vehicles</t>
  </si>
  <si>
    <t>Coin or None</t>
  </si>
  <si>
    <t>Number of Pay Stations</t>
  </si>
  <si>
    <t>3 or More</t>
  </si>
  <si>
    <t>Live Person</t>
  </si>
  <si>
    <t>Visibility</t>
  </si>
  <si>
    <t>More Than 500 Feet Both Directions</t>
  </si>
  <si>
    <t>400 - 500 Feet Both Directions</t>
  </si>
  <si>
    <t>300 - 400 Feet Both Directions</t>
  </si>
  <si>
    <t>Less Than 300 Feet Both Directions</t>
  </si>
  <si>
    <t>Traffic Speed</t>
  </si>
  <si>
    <t>Less Than 30 MPH</t>
  </si>
  <si>
    <t>30 - 40 MPH</t>
  </si>
  <si>
    <t>40 - 50 MPH</t>
  </si>
  <si>
    <t>More Than 50 MPH</t>
  </si>
  <si>
    <t>CUMULATIVE SITE SCORE:</t>
  </si>
  <si>
    <t>DEMOGRAPHIC COMPONENTS</t>
  </si>
  <si>
    <t>AVERAGE HOUSEHOLD SIZE (TARGET SIZE: 2.1)</t>
  </si>
  <si>
    <t>% of POPULATION 25 TO 65 (TARGET: 55%)</t>
  </si>
  <si>
    <t>% OF HOUSEHOLDS WITH INCOMES &gt; $35,000 (TARGET: 50%)</t>
  </si>
  <si>
    <t>BASE PRICE OF CAR WASH</t>
  </si>
  <si>
    <t>CUMULATIVE DEMOGRAPHIC SCORE</t>
  </si>
  <si>
    <t>SITE SCORES</t>
  </si>
  <si>
    <t>FIRST YEAR - START UP - TARGET SCORE</t>
  </si>
  <si>
    <t>SECOND YEAR TARGET SCORE</t>
  </si>
  <si>
    <t>MATURE TARGET SCORE</t>
  </si>
  <si>
    <t>TRAFFIC COUNT AND PROJECTED TRAFFIC INCREASES</t>
  </si>
  <si>
    <t>Traffic Count</t>
  </si>
  <si>
    <t>Year 3 Increase</t>
  </si>
  <si>
    <t>Year 4 Increase</t>
  </si>
  <si>
    <t>Year 5 Increase</t>
  </si>
  <si>
    <t>CAR WASH VOLUME ESTIMATES</t>
  </si>
  <si>
    <t>YEAR 1</t>
  </si>
  <si>
    <t>YEAR 2</t>
  </si>
  <si>
    <t>YEAR 3</t>
  </si>
  <si>
    <t>YEAR 4</t>
  </si>
  <si>
    <t>YEAR 5</t>
  </si>
  <si>
    <t>Yearly</t>
  </si>
  <si>
    <t>Monthly</t>
  </si>
  <si>
    <t>Max Daily</t>
  </si>
  <si>
    <t>Max Hourly</t>
  </si>
  <si>
    <t>CAR WASH ACQUISITION BUDGET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</si>
  <si>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</si>
  <si>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</si>
  <si>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</si>
  <si>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</si>
  <si>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</si>
  <si>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</si>
  <si>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Building</t>
  </si>
  <si>
    <t>Equipment</t>
  </si>
  <si>
    <t>Land</t>
  </si>
  <si>
    <t>Site</t>
  </si>
  <si>
    <t>Soft Costs</t>
  </si>
  <si>
    <t>Project Costs</t>
  </si>
  <si>
    <t>Bank Debt Allocation</t>
  </si>
  <si>
    <t>Interest Rate</t>
  </si>
  <si>
    <t>Term of Loan (In Months)</t>
  </si>
  <si>
    <t>Monthly Payment</t>
  </si>
  <si>
    <t>Lease Payments</t>
  </si>
  <si>
    <t>Leased Items</t>
  </si>
  <si>
    <t>Total Lease Payments</t>
  </si>
  <si>
    <t xml:space="preserve">     Exterior Express Car Wash Pro Forma</t>
  </si>
  <si>
    <t>Prepared For:</t>
  </si>
  <si>
    <t>Exterior Express Car Wash Pro Forma</t>
  </si>
  <si>
    <t>Company</t>
  </si>
  <si>
    <t>BREAK EVEN ANALYSIS</t>
  </si>
  <si>
    <t>Monthly Wash Volume</t>
  </si>
  <si>
    <t>Break Even</t>
  </si>
  <si>
    <t>Year One</t>
  </si>
  <si>
    <t>Revenue</t>
  </si>
  <si>
    <t>On-Line Service Description</t>
  </si>
  <si>
    <t>Price Per Unit</t>
  </si>
  <si>
    <t>Percentage of Customers</t>
  </si>
  <si>
    <t>Average Monthly</t>
  </si>
  <si>
    <t>Total On-Line Revenue</t>
  </si>
  <si>
    <t>Bank and Credit Card Fees</t>
  </si>
  <si>
    <t>Total Revenue</t>
  </si>
  <si>
    <t>Total Revenue Per Car</t>
  </si>
  <si>
    <t>Operational Expenses</t>
  </si>
  <si>
    <t>Expense Description</t>
  </si>
  <si>
    <t>% of Sales</t>
  </si>
  <si>
    <t>Year 1</t>
  </si>
  <si>
    <t>Advertisements and Promotions</t>
  </si>
  <si>
    <t>Chemical Supplies</t>
  </si>
  <si>
    <t>Customer Claims</t>
  </si>
  <si>
    <t>Insurance</t>
  </si>
  <si>
    <t>Labor</t>
  </si>
  <si>
    <t>Legal and Professional Fees</t>
  </si>
  <si>
    <t>Licenses and Taxes</t>
  </si>
  <si>
    <t>Miscellaneous</t>
  </si>
  <si>
    <t>Property Repairs and Maintenance</t>
  </si>
  <si>
    <t>Real Estate Taxes</t>
  </si>
  <si>
    <t>Refuse Collection</t>
  </si>
  <si>
    <t>Utilities - Electric, Water, Phone</t>
  </si>
  <si>
    <t>Total Operational Expense</t>
  </si>
  <si>
    <t>Net Annual Operational Cash Flow</t>
  </si>
  <si>
    <t>Term of Loan             (In Months)</t>
  </si>
  <si>
    <t>Total Debt</t>
  </si>
  <si>
    <t>Cash Flow Summary</t>
  </si>
  <si>
    <t>Total Operational Expenses</t>
  </si>
  <si>
    <t>Net Monthly Operational Cash Flow</t>
  </si>
  <si>
    <t>Less Bank Debt</t>
  </si>
  <si>
    <t>Less Lease Payments</t>
  </si>
  <si>
    <t>Net Cash Flow Per Month</t>
  </si>
  <si>
    <t>CASH FLOW PROJECTIONS - YEAR ONE</t>
  </si>
  <si>
    <t>Annual Wash Volume</t>
  </si>
  <si>
    <t>Percentage of Revenue</t>
  </si>
  <si>
    <t>Fixed Facility Expenses</t>
  </si>
  <si>
    <t>Total Debt Payments</t>
  </si>
  <si>
    <t>Total Fixed Facility Expense</t>
  </si>
  <si>
    <t>Net Cash Flow</t>
  </si>
  <si>
    <t>CASH FLOW PROJECTIONS - YEAR TWO</t>
  </si>
  <si>
    <t>Year Two</t>
  </si>
  <si>
    <t>CASH FLOW PROJECTIONS - YEAR THREE</t>
  </si>
  <si>
    <t xml:space="preserve">Year Three </t>
  </si>
  <si>
    <t>CASH FLOW PROJECTIONS - YEAR FOUR</t>
  </si>
  <si>
    <t>Year Four</t>
  </si>
  <si>
    <t>CASH FLOW PROJECTIONS - YEAR FIVE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</si>
  <si>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</si>
  <si>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</si>
  <si>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</si>
  <si>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</si>
  <si>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</si>
  <si>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</si>
  <si>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</si>
  <si>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</si>
  <si>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 xml:space="preserve"> </t>
  </si>
  <si>
    <t>Evan Dailey</t>
  </si>
  <si>
    <t>Express Car Wash</t>
  </si>
  <si>
    <t>231 MacCorkle Ave SW</t>
  </si>
  <si>
    <t>South Charleston, WV 25303</t>
  </si>
  <si>
    <t>TBD</t>
  </si>
  <si>
    <r>
      <t xml:space="preserve"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Original on file at SONNY'S. </t>
    </r>
    <r>
      <rPr>
        <sz val="10"/>
        <color rgb="FFFF0000"/>
        <rFont val="Calibri"/>
        <family val="2"/>
        <scheme val="minor"/>
      </rPr>
      <t xml:space="preserve">This proforma does not include additional volume or income generated from a Monthly Unlimited Program. </t>
    </r>
    <r>
      <rPr>
        <sz val="10"/>
        <rFont val="Calibri"/>
        <family val="2"/>
        <scheme val="minor"/>
      </rPr>
      <t xml:space="preserve"> </t>
    </r>
    <r>
      <rPr>
        <sz val="10"/>
        <color rgb="FFFF0000"/>
        <rFont val="Calibri"/>
        <family val="2"/>
        <scheme val="minor"/>
      </rPr>
      <t>This proforma cannot account for the population density:# of</t>
    </r>
  </si>
  <si>
    <t>market competitors ratio or the shared traffic pattern.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</si>
</sst>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7" x14ac:knownFonts="1">
    <font>
      <sz val="10"/>
      <name val="Arial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  <font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5">
    <xf numFmtId="0" fontId="0" fillId="0" borderId="0" xfId="0"/>
    <xf numFmtId="0" fontId="5" fillId="0" borderId="0" xfId="0" applyFont="1"/>
    <xf numFmtId="0" fontId="0" fillId="0" borderId="2" xfId="0" applyBorder="1"/>
    <xf numFmtId="0" fontId="6" fillId="0" borderId="0" xfId="0" applyFont="1"/>
    <xf numFmtId="44" fontId="6" fillId="0" borderId="0" xfId="0" applyNumberFormat="1" applyFont="1"/>
    <xf numFmtId="44" fontId="0" fillId="0" borderId="0" xfId="0" applyNumberFormat="1"/>
    <xf numFmtId="167" fontId="6" fillId="0" borderId="0" xfId="0" applyNumberFormat="1" applyFont="1"/>
    <xf numFmtId="168" fontId="6" fillId="0" borderId="0" xfId="0" applyNumberFormat="1" applyFont="1"/>
    <xf numFmtId="8" fontId="0" fillId="0" borderId="0" xfId="0" applyNumberFormat="1"/>
    <xf numFmtId="0" fontId="6" fillId="0" borderId="0" xfId="0" applyFont="1" applyProtection="1">
      <protection hidden="1"/>
    </xf>
    <xf numFmtId="0" fontId="12" fillId="0" borderId="0" xfId="0" applyFont="1" applyAlignment="1" applyProtection="1">
      <alignment horizontal="center"/>
      <protection hidden="1"/>
    </xf>
    <xf numFmtId="169" fontId="6" fillId="0" borderId="0" xfId="1" applyNumberFormat="1" applyFont="1" applyProtection="1">
      <protection hidden="1"/>
    </xf>
    <xf numFmtId="0" fontId="12" fillId="0" borderId="0" xfId="0" applyFont="1" applyAlignment="1" applyProtection="1">
      <alignment horizontal="center" vertical="center"/>
      <protection hidden="1"/>
    </xf>
    <xf numFmtId="165" fontId="6" fillId="0" borderId="0" xfId="0" applyNumberFormat="1" applyFont="1" applyAlignment="1" applyProtection="1">
      <alignment horizontal="center"/>
      <protection hidden="1"/>
    </xf>
    <xf numFmtId="0" fontId="13" fillId="0" borderId="0" xfId="0" applyFont="1" applyProtection="1">
      <protection hidden="1"/>
    </xf>
    <xf numFmtId="0" fontId="12" fillId="0" borderId="2" xfId="0" applyFont="1" applyBorder="1" applyAlignment="1" applyProtection="1">
      <alignment horizontal="center"/>
      <protection hidden="1"/>
    </xf>
    <xf numFmtId="166" fontId="6" fillId="0" borderId="2" xfId="1" applyNumberFormat="1" applyFont="1" applyBorder="1" applyProtection="1">
      <protection hidden="1"/>
    </xf>
    <xf numFmtId="44" fontId="6" fillId="0" borderId="2" xfId="2" applyFont="1" applyBorder="1" applyAlignment="1" applyProtection="1">
      <protection hidden="1"/>
    </xf>
    <xf numFmtId="44" fontId="6" fillId="0" borderId="2" xfId="2" applyFont="1" applyBorder="1" applyProtection="1">
      <protection hidden="1"/>
    </xf>
    <xf numFmtId="10" fontId="6" fillId="2" borderId="2" xfId="3" applyNumberFormat="1" applyFont="1" applyFill="1" applyBorder="1" applyAlignment="1" applyProtection="1">
      <protection locked="0" hidden="1"/>
    </xf>
    <xf numFmtId="44" fontId="6" fillId="2" borderId="2" xfId="2" applyFont="1" applyFill="1" applyBorder="1" applyProtection="1">
      <protection locked="0" hidden="1"/>
    </xf>
    <xf numFmtId="44" fontId="6" fillId="0" borderId="2" xfId="0" applyNumberFormat="1" applyFont="1" applyBorder="1" applyProtection="1">
      <protection hidden="1"/>
    </xf>
    <xf numFmtId="0" fontId="12" fillId="0" borderId="2" xfId="0" applyFont="1" applyBorder="1" applyAlignment="1" applyProtection="1">
      <alignment horizontal="center" vertical="center" wrapText="1"/>
      <protection hidden="1"/>
    </xf>
    <xf numFmtId="0" fontId="6" fillId="0" borderId="2" xfId="0" applyFont="1" applyBorder="1" applyProtection="1">
      <protection hidden="1"/>
    </xf>
    <xf numFmtId="10" fontId="6" fillId="0" borderId="2" xfId="0" applyNumberFormat="1" applyFont="1" applyBorder="1" applyProtection="1">
      <protection hidden="1"/>
    </xf>
    <xf numFmtId="0" fontId="12" fillId="0" borderId="2" xfId="0" applyFont="1" applyBorder="1" applyAlignment="1" applyProtection="1">
      <alignment horizontal="center" wrapText="1"/>
      <protection hidden="1"/>
    </xf>
    <xf numFmtId="10" fontId="6" fillId="0" borderId="2" xfId="3" applyNumberFormat="1" applyFont="1" applyBorder="1" applyProtection="1">
      <protection hidden="1"/>
    </xf>
    <xf numFmtId="10" fontId="6" fillId="0" borderId="2" xfId="3" applyNumberFormat="1" applyFont="1" applyFill="1" applyBorder="1" applyAlignment="1" applyProtection="1">
      <protection hidden="1"/>
    </xf>
    <xf numFmtId="44" fontId="6" fillId="0" borderId="2" xfId="2" applyFont="1" applyFill="1" applyBorder="1" applyProtection="1">
      <protection hidden="1"/>
    </xf>
    <xf numFmtId="0" fontId="12" fillId="0" borderId="0" xfId="0" applyFont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5" fillId="0" borderId="2" xfId="0" applyFont="1" applyBorder="1" applyProtection="1">
      <protection hidden="1"/>
    </xf>
    <xf numFmtId="0" fontId="5" fillId="0" borderId="0" xfId="0" applyFont="1" applyProtection="1">
      <protection hidden="1"/>
    </xf>
    <xf numFmtId="0" fontId="5" fillId="3" borderId="2" xfId="0" applyFont="1" applyFill="1" applyBorder="1" applyAlignment="1" applyProtection="1">
      <alignment horizontal="center" vertical="center" wrapText="1"/>
      <protection hidden="1"/>
    </xf>
    <xf numFmtId="0" fontId="5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5" fillId="3" borderId="2" xfId="0" applyFont="1" applyFill="1" applyBorder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1" fillId="0" borderId="2" xfId="1" applyNumberFormat="1" applyFont="1" applyBorder="1" applyAlignment="1" applyProtection="1">
      <alignment horizontal="center" wrapText="1"/>
      <protection hidden="1"/>
    </xf>
    <xf numFmtId="169" fontId="5" fillId="0" borderId="2" xfId="0" applyNumberFormat="1" applyFont="1" applyBorder="1" applyAlignment="1" applyProtection="1">
      <alignment horizontal="center" vertical="center" wrapText="1"/>
      <protection hidden="1"/>
    </xf>
    <xf numFmtId="0" fontId="4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169" fontId="10" fillId="0" borderId="2" xfId="1" applyNumberFormat="1" applyFont="1" applyBorder="1" applyProtection="1">
      <protection hidden="1"/>
    </xf>
    <xf numFmtId="0" fontId="5" fillId="0" borderId="0" xfId="0" applyFont="1" applyAlignment="1" applyProtection="1">
      <alignment horizontal="left"/>
      <protection hidden="1"/>
    </xf>
    <xf numFmtId="0" fontId="10" fillId="0" borderId="0" xfId="0" applyFont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Protection="1">
      <protection hidden="1"/>
    </xf>
    <xf numFmtId="10" fontId="0" fillId="0" borderId="2" xfId="3" applyNumberFormat="1" applyFont="1" applyBorder="1" applyProtection="1">
      <protection hidden="1"/>
    </xf>
    <xf numFmtId="0" fontId="5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5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5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5" fillId="0" borderId="2" xfId="0" applyFont="1" applyBorder="1" applyAlignment="1" applyProtection="1">
      <alignment horizontal="left" vertical="center" wrapText="1"/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1" fillId="0" borderId="0" xfId="0" applyFont="1" applyAlignment="1" applyProtection="1">
      <alignment horizontal="center"/>
      <protection hidden="1"/>
    </xf>
    <xf numFmtId="44" fontId="6" fillId="0" borderId="8" xfId="0" applyNumberFormat="1" applyFont="1" applyBorder="1" applyProtection="1">
      <protection hidden="1"/>
    </xf>
    <xf numFmtId="44" fontId="6" fillId="0" borderId="0" xfId="0" applyNumberFormat="1" applyFont="1" applyProtection="1">
      <protection hidden="1"/>
    </xf>
    <xf numFmtId="3" fontId="6" fillId="0" borderId="0" xfId="0" applyNumberFormat="1" applyFont="1" applyProtection="1">
      <protection hidden="1"/>
    </xf>
    <xf numFmtId="0" fontId="5" fillId="0" borderId="3" xfId="0" applyFont="1" applyBorder="1" applyAlignment="1" applyProtection="1">
      <alignment horizontal="left"/>
      <protection hidden="1"/>
    </xf>
    <xf numFmtId="0" fontId="5" fillId="0" borderId="6" xfId="0" applyFont="1" applyBorder="1" applyAlignment="1" applyProtection="1">
      <alignment horizontal="left"/>
      <protection hidden="1"/>
    </xf>
    <xf numFmtId="0" fontId="5" fillId="0" borderId="4" xfId="0" applyFont="1" applyBorder="1" applyAlignment="1" applyProtection="1">
      <alignment horizontal="left"/>
      <protection hidden="1"/>
    </xf>
    <xf numFmtId="0" fontId="3" fillId="3" borderId="3" xfId="0" applyFont="1" applyFill="1" applyBorder="1" applyAlignment="1" applyProtection="1">
      <alignment horizontal="center"/>
      <protection hidden="1"/>
    </xf>
    <xf numFmtId="0" fontId="3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5" fillId="3" borderId="2" xfId="0" applyFont="1" applyFill="1" applyBorder="1" applyAlignment="1" applyProtection="1">
      <alignment horizontal="center"/>
      <protection hidden="1"/>
    </xf>
    <xf numFmtId="0" fontId="5" fillId="3" borderId="3" xfId="0" applyFont="1" applyFill="1" applyBorder="1" applyAlignment="1" applyProtection="1">
      <alignment horizontal="left"/>
      <protection hidden="1"/>
    </xf>
    <xf numFmtId="0" fontId="5" fillId="3" borderId="6" xfId="0" applyFont="1" applyFill="1" applyBorder="1" applyAlignment="1" applyProtection="1">
      <alignment horizontal="left"/>
      <protection hidden="1"/>
    </xf>
    <xf numFmtId="0" fontId="5" fillId="3" borderId="4" xfId="0" applyFont="1" applyFill="1" applyBorder="1" applyAlignment="1" applyProtection="1">
      <alignment horizontal="left"/>
      <protection hidden="1"/>
    </xf>
    <xf numFmtId="0" fontId="5" fillId="3" borderId="3" xfId="0" applyFont="1" applyFill="1" applyBorder="1" applyAlignment="1" applyProtection="1">
      <alignment horizontal="center"/>
      <protection hidden="1"/>
    </xf>
    <xf numFmtId="0" fontId="5" fillId="3" borderId="6" xfId="0" applyFont="1" applyFill="1" applyBorder="1" applyAlignment="1" applyProtection="1">
      <alignment horizontal="center"/>
      <protection hidden="1"/>
    </xf>
    <xf numFmtId="0" fontId="5" fillId="3" borderId="4" xfId="0" applyFont="1" applyFill="1" applyBorder="1" applyAlignment="1" applyProtection="1">
      <alignment horizontal="center"/>
      <protection hidden="1"/>
    </xf>
    <xf numFmtId="0" fontId="5" fillId="3" borderId="1" xfId="0" applyFont="1" applyFill="1" applyBorder="1" applyAlignment="1" applyProtection="1">
      <alignment horizontal="center"/>
      <protection hidden="1"/>
    </xf>
    <xf numFmtId="0" fontId="5" fillId="3" borderId="0" xfId="0" applyFont="1" applyFill="1" applyAlignment="1" applyProtection="1">
      <alignment horizontal="center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1" fillId="2" borderId="6" xfId="0" applyFont="1" applyFill="1" applyBorder="1" applyAlignment="1" applyProtection="1">
      <alignment horizontal="center"/>
      <protection locked="0" hidden="1"/>
    </xf>
    <xf numFmtId="0" fontId="1" fillId="2" borderId="4" xfId="0" applyFont="1" applyFill="1" applyBorder="1" applyAlignment="1" applyProtection="1">
      <alignment horizontal="center"/>
      <protection locked="0" hidden="1"/>
    </xf>
    <xf numFmtId="0" fontId="7" fillId="0" borderId="2" xfId="0" applyFont="1" applyBorder="1" applyAlignment="1" applyProtection="1">
      <alignment horizontal="center" vertical="center" wrapText="1"/>
      <protection hidden="1"/>
    </xf>
    <xf numFmtId="0" fontId="14" fillId="3" borderId="3" xfId="0" applyFont="1" applyFill="1" applyBorder="1" applyAlignment="1" applyProtection="1">
      <alignment horizontal="center"/>
      <protection hidden="1"/>
    </xf>
    <xf numFmtId="0" fontId="14" fillId="3" borderId="6" xfId="0" applyFont="1" applyFill="1" applyBorder="1" applyAlignment="1" applyProtection="1">
      <alignment horizontal="center"/>
      <protection hidden="1"/>
    </xf>
    <xf numFmtId="0" fontId="14" fillId="3" borderId="4" xfId="0" applyFont="1" applyFill="1" applyBorder="1" applyAlignment="1" applyProtection="1">
      <alignment horizontal="center"/>
      <protection hidden="1"/>
    </xf>
    <xf numFmtId="0" fontId="12" fillId="0" borderId="2" xfId="0" applyFont="1" applyBorder="1" applyAlignment="1" applyProtection="1">
      <alignment horizontal="left"/>
      <protection hidden="1"/>
    </xf>
    <xf numFmtId="165" fontId="12" fillId="0" borderId="3" xfId="0" applyNumberFormat="1" applyFont="1" applyBorder="1" applyAlignment="1" applyProtection="1">
      <alignment horizontal="center"/>
      <protection hidden="1"/>
    </xf>
    <xf numFmtId="165" fontId="12" fillId="0" borderId="6" xfId="0" applyNumberFormat="1" applyFont="1" applyBorder="1" applyAlignment="1" applyProtection="1">
      <alignment horizontal="center"/>
      <protection hidden="1"/>
    </xf>
    <xf numFmtId="165" fontId="12" fillId="0" borderId="4" xfId="0" applyNumberFormat="1" applyFont="1" applyBorder="1" applyAlignment="1" applyProtection="1">
      <alignment horizontal="center"/>
      <protection hidden="1"/>
    </xf>
    <xf numFmtId="0" fontId="12" fillId="0" borderId="10" xfId="0" applyFont="1" applyBorder="1" applyAlignment="1" applyProtection="1">
      <alignment horizontal="left" vertical="center"/>
      <protection hidden="1"/>
    </xf>
    <xf numFmtId="0" fontId="12" fillId="0" borderId="11" xfId="0" applyFont="1" applyBorder="1" applyAlignment="1" applyProtection="1">
      <alignment horizontal="left" vertical="center"/>
      <protection hidden="1"/>
    </xf>
    <xf numFmtId="0" fontId="12" fillId="0" borderId="5" xfId="0" applyFont="1" applyBorder="1" applyAlignment="1" applyProtection="1">
      <alignment horizontal="left" vertical="center"/>
      <protection hidden="1"/>
    </xf>
    <xf numFmtId="0" fontId="12" fillId="0" borderId="12" xfId="0" applyFont="1" applyBorder="1" applyAlignment="1" applyProtection="1">
      <alignment horizontal="left" vertical="center"/>
      <protection hidden="1"/>
    </xf>
    <xf numFmtId="0" fontId="12" fillId="0" borderId="13" xfId="0" applyFont="1" applyBorder="1" applyAlignment="1" applyProtection="1">
      <alignment horizontal="left" vertical="center"/>
      <protection hidden="1"/>
    </xf>
    <xf numFmtId="0" fontId="12" fillId="0" borderId="14" xfId="0" applyFont="1" applyBorder="1" applyAlignment="1" applyProtection="1">
      <alignment horizontal="left" vertical="center"/>
      <protection hidden="1"/>
    </xf>
    <xf numFmtId="0" fontId="6" fillId="0" borderId="2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left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10" fontId="6" fillId="0" borderId="2" xfId="3" applyNumberFormat="1" applyFont="1" applyBorder="1" applyAlignment="1" applyProtection="1">
      <alignment horizontal="right"/>
      <protection hidden="1"/>
    </xf>
    <xf numFmtId="44" fontId="6" fillId="0" borderId="2" xfId="0" applyNumberFormat="1" applyFont="1" applyBorder="1" applyAlignment="1" applyProtection="1">
      <alignment horizontal="right"/>
      <protection hidden="1"/>
    </xf>
    <xf numFmtId="0" fontId="6" fillId="0" borderId="2" xfId="0" applyFont="1" applyBorder="1" applyAlignment="1" applyProtection="1">
      <alignment horizontal="right"/>
      <protection hidden="1"/>
    </xf>
    <xf numFmtId="10" fontId="6" fillId="0" borderId="3" xfId="3" applyNumberFormat="1" applyFont="1" applyBorder="1" applyAlignment="1" applyProtection="1">
      <alignment horizontal="right"/>
      <protection hidden="1"/>
    </xf>
    <xf numFmtId="10" fontId="6" fillId="0" borderId="4" xfId="3" applyNumberFormat="1" applyFont="1" applyBorder="1" applyAlignment="1" applyProtection="1">
      <alignment horizontal="right"/>
      <protection hidden="1"/>
    </xf>
    <xf numFmtId="0" fontId="9" fillId="3" borderId="2" xfId="0" applyFont="1" applyFill="1" applyBorder="1" applyAlignment="1" applyProtection="1">
      <alignment horizontal="center"/>
      <protection hidden="1"/>
    </xf>
    <xf numFmtId="165" fontId="12" fillId="0" borderId="10" xfId="0" applyNumberFormat="1" applyFont="1" applyBorder="1" applyAlignment="1" applyProtection="1">
      <alignment horizontal="center"/>
      <protection hidden="1"/>
    </xf>
    <xf numFmtId="165" fontId="12" fillId="0" borderId="7" xfId="0" applyNumberFormat="1" applyFont="1" applyBorder="1" applyAlignment="1" applyProtection="1">
      <alignment horizontal="center"/>
      <protection hidden="1"/>
    </xf>
    <xf numFmtId="165" fontId="12" fillId="0" borderId="11" xfId="0" applyNumberFormat="1" applyFont="1" applyBorder="1" applyAlignment="1" applyProtection="1">
      <alignment horizontal="center"/>
      <protection hidden="1"/>
    </xf>
    <xf numFmtId="165" fontId="12" fillId="0" borderId="5" xfId="0" applyNumberFormat="1" applyFont="1" applyBorder="1" applyAlignment="1" applyProtection="1">
      <alignment horizontal="center"/>
      <protection hidden="1"/>
    </xf>
    <xf numFmtId="165" fontId="12" fillId="0" borderId="0" xfId="0" applyNumberFormat="1" applyFont="1" applyAlignment="1" applyProtection="1">
      <alignment horizontal="center"/>
      <protection hidden="1"/>
    </xf>
    <xf numFmtId="165" fontId="12" fillId="0" borderId="12" xfId="0" applyNumberFormat="1" applyFont="1" applyBorder="1" applyAlignment="1" applyProtection="1">
      <alignment horizontal="center"/>
      <protection hidden="1"/>
    </xf>
    <xf numFmtId="165" fontId="12" fillId="0" borderId="13" xfId="0" applyNumberFormat="1" applyFont="1" applyBorder="1" applyAlignment="1" applyProtection="1">
      <alignment horizontal="center"/>
      <protection hidden="1"/>
    </xf>
    <xf numFmtId="165" fontId="12" fillId="0" borderId="1" xfId="0" applyNumberFormat="1" applyFont="1" applyBorder="1" applyAlignment="1" applyProtection="1">
      <alignment horizontal="center"/>
      <protection hidden="1"/>
    </xf>
    <xf numFmtId="165" fontId="12" fillId="0" borderId="14" xfId="0" applyNumberFormat="1" applyFont="1" applyBorder="1" applyAlignment="1" applyProtection="1">
      <alignment horizontal="center"/>
      <protection hidden="1"/>
    </xf>
    <xf numFmtId="0" fontId="12" fillId="0" borderId="3" xfId="0" applyFont="1" applyBorder="1" applyAlignment="1" applyProtection="1">
      <alignment horizontal="left"/>
      <protection hidden="1"/>
    </xf>
    <xf numFmtId="0" fontId="12" fillId="0" borderId="4" xfId="0" applyFont="1" applyBorder="1" applyAlignment="1" applyProtection="1">
      <alignment horizontal="left"/>
      <protection hidden="1"/>
    </xf>
    <xf numFmtId="9" fontId="6" fillId="0" borderId="2" xfId="0" applyNumberFormat="1" applyFont="1" applyBorder="1" applyAlignment="1" applyProtection="1">
      <alignment horizontal="center"/>
      <protection hidden="1"/>
    </xf>
    <xf numFmtId="0" fontId="6" fillId="0" borderId="2" xfId="0" applyFont="1" applyBorder="1" applyAlignment="1" applyProtection="1">
      <alignment horizontal="center"/>
      <protection hidden="1"/>
    </xf>
    <xf numFmtId="0" fontId="12" fillId="0" borderId="2" xfId="0" applyFont="1" applyBorder="1" applyAlignment="1" applyProtection="1">
      <alignment horizontal="center" wrapText="1"/>
      <protection hidden="1"/>
    </xf>
    <xf numFmtId="9" fontId="6" fillId="0" borderId="2" xfId="3" applyFont="1" applyFill="1" applyBorder="1" applyAlignment="1" applyProtection="1">
      <alignment horizontal="center"/>
      <protection hidden="1"/>
    </xf>
    <xf numFmtId="0" fontId="12" fillId="0" borderId="2" xfId="0" applyFont="1" applyBorder="1" applyAlignment="1" applyProtection="1">
      <alignment horizontal="center"/>
      <protection hidden="1"/>
    </xf>
    <xf numFmtId="43" fontId="13" fillId="0" borderId="2" xfId="1" applyFont="1" applyBorder="1" applyAlignment="1" applyProtection="1">
      <alignment horizontal="left"/>
      <protection hidden="1"/>
    </xf>
    <xf numFmtId="44" fontId="6" fillId="0" borderId="2" xfId="2" applyFont="1" applyBorder="1" applyAlignment="1" applyProtection="1">
      <alignment horizontal="center"/>
      <protection hidden="1"/>
    </xf>
    <xf numFmtId="0" fontId="2" fillId="0" borderId="6" xfId="0" applyFont="1" applyBorder="1" applyAlignment="1" applyProtection="1">
      <alignment horizontal="center"/>
      <protection hidden="1"/>
    </xf>
    <xf numFmtId="0" fontId="2" fillId="0" borderId="4" xfId="0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6" xfId="0" applyFont="1" applyBorder="1" applyAlignment="1" applyProtection="1">
      <alignment horizontal="left"/>
      <protection hidden="1"/>
    </xf>
    <xf numFmtId="44" fontId="6" fillId="0" borderId="2" xfId="0" applyNumberFormat="1" applyFont="1" applyBorder="1" applyAlignment="1" applyProtection="1">
      <alignment horizontal="center"/>
      <protection hidden="1"/>
    </xf>
    <xf numFmtId="10" fontId="6" fillId="0" borderId="3" xfId="0" applyNumberFormat="1" applyFont="1" applyBorder="1" applyAlignment="1" applyProtection="1">
      <alignment horizontal="center"/>
      <protection hidden="1"/>
    </xf>
    <xf numFmtId="10" fontId="6" fillId="0" borderId="4" xfId="0" applyNumberFormat="1" applyFont="1" applyBorder="1" applyAlignment="1" applyProtection="1">
      <alignment horizontal="center"/>
      <protection hidden="1"/>
    </xf>
    <xf numFmtId="9" fontId="6" fillId="0" borderId="3" xfId="0" applyNumberFormat="1" applyFont="1" applyBorder="1" applyAlignment="1" applyProtection="1">
      <alignment horizontal="center"/>
      <protection hidden="1"/>
    </xf>
    <xf numFmtId="9" fontId="6" fillId="0" borderId="6" xfId="0" applyNumberFormat="1" applyFont="1" applyBorder="1" applyAlignment="1" applyProtection="1">
      <alignment horizontal="center"/>
      <protection hidden="1"/>
    </xf>
    <xf numFmtId="9" fontId="6" fillId="0" borderId="4" xfId="0" applyNumberFormat="1" applyFont="1" applyBorder="1" applyAlignment="1" applyProtection="1">
      <alignment horizontal="center"/>
      <protection hidden="1"/>
    </xf>
    <xf numFmtId="0" fontId="6" fillId="0" borderId="0" xfId="0" applyFont="1" applyAlignment="1" applyProtection="1">
      <alignment horizontal="right"/>
      <protection hidden="1"/>
    </xf>
    <xf numFmtId="0" fontId="0" fillId="0" borderId="0" xfId="0" applyAlignment="1">
      <alignment horizontal="right"/>
    </xf>
    <xf numFmtId="0" fontId="6" fillId="0" borderId="0" xfId="0" applyFont="1" applyProtection="1">
      <protection hidden="1"/>
    </xf>
    <xf numFmtId="0" fontId="0" fillId="0" borderId="0" xfId="0"/>
    <xf numFmtId="0" fontId="6" fillId="0" borderId="0" xfId="0" applyFont="1" applyAlignment="1" applyProtection="1">
      <alignment horizontal="left"/>
      <protection hidden="1"/>
    </xf>
    <xf numFmtId="0" fontId="12" fillId="0" borderId="2" xfId="0" applyFont="1" applyBorder="1" applyAlignment="1" applyProtection="1">
      <alignment horizontal="center" vertical="center" wrapText="1"/>
      <protection hidden="1"/>
    </xf>
    <xf numFmtId="0" fontId="12" fillId="0" borderId="3" xfId="0" applyFont="1" applyBorder="1" applyAlignment="1" applyProtection="1">
      <alignment horizontal="center" vertical="center" wrapText="1"/>
      <protection hidden="1"/>
    </xf>
    <xf numFmtId="0" fontId="12" fillId="0" borderId="4" xfId="0" applyFont="1" applyBorder="1" applyAlignment="1" applyProtection="1">
      <alignment horizontal="center" vertical="center" wrapText="1"/>
      <protection hidden="1"/>
    </xf>
    <xf numFmtId="167" fontId="6" fillId="2" borderId="3" xfId="3" applyNumberFormat="1" applyFont="1" applyFill="1" applyBorder="1" applyAlignment="1" applyProtection="1">
      <alignment horizontal="center"/>
      <protection locked="0" hidden="1"/>
    </xf>
    <xf numFmtId="167" fontId="6" fillId="2" borderId="4" xfId="3" applyNumberFormat="1" applyFont="1" applyFill="1" applyBorder="1" applyAlignment="1" applyProtection="1">
      <alignment horizontal="center"/>
      <protection locked="0" hidden="1"/>
    </xf>
    <xf numFmtId="167" fontId="6" fillId="0" borderId="3" xfId="3" applyNumberFormat="1" applyFont="1" applyBorder="1" applyAlignment="1" applyProtection="1">
      <alignment horizontal="center"/>
      <protection hidden="1"/>
    </xf>
    <xf numFmtId="167" fontId="6" fillId="0" borderId="4" xfId="3" applyNumberFormat="1" applyFont="1" applyBorder="1" applyAlignment="1" applyProtection="1">
      <alignment horizontal="center"/>
      <protection hidden="1"/>
    </xf>
    <xf numFmtId="0" fontId="6" fillId="0" borderId="0" xfId="0" applyFont="1" applyAlignment="1">
      <alignment horizontal="right"/>
    </xf>
    <xf numFmtId="165" fontId="15" fillId="0" borderId="0" xfId="0" applyNumberFormat="1" applyFont="1" applyAlignment="1" applyProtection="1">
      <alignment horizontal="center"/>
      <protection hidden="1"/>
    </xf>
    <xf numFmtId="0" fontId="6" fillId="0" borderId="15" xfId="0" applyFont="1" applyBorder="1" applyAlignment="1" applyProtection="1">
      <alignment horizontal="left" vertical="center" wrapText="1"/>
      <protection hidden="1"/>
    </xf>
    <xf numFmtId="0" fontId="6" fillId="0" borderId="16" xfId="0" applyFont="1" applyBorder="1" applyAlignment="1" applyProtection="1">
      <alignment horizontal="left" vertical="center" wrapText="1"/>
      <protection hidden="1"/>
    </xf>
    <xf numFmtId="0" fontId="6" fillId="0" borderId="17" xfId="0" applyFont="1" applyBorder="1" applyAlignment="1" applyProtection="1">
      <alignment horizontal="left" vertical="center" wrapText="1"/>
      <protection hidden="1"/>
    </xf>
    <xf numFmtId="0" fontId="6" fillId="0" borderId="18" xfId="0" applyFont="1" applyBorder="1" applyAlignment="1" applyProtection="1">
      <alignment horizontal="left" vertical="center" wrapText="1"/>
      <protection hidden="1"/>
    </xf>
    <xf numFmtId="0" fontId="6" fillId="0" borderId="19" xfId="0" applyFont="1" applyBorder="1" applyAlignment="1" applyProtection="1">
      <alignment horizontal="left" vertical="center" wrapText="1"/>
      <protection hidden="1"/>
    </xf>
    <xf numFmtId="0" fontId="12" fillId="0" borderId="8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0" fontId="12" fillId="0" borderId="10" xfId="0" applyFont="1" applyBorder="1" applyAlignment="1" applyProtection="1">
      <alignment horizontal="center" vertical="center" wrapText="1"/>
      <protection hidden="1"/>
    </xf>
    <xf numFmtId="0" fontId="12" fillId="0" borderId="11" xfId="0" applyFont="1" applyBorder="1" applyAlignment="1" applyProtection="1">
      <alignment horizontal="center" vertical="center" wrapText="1"/>
      <protection hidden="1"/>
    </xf>
    <xf numFmtId="0" fontId="12" fillId="0" borderId="13" xfId="0" applyFont="1" applyBorder="1" applyAlignment="1" applyProtection="1">
      <alignment horizontal="center" vertical="center" wrapText="1"/>
      <protection hidden="1"/>
    </xf>
    <xf numFmtId="0" fontId="12" fillId="0" borderId="14" xfId="0" applyFont="1" applyBorder="1" applyAlignment="1" applyProtection="1">
      <alignment horizontal="center" vertical="center" wrapText="1"/>
      <protection hidden="1"/>
    </xf>
    <xf numFmtId="0" fontId="12" fillId="0" borderId="2" xfId="0" applyFont="1" applyBorder="1" applyAlignment="1" applyProtection="1">
      <alignment horizontal="left" vertical="center"/>
      <protection hidden="1"/>
    </xf>
    <xf numFmtId="0" fontId="12" fillId="0" borderId="0" xfId="0" applyFont="1" applyAlignment="1" applyProtection="1">
      <alignment horizontal="center"/>
      <protection hidden="1"/>
    </xf>
    <xf numFmtId="0" fontId="8" fillId="0" borderId="0" xfId="0" applyFont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6" fillId="0" borderId="0" xfId="0" applyFont="1" applyAlignment="1" applyProtection="1">
      <alignment horizontal="center"/>
      <protection hidden="1"/>
    </xf>
    <xf numFmtId="9" fontId="6" fillId="2" borderId="2" xfId="3" applyFont="1" applyFill="1" applyBorder="1" applyAlignment="1" applyProtection="1">
      <alignment horizontal="center"/>
      <protection locked="0" hidden="1"/>
    </xf>
    <xf numFmtId="0" fontId="12" fillId="0" borderId="8" xfId="0" applyFont="1" applyBorder="1" applyAlignment="1" applyProtection="1">
      <alignment horizontal="center" vertical="center" wrapText="1"/>
      <protection hidden="1"/>
    </xf>
    <xf numFmtId="0" fontId="12" fillId="0" borderId="9" xfId="0" applyFont="1" applyBorder="1" applyAlignment="1" applyProtection="1">
      <alignment horizontal="center" vertical="center" wrapText="1"/>
      <protection hidden="1"/>
    </xf>
    <xf numFmtId="0" fontId="6" fillId="0" borderId="0" xfId="0" applyFont="1" applyBorder="1" applyAlignment="1" applyProtection="1">
      <alignment horizontal="left" vertical="center" wrapText="1"/>
      <protection hidden="1"/>
    </xf>
    <xf numFmtId="0" fontId="16" fillId="0" borderId="20" xfId="0" applyFont="1" applyBorder="1" applyAlignment="1" applyProtection="1">
      <alignment horizontal="left"/>
      <protection hidden="1"/>
    </xf>
    <xf numFmtId="0" fontId="16" fillId="0" borderId="21" xfId="0" applyFont="1" applyBorder="1" applyAlignment="1" applyProtection="1">
      <alignment horizontal="left"/>
      <protection hidden="1"/>
    </xf>
    <xf numFmtId="0" fontId="16" fillId="0" borderId="22" xfId="0" applyFont="1" applyBorder="1" applyAlignment="1" applyProtection="1">
      <alignment horizontal="left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352425</xdr:colOff>
      <xdr:row>17</xdr:row>
      <xdr:rowOff>114300</xdr:rowOff>
    </xdr:from>
    <xdr:to>
      <xdr:col>9</xdr:col>
      <xdr:colOff>205740</xdr:colOff>
      <xdr:row>25</xdr:row>
      <xdr:rowOff>91440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CA6018-1C77-49CA-89ED-F1D29CC10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2867025"/>
          <a:ext cx="4876800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opLeftCell="A82" zoomScaleNormal="100" workbookViewId="0">
      <selection activeCell="D94" sqref="D94"/>
    </sheetView>
  </sheetViews>
  <sheetFormatPr defaultRowHeight="12.75" x14ac:dyDescent="0.2"/>
  <cols>
    <col min="1" max="1" width="24" customWidth="1"/>
    <col min="2" max="2" width="18.28515625" bestFit="1" customWidth="1"/>
    <col min="3" max="3" width="20.5703125" bestFit="1" customWidth="1"/>
    <col min="4" max="4" width="17.71093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91" t="s">
        <v>0</v>
      </c>
      <c r="B1" s="91"/>
      <c r="C1" s="91"/>
      <c r="D1" s="91"/>
      <c r="E1" s="30"/>
      <c r="F1" s="30"/>
    </row>
    <row r="2" spans="1:9" ht="15.75" x14ac:dyDescent="0.25">
      <c r="A2" s="31" t="s">
        <v>1</v>
      </c>
      <c r="B2" s="92" t="s">
        <v>193</v>
      </c>
      <c r="C2" s="93"/>
      <c r="D2" s="94"/>
      <c r="E2" s="30"/>
      <c r="F2" s="30"/>
    </row>
    <row r="3" spans="1:9" ht="15.75" x14ac:dyDescent="0.25">
      <c r="A3" s="31" t="s">
        <v>3</v>
      </c>
      <c r="B3" s="92" t="s">
        <v>194</v>
      </c>
      <c r="C3" s="93"/>
      <c r="D3" s="94"/>
      <c r="E3" s="30"/>
      <c r="F3" s="30"/>
    </row>
    <row r="4" spans="1:9" ht="15.75" x14ac:dyDescent="0.25">
      <c r="A4" s="31" t="s">
        <v>4</v>
      </c>
      <c r="B4" s="92"/>
      <c r="C4" s="93"/>
      <c r="D4" s="94"/>
      <c r="E4" s="30"/>
      <c r="F4" s="30"/>
    </row>
    <row r="5" spans="1:9" ht="15.75" x14ac:dyDescent="0.25">
      <c r="A5" s="31" t="s">
        <v>5</v>
      </c>
      <c r="B5" s="92" t="s">
        <v>195</v>
      </c>
      <c r="C5" s="93"/>
      <c r="D5" s="94"/>
      <c r="E5" s="30"/>
      <c r="F5" s="30"/>
    </row>
    <row r="6" spans="1:9" ht="15.75" x14ac:dyDescent="0.25">
      <c r="A6" s="31" t="s">
        <v>7</v>
      </c>
      <c r="B6" s="92" t="s">
        <v>196</v>
      </c>
      <c r="C6" s="93"/>
      <c r="D6" s="94"/>
      <c r="E6" s="30"/>
      <c r="F6" s="30"/>
    </row>
    <row r="7" spans="1:9" ht="15.75" x14ac:dyDescent="0.25">
      <c r="A7" s="32"/>
      <c r="B7" s="70"/>
      <c r="C7" s="70"/>
      <c r="D7" s="70"/>
      <c r="E7" s="30"/>
      <c r="F7" s="30"/>
    </row>
    <row r="8" spans="1:9" ht="31.5" x14ac:dyDescent="0.25">
      <c r="A8" s="33" t="s">
        <v>8</v>
      </c>
      <c r="B8" s="34" t="s">
        <v>9</v>
      </c>
      <c r="C8" s="30"/>
      <c r="D8" s="30"/>
      <c r="E8" s="30"/>
      <c r="F8" s="30"/>
    </row>
    <row r="9" spans="1:9" ht="12.75" customHeight="1" x14ac:dyDescent="0.2">
      <c r="A9" s="35">
        <v>84</v>
      </c>
      <c r="B9" s="36">
        <f>A9/7</f>
        <v>12</v>
      </c>
      <c r="C9" s="30"/>
      <c r="D9" s="30"/>
      <c r="E9" s="30"/>
      <c r="F9" s="30"/>
    </row>
    <row r="10" spans="1:9" x14ac:dyDescent="0.2">
      <c r="A10" s="30"/>
      <c r="B10" s="30"/>
      <c r="C10" s="30"/>
      <c r="D10" s="30"/>
      <c r="E10" s="30"/>
      <c r="F10" s="30"/>
    </row>
    <row r="11" spans="1:9" ht="15.75" x14ac:dyDescent="0.25">
      <c r="A11" s="83" t="s">
        <v>10</v>
      </c>
      <c r="B11" s="83"/>
      <c r="C11" s="83"/>
      <c r="D11" s="83"/>
      <c r="E11" s="30"/>
      <c r="F11" s="30"/>
    </row>
    <row r="12" spans="1:9" ht="15.75" x14ac:dyDescent="0.25">
      <c r="A12" s="37" t="s">
        <v>11</v>
      </c>
      <c r="B12" s="37" t="s">
        <v>12</v>
      </c>
      <c r="C12" s="37" t="s">
        <v>13</v>
      </c>
      <c r="D12" s="37" t="s">
        <v>14</v>
      </c>
      <c r="E12" s="30"/>
      <c r="F12" s="30"/>
    </row>
    <row r="13" spans="1:9" ht="15.75" x14ac:dyDescent="0.25">
      <c r="A13" s="31" t="s">
        <v>15</v>
      </c>
      <c r="B13" s="35">
        <v>49</v>
      </c>
      <c r="C13" s="38">
        <v>25</v>
      </c>
      <c r="D13" s="39">
        <v>0.2</v>
      </c>
      <c r="E13" s="30"/>
      <c r="F13" s="30"/>
      <c r="H13" s="8"/>
    </row>
    <row r="14" spans="1:9" ht="15.75" x14ac:dyDescent="0.25">
      <c r="A14" s="31" t="s">
        <v>16</v>
      </c>
      <c r="B14" s="35">
        <v>42</v>
      </c>
      <c r="C14" s="38">
        <v>20</v>
      </c>
      <c r="D14" s="39">
        <v>0.2</v>
      </c>
      <c r="E14" s="30"/>
      <c r="F14" s="30"/>
      <c r="H14" s="8"/>
    </row>
    <row r="15" spans="1:9" ht="15.75" x14ac:dyDescent="0.25">
      <c r="A15" s="31" t="s">
        <v>17</v>
      </c>
      <c r="B15" s="35">
        <v>160</v>
      </c>
      <c r="C15" s="38">
        <v>12</v>
      </c>
      <c r="D15" s="39">
        <v>0.2</v>
      </c>
      <c r="E15" s="30"/>
      <c r="F15" s="30"/>
      <c r="H15" s="8"/>
      <c r="I15" s="8"/>
    </row>
    <row r="16" spans="1:9" x14ac:dyDescent="0.2">
      <c r="A16" s="30"/>
      <c r="B16" s="30"/>
      <c r="C16" s="30"/>
      <c r="D16" s="30"/>
      <c r="E16" s="30"/>
      <c r="F16" s="30"/>
    </row>
    <row r="17" spans="1:8" ht="15.75" x14ac:dyDescent="0.25">
      <c r="A17" s="87" t="s">
        <v>18</v>
      </c>
      <c r="B17" s="88"/>
      <c r="C17" s="88"/>
      <c r="D17" s="89"/>
      <c r="E17" s="30"/>
      <c r="F17" s="30"/>
    </row>
    <row r="18" spans="1:8" ht="15.75" x14ac:dyDescent="0.25">
      <c r="A18" s="37" t="s">
        <v>19</v>
      </c>
      <c r="B18" s="37" t="s">
        <v>20</v>
      </c>
      <c r="C18" s="37" t="s">
        <v>21</v>
      </c>
      <c r="D18" s="37" t="s">
        <v>22</v>
      </c>
      <c r="E18" s="30"/>
      <c r="F18" s="30"/>
    </row>
    <row r="19" spans="1:8" ht="15.75" x14ac:dyDescent="0.25">
      <c r="A19" s="31" t="s">
        <v>23</v>
      </c>
      <c r="B19" s="40">
        <v>5</v>
      </c>
      <c r="C19" s="41">
        <v>0.45</v>
      </c>
      <c r="D19" s="39">
        <v>0.65</v>
      </c>
      <c r="E19" s="30"/>
      <c r="F19" s="30"/>
    </row>
    <row r="20" spans="1:8" ht="15.75" x14ac:dyDescent="0.25">
      <c r="A20" s="31" t="s">
        <v>24</v>
      </c>
      <c r="B20" s="40">
        <v>10</v>
      </c>
      <c r="C20" s="41">
        <v>0.88600000000000001</v>
      </c>
      <c r="D20" s="39">
        <v>0.15</v>
      </c>
      <c r="E20" s="30"/>
      <c r="F20" s="30"/>
    </row>
    <row r="21" spans="1:8" ht="15.75" x14ac:dyDescent="0.25">
      <c r="A21" s="31" t="s">
        <v>25</v>
      </c>
      <c r="B21" s="40">
        <v>15</v>
      </c>
      <c r="C21" s="41">
        <v>1.054</v>
      </c>
      <c r="D21" s="39">
        <v>0.12</v>
      </c>
      <c r="E21" s="30"/>
      <c r="F21" s="30"/>
    </row>
    <row r="22" spans="1:8" ht="15.75" x14ac:dyDescent="0.25">
      <c r="A22" s="31" t="s">
        <v>26</v>
      </c>
      <c r="B22" s="40">
        <v>20</v>
      </c>
      <c r="C22" s="41">
        <v>1.873</v>
      </c>
      <c r="D22" s="39">
        <v>0.04</v>
      </c>
      <c r="E22" s="30"/>
      <c r="F22" s="30"/>
    </row>
    <row r="23" spans="1:8" ht="15.75" x14ac:dyDescent="0.25">
      <c r="A23" s="31" t="s">
        <v>27</v>
      </c>
      <c r="B23" s="40">
        <v>25</v>
      </c>
      <c r="C23" s="41">
        <v>2.121</v>
      </c>
      <c r="D23" s="39">
        <v>0.04</v>
      </c>
      <c r="E23" s="30"/>
      <c r="F23" s="30"/>
    </row>
    <row r="24" spans="1:8" ht="15.75" x14ac:dyDescent="0.25">
      <c r="A24" s="30"/>
      <c r="B24" s="30"/>
      <c r="C24" s="30"/>
      <c r="D24" s="30"/>
      <c r="E24" s="30"/>
      <c r="F24" s="30"/>
      <c r="H24" s="1"/>
    </row>
    <row r="25" spans="1:8" ht="15.75" x14ac:dyDescent="0.25">
      <c r="A25" s="87" t="s">
        <v>28</v>
      </c>
      <c r="B25" s="88"/>
      <c r="C25" s="88"/>
      <c r="D25" s="88"/>
      <c r="E25" s="89"/>
      <c r="F25" s="30"/>
    </row>
    <row r="26" spans="1:8" ht="15.75" x14ac:dyDescent="0.25">
      <c r="A26" s="37" t="s">
        <v>19</v>
      </c>
      <c r="B26" s="37" t="s">
        <v>29</v>
      </c>
      <c r="C26" s="37" t="s">
        <v>30</v>
      </c>
      <c r="D26" s="37" t="s">
        <v>31</v>
      </c>
      <c r="E26" s="37" t="s">
        <v>32</v>
      </c>
      <c r="F26" s="30"/>
    </row>
    <row r="27" spans="1:8" ht="15.75" x14ac:dyDescent="0.25">
      <c r="A27" s="31" t="s">
        <v>23</v>
      </c>
      <c r="B27" s="40">
        <v>5</v>
      </c>
      <c r="C27" s="40">
        <v>5</v>
      </c>
      <c r="D27" s="40">
        <v>5</v>
      </c>
      <c r="E27" s="40">
        <v>5</v>
      </c>
      <c r="F27" s="30"/>
    </row>
    <row r="28" spans="1:8" ht="15.75" x14ac:dyDescent="0.25">
      <c r="A28" s="31" t="s">
        <v>24</v>
      </c>
      <c r="B28" s="40">
        <v>10</v>
      </c>
      <c r="C28" s="40">
        <v>10</v>
      </c>
      <c r="D28" s="40">
        <v>10</v>
      </c>
      <c r="E28" s="40">
        <v>10</v>
      </c>
      <c r="F28" s="30"/>
    </row>
    <row r="29" spans="1:8" ht="15.75" x14ac:dyDescent="0.25">
      <c r="A29" s="31" t="s">
        <v>25</v>
      </c>
      <c r="B29" s="40">
        <v>15</v>
      </c>
      <c r="C29" s="40">
        <v>15</v>
      </c>
      <c r="D29" s="40">
        <v>15</v>
      </c>
      <c r="E29" s="40">
        <v>15</v>
      </c>
      <c r="F29" s="30"/>
    </row>
    <row r="30" spans="1:8" ht="15.75" x14ac:dyDescent="0.25">
      <c r="A30" s="31" t="s">
        <v>26</v>
      </c>
      <c r="B30" s="40">
        <v>20</v>
      </c>
      <c r="C30" s="40">
        <v>20</v>
      </c>
      <c r="D30" s="40">
        <v>20</v>
      </c>
      <c r="E30" s="40">
        <v>20</v>
      </c>
      <c r="F30" s="30"/>
    </row>
    <row r="31" spans="1:8" ht="15.75" x14ac:dyDescent="0.25">
      <c r="A31" s="31" t="s">
        <v>27</v>
      </c>
      <c r="B31" s="40">
        <v>25</v>
      </c>
      <c r="C31" s="40">
        <v>25</v>
      </c>
      <c r="D31" s="40">
        <v>25</v>
      </c>
      <c r="E31" s="40">
        <v>25</v>
      </c>
      <c r="F31" s="30"/>
    </row>
    <row r="32" spans="1:8" x14ac:dyDescent="0.2">
      <c r="A32" s="30"/>
      <c r="B32" s="30"/>
      <c r="C32" s="30"/>
      <c r="D32" s="30"/>
      <c r="E32" s="30"/>
      <c r="F32" s="30"/>
    </row>
    <row r="33" spans="1:6" ht="15.75" x14ac:dyDescent="0.25">
      <c r="A33" s="87" t="s">
        <v>33</v>
      </c>
      <c r="B33" s="88"/>
      <c r="C33" s="88"/>
      <c r="D33" s="88"/>
      <c r="E33" s="88"/>
      <c r="F33" s="89"/>
    </row>
    <row r="34" spans="1:6" ht="15.75" x14ac:dyDescent="0.2">
      <c r="A34" s="95" t="s">
        <v>34</v>
      </c>
      <c r="B34" s="42" t="s">
        <v>35</v>
      </c>
      <c r="C34" s="42" t="s">
        <v>36</v>
      </c>
      <c r="D34" s="42" t="s">
        <v>37</v>
      </c>
      <c r="E34" s="42" t="s">
        <v>38</v>
      </c>
      <c r="F34" s="42" t="s">
        <v>39</v>
      </c>
    </row>
    <row r="35" spans="1:6" ht="17.25" x14ac:dyDescent="0.3">
      <c r="A35" s="95"/>
      <c r="B35" s="43" t="s">
        <v>192</v>
      </c>
      <c r="C35" s="43">
        <v>1</v>
      </c>
      <c r="D35" s="43"/>
      <c r="E35" s="43"/>
      <c r="F35" s="44">
        <f>IF(B35=1,0.15,IF(C35=1,0.1,IF(D35=1,0.05,IF(E35=1,-0.25,0))))</f>
        <v>0.1</v>
      </c>
    </row>
    <row r="36" spans="1:6" ht="15.75" x14ac:dyDescent="0.2">
      <c r="A36" s="95" t="s">
        <v>40</v>
      </c>
      <c r="B36" s="42" t="s">
        <v>41</v>
      </c>
      <c r="C36" s="42" t="s">
        <v>42</v>
      </c>
      <c r="D36" s="42" t="s">
        <v>43</v>
      </c>
      <c r="E36" s="42" t="s">
        <v>44</v>
      </c>
      <c r="F36" s="45" t="s">
        <v>39</v>
      </c>
    </row>
    <row r="37" spans="1:6" ht="17.25" x14ac:dyDescent="0.3">
      <c r="A37" s="95"/>
      <c r="B37" s="43"/>
      <c r="C37" s="43">
        <v>1</v>
      </c>
      <c r="D37" s="43" t="s">
        <v>192</v>
      </c>
      <c r="E37" s="43"/>
      <c r="F37" s="44">
        <f>IF(B37=1,0.15,IF(C37=1,0.125,IF(D37=1,0.075,IF(E37=1,-0.025,0))))</f>
        <v>0.125</v>
      </c>
    </row>
    <row r="38" spans="1:6" ht="30" x14ac:dyDescent="0.2">
      <c r="A38" s="95" t="s">
        <v>8</v>
      </c>
      <c r="B38" s="46" t="s">
        <v>45</v>
      </c>
      <c r="C38" s="46" t="s">
        <v>46</v>
      </c>
      <c r="D38" s="46" t="s">
        <v>47</v>
      </c>
      <c r="E38" s="46" t="s">
        <v>48</v>
      </c>
      <c r="F38" s="45" t="s">
        <v>39</v>
      </c>
    </row>
    <row r="39" spans="1:6" ht="17.25" x14ac:dyDescent="0.3">
      <c r="A39" s="95"/>
      <c r="B39" s="43">
        <v>1</v>
      </c>
      <c r="C39" s="43"/>
      <c r="D39" s="43"/>
      <c r="E39" s="43"/>
      <c r="F39" s="44">
        <f>IF(B39=1,0.15,IF(C39=1,0.1,IF(D39=1,0.025,IF(E39=1,0,0))))</f>
        <v>0.15</v>
      </c>
    </row>
    <row r="40" spans="1:6" ht="31.5" x14ac:dyDescent="0.2">
      <c r="A40" s="95" t="s">
        <v>49</v>
      </c>
      <c r="B40" s="42" t="s">
        <v>50</v>
      </c>
      <c r="C40" s="42" t="s">
        <v>51</v>
      </c>
      <c r="D40" s="42" t="s">
        <v>52</v>
      </c>
      <c r="E40" s="42" t="s">
        <v>53</v>
      </c>
      <c r="F40" s="45" t="s">
        <v>39</v>
      </c>
    </row>
    <row r="41" spans="1:6" ht="17.25" x14ac:dyDescent="0.3">
      <c r="A41" s="95"/>
      <c r="B41" s="43">
        <v>1</v>
      </c>
      <c r="C41" s="43"/>
      <c r="D41" s="43" t="s">
        <v>192</v>
      </c>
      <c r="E41" s="43"/>
      <c r="F41" s="44">
        <f>IF(B41=1,0.15,IF(C41=1,0.125,IF(D41=1,0.075,IF(E41=1,0.05,0))))</f>
        <v>0.15</v>
      </c>
    </row>
    <row r="42" spans="1:6" ht="47.25" x14ac:dyDescent="0.2">
      <c r="A42" s="95" t="s">
        <v>54</v>
      </c>
      <c r="B42" s="42" t="s">
        <v>55</v>
      </c>
      <c r="C42" s="42" t="s">
        <v>56</v>
      </c>
      <c r="D42" s="42" t="s">
        <v>57</v>
      </c>
      <c r="E42" s="42" t="s">
        <v>58</v>
      </c>
      <c r="F42" s="45" t="s">
        <v>39</v>
      </c>
    </row>
    <row r="43" spans="1:6" ht="17.25" x14ac:dyDescent="0.3">
      <c r="A43" s="95"/>
      <c r="B43" s="43">
        <v>1</v>
      </c>
      <c r="C43" s="43"/>
      <c r="D43" s="43" t="s">
        <v>192</v>
      </c>
      <c r="E43" s="43"/>
      <c r="F43" s="44">
        <f>IF(B43=1,0.15,IF(C43=1,0.1,IF(D43=1,0.05,IF(E43=1,0,0))))</f>
        <v>0.15</v>
      </c>
    </row>
    <row r="44" spans="1:6" ht="31.5" x14ac:dyDescent="0.2">
      <c r="A44" s="95" t="s">
        <v>59</v>
      </c>
      <c r="B44" s="42" t="s">
        <v>60</v>
      </c>
      <c r="C44" s="42" t="s">
        <v>61</v>
      </c>
      <c r="D44" s="42" t="s">
        <v>62</v>
      </c>
      <c r="E44" s="42" t="s">
        <v>63</v>
      </c>
      <c r="F44" s="45" t="s">
        <v>39</v>
      </c>
    </row>
    <row r="45" spans="1:6" ht="17.25" x14ac:dyDescent="0.3">
      <c r="A45" s="95"/>
      <c r="B45" s="43"/>
      <c r="C45" s="43">
        <v>1</v>
      </c>
      <c r="D45" s="43"/>
      <c r="E45" s="43"/>
      <c r="F45" s="44">
        <f>IF(B45=1,0.15,IF(C45=1,0.125,IF(D45=1,0.075,IF(E45=1,0.05,0))))</f>
        <v>0.125</v>
      </c>
    </row>
    <row r="46" spans="1:6" ht="31.5" x14ac:dyDescent="0.2">
      <c r="A46" s="95" t="s">
        <v>64</v>
      </c>
      <c r="B46" s="42" t="s">
        <v>60</v>
      </c>
      <c r="C46" s="42" t="s">
        <v>65</v>
      </c>
      <c r="D46" s="42" t="s">
        <v>66</v>
      </c>
      <c r="E46" s="42" t="s">
        <v>67</v>
      </c>
      <c r="F46" s="45" t="s">
        <v>39</v>
      </c>
    </row>
    <row r="47" spans="1:6" ht="17.25" x14ac:dyDescent="0.3">
      <c r="A47" s="95"/>
      <c r="B47" s="43"/>
      <c r="C47" s="43">
        <v>1</v>
      </c>
      <c r="D47" s="43"/>
      <c r="E47" s="43"/>
      <c r="F47" s="44">
        <f>IF(B47=1,0.15,IF(C47=1,0.1,IF(D47=1,0.05,IF(E47=1,-0.25,0))))</f>
        <v>0.1</v>
      </c>
    </row>
    <row r="48" spans="1:6" ht="15.75" x14ac:dyDescent="0.2">
      <c r="A48" s="95" t="s">
        <v>68</v>
      </c>
      <c r="B48" s="42" t="s">
        <v>69</v>
      </c>
      <c r="C48" s="42">
        <v>2</v>
      </c>
      <c r="D48" s="42">
        <v>1</v>
      </c>
      <c r="E48" s="42" t="s">
        <v>70</v>
      </c>
      <c r="F48" s="45" t="s">
        <v>39</v>
      </c>
    </row>
    <row r="49" spans="1:8" ht="17.25" x14ac:dyDescent="0.3">
      <c r="A49" s="95"/>
      <c r="B49" s="47"/>
      <c r="C49" s="47">
        <v>1</v>
      </c>
      <c r="D49" s="47"/>
      <c r="E49" s="47"/>
      <c r="F49" s="44">
        <f>IF(B49=1,0.15,IF(C49=1,0.1,IF(D49=1,0.05,IF(E49=1,0,0))))</f>
        <v>0.1</v>
      </c>
    </row>
    <row r="50" spans="1:8" ht="47.25" x14ac:dyDescent="0.2">
      <c r="A50" s="95" t="s">
        <v>71</v>
      </c>
      <c r="B50" s="42" t="s">
        <v>72</v>
      </c>
      <c r="C50" s="42" t="s">
        <v>73</v>
      </c>
      <c r="D50" s="42" t="s">
        <v>74</v>
      </c>
      <c r="E50" s="42" t="s">
        <v>75</v>
      </c>
      <c r="F50" s="45" t="s">
        <v>39</v>
      </c>
    </row>
    <row r="51" spans="1:8" ht="17.25" x14ac:dyDescent="0.3">
      <c r="A51" s="95"/>
      <c r="B51" s="43">
        <v>1</v>
      </c>
      <c r="C51" s="43"/>
      <c r="D51" s="43"/>
      <c r="E51" s="43"/>
      <c r="F51" s="44">
        <f>IF(B51=1,0.15,IF(C51=1,0.1,IF(D51=1,0.05,IF(E51=1,0,0))))</f>
        <v>0.15</v>
      </c>
    </row>
    <row r="52" spans="1:8" ht="31.5" x14ac:dyDescent="0.2">
      <c r="A52" s="95" t="s">
        <v>76</v>
      </c>
      <c r="B52" s="42" t="s">
        <v>77</v>
      </c>
      <c r="C52" s="42" t="s">
        <v>78</v>
      </c>
      <c r="D52" s="42" t="s">
        <v>79</v>
      </c>
      <c r="E52" s="42" t="s">
        <v>80</v>
      </c>
      <c r="F52" s="45" t="s">
        <v>39</v>
      </c>
    </row>
    <row r="53" spans="1:8" ht="17.25" x14ac:dyDescent="0.3">
      <c r="A53" s="95"/>
      <c r="B53" s="43"/>
      <c r="C53" s="43"/>
      <c r="D53" s="43">
        <v>1</v>
      </c>
      <c r="E53" s="43"/>
      <c r="F53" s="44">
        <f>IF(B53=1,0.15,IF(C53=1,0.1,IF(D53=1,0.05,IF(E53=1,0,0))))</f>
        <v>0.05</v>
      </c>
    </row>
    <row r="54" spans="1:8" ht="15.75" x14ac:dyDescent="0.25">
      <c r="A54" s="74" t="s">
        <v>81</v>
      </c>
      <c r="B54" s="75"/>
      <c r="C54" s="75"/>
      <c r="D54" s="75"/>
      <c r="E54" s="76"/>
      <c r="F54" s="48">
        <f>F35+F37+F39+F41+F43+F45+F47+F49+F51+F53</f>
        <v>1.2</v>
      </c>
    </row>
    <row r="55" spans="1:8" ht="15.75" x14ac:dyDescent="0.25">
      <c r="A55" s="49"/>
      <c r="B55" s="49"/>
      <c r="C55" s="49"/>
      <c r="D55" s="49"/>
      <c r="E55" s="49"/>
      <c r="F55" s="50"/>
    </row>
    <row r="56" spans="1:8" ht="15.75" x14ac:dyDescent="0.25">
      <c r="A56" s="87" t="s">
        <v>82</v>
      </c>
      <c r="B56" s="88"/>
      <c r="C56" s="88"/>
      <c r="D56" s="88"/>
      <c r="E56" s="88"/>
      <c r="F56" s="89"/>
    </row>
    <row r="57" spans="1:8" ht="15.75" x14ac:dyDescent="0.25">
      <c r="A57" s="74" t="s">
        <v>83</v>
      </c>
      <c r="B57" s="75"/>
      <c r="C57" s="75"/>
      <c r="D57" s="76"/>
      <c r="E57" s="51">
        <v>2.2000000000000002</v>
      </c>
      <c r="F57" s="52">
        <f>IF(E57&lt;2.101,-0.1*(2.1-E57),IF(E57&gt;3,-0.5*(E57-3),0))</f>
        <v>0</v>
      </c>
      <c r="H57" s="2"/>
    </row>
    <row r="58" spans="1:8" ht="15.75" x14ac:dyDescent="0.25">
      <c r="A58" s="74" t="s">
        <v>84</v>
      </c>
      <c r="B58" s="75"/>
      <c r="C58" s="75"/>
      <c r="D58" s="76"/>
      <c r="E58" s="39">
        <v>0.49199999999999999</v>
      </c>
      <c r="F58" s="53">
        <f>-0.3*(0.55-E58)</f>
        <v>-1.7400000000000016E-2</v>
      </c>
    </row>
    <row r="59" spans="1:8" ht="15.75" x14ac:dyDescent="0.25">
      <c r="A59" s="74" t="s">
        <v>85</v>
      </c>
      <c r="B59" s="75"/>
      <c r="C59" s="75"/>
      <c r="D59" s="76"/>
      <c r="E59" s="39">
        <v>0.621</v>
      </c>
      <c r="F59" s="53">
        <f>-0.75*(0.5-E59)</f>
        <v>9.0749999999999997E-2</v>
      </c>
    </row>
    <row r="60" spans="1:8" ht="15.75" x14ac:dyDescent="0.25">
      <c r="A60" s="74" t="s">
        <v>86</v>
      </c>
      <c r="B60" s="75"/>
      <c r="C60" s="75"/>
      <c r="D60" s="76"/>
      <c r="E60" s="40">
        <v>5</v>
      </c>
      <c r="F60" s="54">
        <f>IF(E60&lt;5.01,0.5*(5-E60),-0.075*(E60-5))</f>
        <v>0</v>
      </c>
    </row>
    <row r="61" spans="1:8" ht="15.75" x14ac:dyDescent="0.25">
      <c r="A61" s="74" t="s">
        <v>87</v>
      </c>
      <c r="B61" s="75"/>
      <c r="C61" s="75"/>
      <c r="D61" s="75"/>
      <c r="E61" s="76"/>
      <c r="F61" s="53">
        <f>SUM(F57:F60)/4</f>
        <v>1.8337499999999996E-2</v>
      </c>
    </row>
    <row r="62" spans="1:8" ht="15.75" x14ac:dyDescent="0.25">
      <c r="A62" s="49"/>
      <c r="B62" s="49"/>
      <c r="C62" s="49"/>
      <c r="D62" s="49"/>
      <c r="E62" s="49"/>
      <c r="F62" s="55"/>
    </row>
    <row r="63" spans="1:8" ht="15.75" x14ac:dyDescent="0.25">
      <c r="A63" s="90" t="s">
        <v>88</v>
      </c>
      <c r="B63" s="90"/>
      <c r="C63" s="90"/>
      <c r="D63" s="90"/>
      <c r="E63" s="90"/>
      <c r="F63" s="90"/>
    </row>
    <row r="64" spans="1:8" ht="15.75" x14ac:dyDescent="0.25">
      <c r="A64" s="74" t="s">
        <v>89</v>
      </c>
      <c r="B64" s="75"/>
      <c r="C64" s="75"/>
      <c r="D64" s="75"/>
      <c r="E64" s="76"/>
      <c r="F64" s="56">
        <f>(F54*0.7)*(1+F61)/85</f>
        <v>1.0063570588235293E-2</v>
      </c>
    </row>
    <row r="65" spans="1:6" ht="15.75" x14ac:dyDescent="0.25">
      <c r="A65" s="74" t="s">
        <v>90</v>
      </c>
      <c r="B65" s="75"/>
      <c r="C65" s="75"/>
      <c r="D65" s="75"/>
      <c r="E65" s="76"/>
      <c r="F65" s="56">
        <f>$F$54*(1+$F$61)/92</f>
        <v>1.3282663043478259E-2</v>
      </c>
    </row>
    <row r="66" spans="1:6" ht="15.75" x14ac:dyDescent="0.25">
      <c r="A66" s="74" t="s">
        <v>91</v>
      </c>
      <c r="B66" s="75"/>
      <c r="C66" s="75"/>
      <c r="D66" s="75"/>
      <c r="E66" s="76"/>
      <c r="F66" s="56">
        <f>$F$54*(1+$F$61)/76</f>
        <v>1.6079013157894735E-2</v>
      </c>
    </row>
    <row r="67" spans="1:6" x14ac:dyDescent="0.2">
      <c r="A67" s="30"/>
      <c r="B67" s="30"/>
      <c r="C67" s="30"/>
      <c r="D67" s="30"/>
      <c r="E67" s="30"/>
      <c r="F67" s="30"/>
    </row>
    <row r="68" spans="1:6" ht="15.75" x14ac:dyDescent="0.25">
      <c r="A68" s="87" t="s">
        <v>92</v>
      </c>
      <c r="B68" s="88"/>
      <c r="C68" s="88"/>
      <c r="D68" s="89"/>
      <c r="E68" s="49"/>
      <c r="F68" s="50"/>
    </row>
    <row r="69" spans="1:6" ht="15.75" x14ac:dyDescent="0.25">
      <c r="A69" s="57" t="s">
        <v>93</v>
      </c>
      <c r="B69" s="57" t="s">
        <v>94</v>
      </c>
      <c r="C69" s="57" t="s">
        <v>95</v>
      </c>
      <c r="D69" s="57" t="s">
        <v>96</v>
      </c>
      <c r="E69" s="49"/>
      <c r="F69" s="50"/>
    </row>
    <row r="70" spans="1:6" ht="15.75" x14ac:dyDescent="0.25">
      <c r="A70" s="69">
        <v>19504</v>
      </c>
      <c r="B70" s="58">
        <v>0</v>
      </c>
      <c r="C70" s="58">
        <v>0</v>
      </c>
      <c r="D70" s="58">
        <v>0</v>
      </c>
      <c r="E70" s="49"/>
      <c r="F70" s="50"/>
    </row>
    <row r="71" spans="1:6" x14ac:dyDescent="0.2">
      <c r="A71" s="30"/>
      <c r="B71" s="30"/>
      <c r="C71" s="30"/>
      <c r="D71" s="30"/>
      <c r="E71" s="30"/>
      <c r="F71" s="30"/>
    </row>
    <row r="72" spans="1:6" ht="15.75" x14ac:dyDescent="0.25">
      <c r="A72" s="87" t="s">
        <v>97</v>
      </c>
      <c r="B72" s="88"/>
      <c r="C72" s="88"/>
      <c r="D72" s="88"/>
      <c r="E72" s="88"/>
      <c r="F72" s="89"/>
    </row>
    <row r="73" spans="1:6" ht="15.75" x14ac:dyDescent="0.25">
      <c r="A73" s="59"/>
      <c r="B73" s="59" t="s">
        <v>98</v>
      </c>
      <c r="C73" s="59" t="s">
        <v>99</v>
      </c>
      <c r="D73" s="59" t="s">
        <v>100</v>
      </c>
      <c r="E73" s="59" t="s">
        <v>101</v>
      </c>
      <c r="F73" s="59" t="s">
        <v>102</v>
      </c>
    </row>
    <row r="74" spans="1:6" ht="15.75" x14ac:dyDescent="0.25">
      <c r="A74" s="31" t="s">
        <v>103</v>
      </c>
      <c r="B74" s="60">
        <f>F64*A70*300</f>
        <v>58883.964225882344</v>
      </c>
      <c r="C74" s="60">
        <f>F65*A70*300</f>
        <v>77719.517999999982</v>
      </c>
      <c r="D74" s="60">
        <f>($F$54*(1+$F$61))/85*($A$70*(1+B$70))*300</f>
        <v>84119.948894117624</v>
      </c>
      <c r="E74" s="60">
        <f>($F$54*(1+$F$61))/82*($A$70*(1+C$70))*300</f>
        <v>87197.507999999987</v>
      </c>
      <c r="F74" s="60">
        <f>F66*(A70*(1+D70)*300)</f>
        <v>94081.521789473671</v>
      </c>
    </row>
    <row r="75" spans="1:6" ht="15.75" x14ac:dyDescent="0.25">
      <c r="A75" s="31" t="s">
        <v>104</v>
      </c>
      <c r="B75" s="60">
        <f>B74/12</f>
        <v>4906.9970188235284</v>
      </c>
      <c r="C75" s="60">
        <f>C74/12</f>
        <v>6476.6264999999985</v>
      </c>
      <c r="D75" s="60">
        <f t="shared" ref="D75:F75" si="0">D74/12</f>
        <v>7009.995741176469</v>
      </c>
      <c r="E75" s="60">
        <f t="shared" si="0"/>
        <v>7266.4589999999989</v>
      </c>
      <c r="F75" s="60">
        <f t="shared" si="0"/>
        <v>7840.1268157894729</v>
      </c>
    </row>
    <row r="76" spans="1:6" ht="15.75" x14ac:dyDescent="0.25">
      <c r="A76" s="31" t="s">
        <v>105</v>
      </c>
      <c r="B76" s="60">
        <f>B75/4.5/7*3</f>
        <v>467.33304941176459</v>
      </c>
      <c r="C76" s="60">
        <f t="shared" ref="C76:F76" si="1">C75/4.5/7*3</f>
        <v>616.82157142857125</v>
      </c>
      <c r="D76" s="60">
        <f t="shared" si="1"/>
        <v>667.61864201680658</v>
      </c>
      <c r="E76" s="60">
        <f t="shared" si="1"/>
        <v>692.04371428571415</v>
      </c>
      <c r="F76" s="60">
        <f t="shared" si="1"/>
        <v>746.67874436090221</v>
      </c>
    </row>
    <row r="77" spans="1:6" ht="15.75" x14ac:dyDescent="0.25">
      <c r="A77" s="31" t="s">
        <v>106</v>
      </c>
      <c r="B77" s="60">
        <f>IFERROR((B76/$B9*1.3),0)</f>
        <v>50.627747019607831</v>
      </c>
      <c r="C77" s="60">
        <f t="shared" ref="C77:F77" si="2">IFERROR((C76/$B9*1.3),0)</f>
        <v>66.822336904761897</v>
      </c>
      <c r="D77" s="60">
        <f t="shared" si="2"/>
        <v>72.325352885154047</v>
      </c>
      <c r="E77" s="60">
        <f t="shared" si="2"/>
        <v>74.97140238095237</v>
      </c>
      <c r="F77" s="60">
        <f t="shared" si="2"/>
        <v>80.890197305764403</v>
      </c>
    </row>
    <row r="78" spans="1:6" x14ac:dyDescent="0.2">
      <c r="A78" s="30"/>
      <c r="B78" s="30"/>
      <c r="C78" s="30"/>
      <c r="D78" s="30"/>
      <c r="E78" s="30"/>
      <c r="F78" s="30"/>
    </row>
    <row r="79" spans="1:6" ht="15.75" x14ac:dyDescent="0.25">
      <c r="A79" s="83" t="s">
        <v>107</v>
      </c>
      <c r="B79" s="83"/>
      <c r="C79" s="83"/>
      <c r="D79" s="83"/>
      <c r="E79" s="83"/>
      <c r="F79" s="83"/>
    </row>
    <row r="80" spans="1:6" ht="31.5" x14ac:dyDescent="0.2">
      <c r="A80" s="61" t="s">
        <v>108</v>
      </c>
      <c r="B80" s="33" t="s">
        <v>109</v>
      </c>
      <c r="C80" s="33" t="s">
        <v>110</v>
      </c>
      <c r="D80" s="33" t="s">
        <v>111</v>
      </c>
      <c r="E80" s="33" t="s">
        <v>112</v>
      </c>
      <c r="F80" s="33" t="s">
        <v>113</v>
      </c>
    </row>
    <row r="81" spans="1:6" ht="15.75" x14ac:dyDescent="0.25">
      <c r="A81" s="31" t="s">
        <v>114</v>
      </c>
      <c r="B81" s="40" t="s">
        <v>197</v>
      </c>
      <c r="C81" s="62">
        <v>0.2</v>
      </c>
      <c r="D81" s="56">
        <f>1-C81</f>
        <v>0.8</v>
      </c>
      <c r="E81" s="63" t="e">
        <f>C81*B81</f>
        <v>#VALUE!</v>
      </c>
      <c r="F81" s="63" t="e">
        <f>D81*B81</f>
        <v>#VALUE!</v>
      </c>
    </row>
    <row r="82" spans="1:6" ht="15.75" x14ac:dyDescent="0.2">
      <c r="A82" s="64" t="s">
        <v>115</v>
      </c>
      <c r="B82" s="40" t="s">
        <v>197</v>
      </c>
      <c r="C82" s="62">
        <v>0.2</v>
      </c>
      <c r="D82" s="56">
        <f t="shared" ref="D82:D85" si="3">1-C82</f>
        <v>0.8</v>
      </c>
      <c r="E82" s="63" t="e">
        <f t="shared" ref="E82:E85" si="4">C82*B82</f>
        <v>#VALUE!</v>
      </c>
      <c r="F82" s="63" t="e">
        <f t="shared" ref="F82:F85" si="5">D82*B82</f>
        <v>#VALUE!</v>
      </c>
    </row>
    <row r="83" spans="1:6" ht="15.75" x14ac:dyDescent="0.25">
      <c r="A83" s="31" t="s">
        <v>116</v>
      </c>
      <c r="B83" s="40" t="s">
        <v>197</v>
      </c>
      <c r="C83" s="62">
        <v>0.2</v>
      </c>
      <c r="D83" s="56">
        <f t="shared" si="3"/>
        <v>0.8</v>
      </c>
      <c r="E83" s="63" t="e">
        <f t="shared" si="4"/>
        <v>#VALUE!</v>
      </c>
      <c r="F83" s="63" t="e">
        <f t="shared" si="5"/>
        <v>#VALUE!</v>
      </c>
    </row>
    <row r="84" spans="1:6" ht="15.75" x14ac:dyDescent="0.25">
      <c r="A84" s="31" t="s">
        <v>117</v>
      </c>
      <c r="B84" s="40" t="s">
        <v>197</v>
      </c>
      <c r="C84" s="62">
        <v>0.2</v>
      </c>
      <c r="D84" s="56">
        <f t="shared" si="3"/>
        <v>0.8</v>
      </c>
      <c r="E84" s="63" t="e">
        <f t="shared" si="4"/>
        <v>#VALUE!</v>
      </c>
      <c r="F84" s="63" t="e">
        <f t="shared" si="5"/>
        <v>#VALUE!</v>
      </c>
    </row>
    <row r="85" spans="1:6" ht="15.75" x14ac:dyDescent="0.25">
      <c r="A85" s="31" t="s">
        <v>118</v>
      </c>
      <c r="B85" s="40" t="s">
        <v>197</v>
      </c>
      <c r="C85" s="62">
        <v>0.2</v>
      </c>
      <c r="D85" s="56">
        <f t="shared" si="3"/>
        <v>0.8</v>
      </c>
      <c r="E85" s="63" t="e">
        <f t="shared" si="4"/>
        <v>#VALUE!</v>
      </c>
      <c r="F85" s="63" t="e">
        <f t="shared" si="5"/>
        <v>#VALUE!</v>
      </c>
    </row>
    <row r="86" spans="1:6" ht="15.75" x14ac:dyDescent="0.2">
      <c r="A86" s="64" t="s">
        <v>119</v>
      </c>
      <c r="B86" s="65">
        <f>SUM(B81:B85)</f>
        <v>0</v>
      </c>
      <c r="C86" s="66">
        <f>IFERROR((E86/B86),0)</f>
        <v>0</v>
      </c>
      <c r="D86" s="56">
        <f>IFERROR((F86/B86),0)</f>
        <v>0</v>
      </c>
      <c r="E86" s="63" t="e">
        <f>SUM(E81:E85)</f>
        <v>#VALUE!</v>
      </c>
      <c r="F86" s="63" t="e">
        <f>SUM(F81:F85)</f>
        <v>#VALUE!</v>
      </c>
    </row>
    <row r="87" spans="1:6" ht="15.75" x14ac:dyDescent="0.25">
      <c r="A87" s="87" t="s">
        <v>120</v>
      </c>
      <c r="B87" s="88"/>
      <c r="C87" s="88"/>
      <c r="D87" s="88"/>
      <c r="E87" s="88"/>
      <c r="F87" s="89"/>
    </row>
    <row r="88" spans="1:6" ht="31.5" x14ac:dyDescent="0.2">
      <c r="A88" s="61" t="s">
        <v>108</v>
      </c>
      <c r="B88" s="33" t="s">
        <v>113</v>
      </c>
      <c r="C88" s="33" t="s">
        <v>121</v>
      </c>
      <c r="D88" s="33" t="s">
        <v>122</v>
      </c>
      <c r="E88" s="33"/>
      <c r="F88" s="33" t="s">
        <v>123</v>
      </c>
    </row>
    <row r="89" spans="1:6" ht="15.75" x14ac:dyDescent="0.25">
      <c r="A89" s="31" t="s">
        <v>114</v>
      </c>
      <c r="B89" s="67" t="e">
        <f>F81</f>
        <v>#VALUE!</v>
      </c>
      <c r="C89" s="68">
        <v>0.09</v>
      </c>
      <c r="D89" s="35">
        <v>240</v>
      </c>
      <c r="E89" s="52"/>
      <c r="F89" s="63">
        <f>IFERROR(PMT(C89/12,(D89),B89)*-1,0)</f>
        <v>0</v>
      </c>
    </row>
    <row r="90" spans="1:6" ht="15.75" x14ac:dyDescent="0.2">
      <c r="A90" s="64" t="s">
        <v>115</v>
      </c>
      <c r="B90" s="67" t="e">
        <f t="shared" ref="B90:B93" si="6">F82</f>
        <v>#VALUE!</v>
      </c>
      <c r="C90" s="68">
        <v>0.09</v>
      </c>
      <c r="D90" s="35">
        <v>240</v>
      </c>
      <c r="E90" s="52"/>
      <c r="F90" s="63">
        <f t="shared" ref="F90:F93" si="7">IFERROR(PMT(C90/12,(D90),B90)*-1,0)</f>
        <v>0</v>
      </c>
    </row>
    <row r="91" spans="1:6" ht="15.75" x14ac:dyDescent="0.25">
      <c r="A91" s="31" t="s">
        <v>116</v>
      </c>
      <c r="B91" s="67" t="e">
        <f t="shared" si="6"/>
        <v>#VALUE!</v>
      </c>
      <c r="C91" s="68">
        <v>0.09</v>
      </c>
      <c r="D91" s="35">
        <v>240</v>
      </c>
      <c r="E91" s="52"/>
      <c r="F91" s="63">
        <f t="shared" si="7"/>
        <v>0</v>
      </c>
    </row>
    <row r="92" spans="1:6" ht="15.75" x14ac:dyDescent="0.25">
      <c r="A92" s="31" t="s">
        <v>117</v>
      </c>
      <c r="B92" s="67" t="e">
        <f t="shared" si="6"/>
        <v>#VALUE!</v>
      </c>
      <c r="C92" s="68">
        <v>0.09</v>
      </c>
      <c r="D92" s="35">
        <v>240</v>
      </c>
      <c r="E92" s="52"/>
      <c r="F92" s="63">
        <f t="shared" si="7"/>
        <v>0</v>
      </c>
    </row>
    <row r="93" spans="1:6" ht="15.75" x14ac:dyDescent="0.25">
      <c r="A93" s="31" t="s">
        <v>118</v>
      </c>
      <c r="B93" s="67" t="e">
        <f t="shared" si="6"/>
        <v>#VALUE!</v>
      </c>
      <c r="C93" s="68">
        <v>0.09</v>
      </c>
      <c r="D93" s="35">
        <v>240</v>
      </c>
      <c r="E93" s="52"/>
      <c r="F93" s="63">
        <f t="shared" si="7"/>
        <v>0</v>
      </c>
    </row>
    <row r="94" spans="1:6" ht="15.75" x14ac:dyDescent="0.2">
      <c r="A94" s="64" t="s">
        <v>119</v>
      </c>
      <c r="B94" s="67" t="e">
        <f>SUM(B89:B93)</f>
        <v>#VALUE!</v>
      </c>
      <c r="C94" s="52"/>
      <c r="D94" s="52"/>
      <c r="E94" s="52"/>
      <c r="F94" s="63">
        <f>SUM(F89:F93)</f>
        <v>0</v>
      </c>
    </row>
    <row r="95" spans="1:6" ht="15.75" x14ac:dyDescent="0.25">
      <c r="A95" s="87" t="s">
        <v>124</v>
      </c>
      <c r="B95" s="88"/>
      <c r="C95" s="88"/>
      <c r="D95" s="88"/>
      <c r="E95" s="88"/>
      <c r="F95" s="89"/>
    </row>
    <row r="96" spans="1:6" ht="15.75" x14ac:dyDescent="0.25">
      <c r="A96" s="84" t="s">
        <v>125</v>
      </c>
      <c r="B96" s="85"/>
      <c r="C96" s="85"/>
      <c r="D96" s="86"/>
      <c r="E96" s="77" t="s">
        <v>123</v>
      </c>
      <c r="F96" s="78"/>
    </row>
    <row r="97" spans="1:8" ht="15.75" x14ac:dyDescent="0.25">
      <c r="A97" s="74" t="s">
        <v>116</v>
      </c>
      <c r="B97" s="75"/>
      <c r="C97" s="75"/>
      <c r="D97" s="76"/>
      <c r="E97" s="79"/>
      <c r="F97" s="80"/>
    </row>
    <row r="98" spans="1:8" ht="15.75" x14ac:dyDescent="0.25">
      <c r="A98" s="74" t="s">
        <v>114</v>
      </c>
      <c r="B98" s="75"/>
      <c r="C98" s="75"/>
      <c r="D98" s="76"/>
      <c r="E98" s="79">
        <v>0</v>
      </c>
      <c r="F98" s="80"/>
    </row>
    <row r="99" spans="1:8" ht="15.75" x14ac:dyDescent="0.25">
      <c r="A99" s="74" t="s">
        <v>115</v>
      </c>
      <c r="B99" s="75"/>
      <c r="C99" s="75"/>
      <c r="D99" s="76"/>
      <c r="E99" s="79">
        <v>0</v>
      </c>
      <c r="F99" s="80"/>
      <c r="H99" s="5"/>
    </row>
    <row r="100" spans="1:8" ht="15.75" x14ac:dyDescent="0.25">
      <c r="A100" s="74" t="s">
        <v>126</v>
      </c>
      <c r="B100" s="75"/>
      <c r="C100" s="75"/>
      <c r="D100" s="76"/>
      <c r="E100" s="81">
        <f>SUM(E97:F99)</f>
        <v>0</v>
      </c>
      <c r="F100" s="82"/>
    </row>
    <row r="103" spans="1:8" x14ac:dyDescent="0.2">
      <c r="F103" s="5"/>
    </row>
  </sheetData>
  <sheetProtection algorithmName="SHA-512" hashValue="u5b9hrb3omn/9h6Akj5CEtksPC/gg5urL5E7P90VEJjDXUTMmu7VXvZS3clzbBn2dTfJURpkRNlCIwtLP/GLWw==" saltValue="TWwkjlvTF3YfWihW+F+1/w==" spinCount="100000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  <mergeCell ref="B6:D6"/>
    <mergeCell ref="A17:D17"/>
    <mergeCell ref="A25:E25"/>
    <mergeCell ref="A33:F33"/>
    <mergeCell ref="A34:A35"/>
    <mergeCell ref="A11:D11"/>
    <mergeCell ref="A1:D1"/>
    <mergeCell ref="B2:D2"/>
    <mergeCell ref="B3:D3"/>
    <mergeCell ref="B4:D4"/>
    <mergeCell ref="B5:D5"/>
    <mergeCell ref="A63:F63"/>
    <mergeCell ref="A56:F56"/>
    <mergeCell ref="A58:D58"/>
    <mergeCell ref="A57:D57"/>
    <mergeCell ref="A59:D59"/>
    <mergeCell ref="A60:D60"/>
    <mergeCell ref="A79:F79"/>
    <mergeCell ref="A96:D96"/>
    <mergeCell ref="A97:D97"/>
    <mergeCell ref="A98:D98"/>
    <mergeCell ref="A99:D99"/>
    <mergeCell ref="A87:F87"/>
    <mergeCell ref="A95:F95"/>
    <mergeCell ref="A100:D100"/>
    <mergeCell ref="E96:F96"/>
    <mergeCell ref="E97:F97"/>
    <mergeCell ref="E98:F98"/>
    <mergeCell ref="E99:F99"/>
    <mergeCell ref="E100:F100"/>
  </mergeCells>
  <pageMargins left="0.25" right="0.25" top="0.5" bottom="0.5" header="0.3" footer="0.3"/>
  <pageSetup scale="67" fitToHeight="0" orientation="portrait" r:id="rId1"/>
  <rowBreaks count="1" manualBreakCount="1">
    <brk id="5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6"/>
  <sheetViews>
    <sheetView tabSelected="1" view="pageLayout" topLeftCell="A34" zoomScaleNormal="100" workbookViewId="0">
      <selection activeCell="M44" sqref="M44"/>
    </sheetView>
  </sheetViews>
  <sheetFormatPr defaultColWidth="9.28515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28515625" style="3" customWidth="1"/>
    <col min="10" max="10" width="13" style="3" customWidth="1"/>
    <col min="11" max="11" width="2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28515625" style="3"/>
  </cols>
  <sheetData>
    <row r="1" spans="1:11" x14ac:dyDescent="0.2">
      <c r="A1" s="9"/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x14ac:dyDescent="0.2">
      <c r="A2" s="9"/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x14ac:dyDescent="0.2">
      <c r="A3" s="9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x14ac:dyDescent="0.2">
      <c r="A4" s="9"/>
      <c r="B4" s="9"/>
      <c r="C4" s="9"/>
      <c r="D4" s="9"/>
      <c r="E4" s="9"/>
      <c r="F4" s="9"/>
      <c r="G4" s="9"/>
      <c r="H4"/>
      <c r="I4" s="9"/>
      <c r="J4" s="9"/>
      <c r="K4" s="9"/>
    </row>
    <row r="5" spans="1:11" x14ac:dyDescent="0.2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 x14ac:dyDescent="0.2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spans="1:11" x14ac:dyDescent="0.2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 x14ac:dyDescent="0.2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x14ac:dyDescent="0.2">
      <c r="A9" s="9"/>
      <c r="B9" s="9"/>
      <c r="C9" s="9"/>
      <c r="D9" s="9"/>
      <c r="E9" s="9"/>
      <c r="F9" s="9"/>
      <c r="G9" s="9"/>
      <c r="H9" s="9"/>
      <c r="I9" s="9"/>
      <c r="J9" s="9"/>
      <c r="K9" s="9"/>
    </row>
    <row r="10" spans="1:11" x14ac:dyDescent="0.2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</row>
    <row r="11" spans="1:11" x14ac:dyDescent="0.2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</row>
    <row r="12" spans="1:1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 x14ac:dyDescent="0.2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1:11" x14ac:dyDescent="0.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1" x14ac:dyDescent="0.2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</row>
    <row r="16" spans="1:11" x14ac:dyDescent="0.2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 x14ac:dyDescent="0.2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</row>
    <row r="18" spans="1:11" x14ac:dyDescent="0.2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 x14ac:dyDescent="0.2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</row>
    <row r="20" spans="1:11" x14ac:dyDescent="0.2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 x14ac:dyDescent="0.2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</row>
    <row r="22" spans="1:11" x14ac:dyDescent="0.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</row>
    <row r="23" spans="1:11" x14ac:dyDescent="0.2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1:11" x14ac:dyDescent="0.2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 x14ac:dyDescent="0.2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1:11" x14ac:dyDescent="0.2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11" ht="33.75" x14ac:dyDescent="0.5">
      <c r="A27" s="175" t="s">
        <v>127</v>
      </c>
      <c r="B27" s="175"/>
      <c r="C27" s="175"/>
      <c r="D27" s="175"/>
      <c r="E27" s="175"/>
      <c r="F27" s="175"/>
      <c r="G27" s="175"/>
      <c r="H27" s="175"/>
      <c r="I27" s="175"/>
      <c r="J27" s="175"/>
      <c r="K27" s="175"/>
    </row>
    <row r="28" spans="1:11" ht="21" x14ac:dyDescent="0.35">
      <c r="A28" s="9"/>
      <c r="B28" s="9"/>
      <c r="C28" s="9"/>
      <c r="D28" s="9"/>
      <c r="E28" s="176" t="s">
        <v>128</v>
      </c>
      <c r="F28" s="177"/>
      <c r="G28" s="177"/>
      <c r="H28" s="9"/>
      <c r="I28" s="9"/>
      <c r="J28" s="9"/>
      <c r="K28" s="9"/>
    </row>
    <row r="29" spans="1:11" ht="15.75" x14ac:dyDescent="0.25">
      <c r="A29" s="9"/>
      <c r="B29" s="9"/>
      <c r="C29" s="9"/>
      <c r="D29" s="9"/>
      <c r="E29" s="161" t="str">
        <f>'Input Form'!B2</f>
        <v>Evan Dailey</v>
      </c>
      <c r="F29" s="161"/>
      <c r="G29" s="161"/>
      <c r="H29" s="9"/>
      <c r="I29" s="9"/>
      <c r="J29" s="9"/>
      <c r="K29" s="9"/>
    </row>
    <row r="30" spans="1:11" ht="15.75" x14ac:dyDescent="0.25">
      <c r="A30" s="9"/>
      <c r="B30" s="9"/>
      <c r="C30" s="9"/>
      <c r="D30" s="9"/>
      <c r="E30" s="161" t="str">
        <f>'Input Form'!B3</f>
        <v>Express Car Wash</v>
      </c>
      <c r="F30" s="161"/>
      <c r="G30" s="161"/>
      <c r="H30" s="9"/>
      <c r="I30" s="9"/>
      <c r="J30" s="9"/>
      <c r="K30" s="9"/>
    </row>
    <row r="31" spans="1:11" ht="15.75" x14ac:dyDescent="0.25">
      <c r="A31" s="9"/>
      <c r="B31" s="9"/>
      <c r="C31" s="9"/>
      <c r="D31" s="9"/>
      <c r="E31" s="161">
        <f>'Input Form'!B4</f>
        <v>0</v>
      </c>
      <c r="F31" s="161"/>
      <c r="G31" s="161"/>
      <c r="H31" s="9"/>
      <c r="I31" s="9"/>
      <c r="J31" s="9"/>
      <c r="K31" s="9"/>
    </row>
    <row r="32" spans="1:11" ht="15.75" x14ac:dyDescent="0.25">
      <c r="A32" s="9"/>
      <c r="B32" s="9"/>
      <c r="C32" s="9"/>
      <c r="D32" s="9"/>
      <c r="E32" s="161" t="str">
        <f>'Input Form'!B5</f>
        <v>231 MacCorkle Ave SW</v>
      </c>
      <c r="F32" s="161"/>
      <c r="G32" s="161"/>
      <c r="H32" s="9"/>
      <c r="I32" s="9"/>
      <c r="J32" s="9"/>
      <c r="K32" s="9"/>
    </row>
    <row r="33" spans="1:11" ht="15.75" x14ac:dyDescent="0.25">
      <c r="A33" s="9"/>
      <c r="B33" s="9"/>
      <c r="C33" s="9"/>
      <c r="D33" s="9"/>
      <c r="E33" s="161" t="str">
        <f>'Input Form'!B6</f>
        <v>South Charleston, WV 25303</v>
      </c>
      <c r="F33" s="161"/>
      <c r="G33" s="161"/>
      <c r="H33" s="9"/>
      <c r="I33" s="9"/>
      <c r="J33" s="9"/>
      <c r="K33" s="9"/>
    </row>
    <row r="34" spans="1:11" x14ac:dyDescent="0.2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</row>
    <row r="35" spans="1:11" x14ac:dyDescent="0.2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</row>
    <row r="36" spans="1:11" x14ac:dyDescent="0.2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 x14ac:dyDescent="0.2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</row>
    <row r="38" spans="1:11" x14ac:dyDescent="0.2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 ht="13.5" thickBot="1" x14ac:dyDescent="0.2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</row>
    <row r="40" spans="1:11" ht="12.75" customHeight="1" x14ac:dyDescent="0.2">
      <c r="A40" s="9"/>
      <c r="B40" s="162" t="s">
        <v>198</v>
      </c>
      <c r="C40" s="163"/>
      <c r="D40" s="163"/>
      <c r="E40" s="163"/>
      <c r="F40" s="163"/>
      <c r="G40" s="163"/>
      <c r="H40" s="163"/>
      <c r="I40" s="163"/>
      <c r="J40" s="164"/>
      <c r="K40" s="9"/>
    </row>
    <row r="41" spans="1:11" ht="12.75" customHeight="1" x14ac:dyDescent="0.2">
      <c r="A41" s="9"/>
      <c r="B41" s="165"/>
      <c r="C41" s="181"/>
      <c r="D41" s="181"/>
      <c r="E41" s="181"/>
      <c r="F41" s="181"/>
      <c r="G41" s="181"/>
      <c r="H41" s="181"/>
      <c r="I41" s="181"/>
      <c r="J41" s="166"/>
      <c r="K41" s="9"/>
    </row>
    <row r="42" spans="1:11" ht="12.75" customHeight="1" x14ac:dyDescent="0.2">
      <c r="A42" s="9"/>
      <c r="B42" s="165"/>
      <c r="C42" s="181"/>
      <c r="D42" s="181"/>
      <c r="E42" s="181"/>
      <c r="F42" s="181"/>
      <c r="G42" s="181"/>
      <c r="H42" s="181"/>
      <c r="I42" s="181"/>
      <c r="J42" s="166"/>
      <c r="K42" s="9"/>
    </row>
    <row r="43" spans="1:11" ht="12.75" customHeight="1" x14ac:dyDescent="0.2">
      <c r="A43" s="9"/>
      <c r="B43" s="165"/>
      <c r="C43" s="181"/>
      <c r="D43" s="181"/>
      <c r="E43" s="181"/>
      <c r="F43" s="181"/>
      <c r="G43" s="181"/>
      <c r="H43" s="181"/>
      <c r="I43" s="181"/>
      <c r="J43" s="166"/>
      <c r="K43" s="9"/>
    </row>
    <row r="44" spans="1:11" ht="12.75" customHeight="1" x14ac:dyDescent="0.2">
      <c r="A44" s="9"/>
      <c r="B44" s="165"/>
      <c r="C44" s="181"/>
      <c r="D44" s="181"/>
      <c r="E44" s="181"/>
      <c r="F44" s="181"/>
      <c r="G44" s="181"/>
      <c r="H44" s="181"/>
      <c r="I44" s="181"/>
      <c r="J44" s="166"/>
      <c r="K44" s="9"/>
    </row>
    <row r="45" spans="1:11" x14ac:dyDescent="0.2">
      <c r="A45" s="9"/>
      <c r="B45" s="165"/>
      <c r="C45" s="181"/>
      <c r="D45" s="181"/>
      <c r="E45" s="181"/>
      <c r="F45" s="181"/>
      <c r="G45" s="181"/>
      <c r="H45" s="181"/>
      <c r="I45" s="181"/>
      <c r="J45" s="166"/>
      <c r="K45" s="9"/>
    </row>
    <row r="46" spans="1:11" ht="13.9" customHeight="1" thickBot="1" x14ac:dyDescent="0.25">
      <c r="A46" s="9"/>
      <c r="B46" s="182" t="s">
        <v>199</v>
      </c>
      <c r="C46" s="183"/>
      <c r="D46" s="183"/>
      <c r="E46" s="183"/>
      <c r="F46" s="183"/>
      <c r="G46" s="183"/>
      <c r="H46" s="183"/>
      <c r="I46" s="183"/>
      <c r="J46" s="184"/>
      <c r="K46" s="9"/>
    </row>
    <row r="47" spans="1:11" x14ac:dyDescent="0.2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</row>
    <row r="48" spans="1:11" x14ac:dyDescent="0.2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 x14ac:dyDescent="0.2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</row>
    <row r="50" spans="1:11" x14ac:dyDescent="0.2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 x14ac:dyDescent="0.2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</row>
    <row r="52" spans="1:11" x14ac:dyDescent="0.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</row>
    <row r="53" spans="1:11" ht="26.25" x14ac:dyDescent="0.4">
      <c r="A53" s="9"/>
      <c r="B53" s="96" t="s">
        <v>129</v>
      </c>
      <c r="C53" s="97"/>
      <c r="D53" s="97"/>
      <c r="E53" s="97"/>
      <c r="F53" s="97"/>
      <c r="G53" s="97"/>
      <c r="H53" s="97"/>
      <c r="I53" s="97"/>
      <c r="J53" s="98"/>
      <c r="K53" s="9"/>
    </row>
    <row r="54" spans="1:11" x14ac:dyDescent="0.2">
      <c r="A54" s="9"/>
      <c r="B54" s="10"/>
      <c r="C54" s="10"/>
      <c r="D54" s="10"/>
      <c r="E54" s="10"/>
      <c r="F54" s="10"/>
      <c r="G54" s="10"/>
      <c r="H54" s="10"/>
      <c r="I54" s="10"/>
      <c r="J54" s="10"/>
      <c r="K54" s="9"/>
    </row>
    <row r="55" spans="1:11" x14ac:dyDescent="0.2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</row>
    <row r="56" spans="1:11" x14ac:dyDescent="0.2">
      <c r="A56" s="9"/>
      <c r="B56" s="9"/>
      <c r="C56" s="99" t="s">
        <v>2</v>
      </c>
      <c r="D56" s="99"/>
      <c r="E56" s="100" t="str">
        <f>CustomerName</f>
        <v>Evan Dailey</v>
      </c>
      <c r="F56" s="101"/>
      <c r="G56" s="101"/>
      <c r="H56" s="101"/>
      <c r="I56" s="102"/>
      <c r="J56" s="9"/>
      <c r="K56" s="9"/>
    </row>
    <row r="57" spans="1:11" x14ac:dyDescent="0.2">
      <c r="A57" s="9"/>
      <c r="B57" s="9"/>
      <c r="C57" s="129" t="s">
        <v>130</v>
      </c>
      <c r="D57" s="130"/>
      <c r="E57" s="100" t="str">
        <f>CompanyName</f>
        <v>Express Car Wash</v>
      </c>
      <c r="F57" s="101"/>
      <c r="G57" s="101"/>
      <c r="H57" s="101"/>
      <c r="I57" s="102"/>
      <c r="J57" s="9"/>
      <c r="K57" s="9"/>
    </row>
    <row r="58" spans="1:11" x14ac:dyDescent="0.2">
      <c r="A58" s="9"/>
      <c r="B58" s="9"/>
      <c r="C58" s="103" t="s">
        <v>6</v>
      </c>
      <c r="D58" s="104"/>
      <c r="E58" s="120">
        <f>AddressLine1</f>
        <v>0</v>
      </c>
      <c r="F58" s="121"/>
      <c r="G58" s="121"/>
      <c r="H58" s="121"/>
      <c r="I58" s="122"/>
      <c r="J58" s="11"/>
      <c r="K58" s="9"/>
    </row>
    <row r="59" spans="1:11" x14ac:dyDescent="0.2">
      <c r="A59" s="9"/>
      <c r="B59" s="9"/>
      <c r="C59" s="105"/>
      <c r="D59" s="106"/>
      <c r="E59" s="123" t="str">
        <f>AddressLine2</f>
        <v>231 MacCorkle Ave SW</v>
      </c>
      <c r="F59" s="124"/>
      <c r="G59" s="124"/>
      <c r="H59" s="124"/>
      <c r="I59" s="125"/>
      <c r="J59" s="9"/>
      <c r="K59" s="9"/>
    </row>
    <row r="60" spans="1:11" x14ac:dyDescent="0.2">
      <c r="A60" s="9"/>
      <c r="B60" s="9"/>
      <c r="C60" s="107"/>
      <c r="D60" s="108"/>
      <c r="E60" s="126" t="str">
        <f>AddressLine3</f>
        <v>South Charleston, WV 25303</v>
      </c>
      <c r="F60" s="127"/>
      <c r="G60" s="127"/>
      <c r="H60" s="127"/>
      <c r="I60" s="128"/>
      <c r="J60" s="9"/>
      <c r="K60" s="9"/>
    </row>
    <row r="61" spans="1:11" x14ac:dyDescent="0.2">
      <c r="A61" s="9"/>
      <c r="B61" s="9"/>
      <c r="C61" s="12"/>
      <c r="D61" s="12"/>
      <c r="E61" s="13"/>
      <c r="F61" s="13"/>
      <c r="G61" s="13"/>
      <c r="H61" s="13"/>
      <c r="I61" s="13"/>
      <c r="J61" s="9"/>
      <c r="K61" s="9"/>
    </row>
    <row r="62" spans="1:11" x14ac:dyDescent="0.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</row>
    <row r="63" spans="1:11" ht="21" x14ac:dyDescent="0.35">
      <c r="A63" s="9"/>
      <c r="B63" s="119" t="s">
        <v>131</v>
      </c>
      <c r="C63" s="119"/>
      <c r="D63" s="119"/>
      <c r="E63" s="119"/>
      <c r="F63" s="119"/>
      <c r="G63" s="119"/>
      <c r="H63" s="119"/>
      <c r="I63" s="119"/>
      <c r="J63" s="119"/>
      <c r="K63" s="14"/>
    </row>
    <row r="64" spans="1:11" x14ac:dyDescent="0.2">
      <c r="A64" s="9"/>
      <c r="B64" s="168" t="s">
        <v>132</v>
      </c>
      <c r="C64" s="168"/>
      <c r="D64" s="168"/>
      <c r="E64" s="168"/>
      <c r="F64" s="168"/>
      <c r="G64" s="168"/>
      <c r="H64" s="168"/>
      <c r="I64" s="15" t="s">
        <v>133</v>
      </c>
      <c r="J64" s="15" t="s">
        <v>134</v>
      </c>
      <c r="K64" s="9"/>
    </row>
    <row r="65" spans="1:15" x14ac:dyDescent="0.2">
      <c r="A65" s="9"/>
      <c r="B65" s="168"/>
      <c r="C65" s="168"/>
      <c r="D65" s="168"/>
      <c r="E65" s="168"/>
      <c r="F65" s="168"/>
      <c r="G65" s="168"/>
      <c r="H65" s="168"/>
      <c r="I65" s="16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4042.8112864398618</v>
      </c>
      <c r="J65" s="16">
        <f>'Input Form'!B75</f>
        <v>4906.9970188235284</v>
      </c>
      <c r="K65" s="9"/>
    </row>
    <row r="66" spans="1:15" ht="18.75" x14ac:dyDescent="0.3">
      <c r="A66" s="9"/>
      <c r="B66" s="110" t="s">
        <v>135</v>
      </c>
      <c r="C66" s="110"/>
      <c r="D66" s="110"/>
      <c r="E66" s="110"/>
      <c r="F66" s="110"/>
      <c r="G66" s="110"/>
      <c r="H66" s="110"/>
      <c r="I66" s="110"/>
      <c r="J66" s="110"/>
      <c r="K66" s="9"/>
    </row>
    <row r="67" spans="1:15" x14ac:dyDescent="0.2">
      <c r="A67" s="9"/>
      <c r="B67" s="173" t="s">
        <v>136</v>
      </c>
      <c r="C67" s="173"/>
      <c r="D67" s="173"/>
      <c r="E67" s="173"/>
      <c r="F67" s="179" t="s">
        <v>137</v>
      </c>
      <c r="G67" s="169" t="s">
        <v>138</v>
      </c>
      <c r="H67" s="170"/>
      <c r="I67" s="135" t="s">
        <v>139</v>
      </c>
      <c r="J67" s="135"/>
      <c r="K67" s="9"/>
    </row>
    <row r="68" spans="1:15" x14ac:dyDescent="0.2">
      <c r="A68" s="9"/>
      <c r="B68" s="173"/>
      <c r="C68" s="173"/>
      <c r="D68" s="173"/>
      <c r="E68" s="173"/>
      <c r="F68" s="180"/>
      <c r="G68" s="171"/>
      <c r="H68" s="172"/>
      <c r="I68" s="15" t="s">
        <v>133</v>
      </c>
      <c r="J68" s="15" t="s">
        <v>134</v>
      </c>
      <c r="K68" s="9"/>
    </row>
    <row r="69" spans="1:15" x14ac:dyDescent="0.2">
      <c r="A69" s="9"/>
      <c r="B69" s="109" t="str">
        <f>BasicPackage</f>
        <v>Basic Package</v>
      </c>
      <c r="C69" s="109"/>
      <c r="D69" s="109"/>
      <c r="E69" s="109"/>
      <c r="F69" s="17">
        <f>'Input Form'!B19</f>
        <v>5</v>
      </c>
      <c r="G69" s="131">
        <f>'Input Form'!D19</f>
        <v>0.65</v>
      </c>
      <c r="H69" s="132"/>
      <c r="I69" s="18">
        <f>IFERROR((I$65*G69*F69),0)</f>
        <v>13139.13668092955</v>
      </c>
      <c r="J69" s="18">
        <f>J$65*F69*G69</f>
        <v>15947.740311176467</v>
      </c>
      <c r="K69" s="9"/>
    </row>
    <row r="70" spans="1:15" x14ac:dyDescent="0.2">
      <c r="A70" s="9"/>
      <c r="B70" s="109" t="str">
        <f>MenuPackage1</f>
        <v>Menu Package #1</v>
      </c>
      <c r="C70" s="109"/>
      <c r="D70" s="109"/>
      <c r="E70" s="109"/>
      <c r="F70" s="17">
        <f>'Input Form'!B20</f>
        <v>10</v>
      </c>
      <c r="G70" s="131">
        <f>'Input Form'!D20</f>
        <v>0.15</v>
      </c>
      <c r="H70" s="132"/>
      <c r="I70" s="18">
        <f>IFERROR((I$65*G70*F70),0)</f>
        <v>6064.2169296597922</v>
      </c>
      <c r="J70" s="18">
        <f t="shared" ref="J70:J73" si="0">J$65*F70*G70</f>
        <v>7360.4955282352921</v>
      </c>
      <c r="K70" s="9"/>
    </row>
    <row r="71" spans="1:15" x14ac:dyDescent="0.2">
      <c r="A71" s="9"/>
      <c r="B71" s="109" t="str">
        <f>MenuPackage2</f>
        <v>Menu Package #2</v>
      </c>
      <c r="C71" s="109"/>
      <c r="D71" s="109"/>
      <c r="E71" s="109"/>
      <c r="F71" s="17">
        <f>'Input Form'!B21</f>
        <v>15</v>
      </c>
      <c r="G71" s="131">
        <f>'Input Form'!D21</f>
        <v>0.12</v>
      </c>
      <c r="H71" s="132"/>
      <c r="I71" s="18">
        <f>IFERROR((I$65*G71*F71),0)</f>
        <v>7277.0603155917515</v>
      </c>
      <c r="J71" s="18">
        <f t="shared" si="0"/>
        <v>8832.5946338823505</v>
      </c>
      <c r="K71" s="9"/>
    </row>
    <row r="72" spans="1:15" x14ac:dyDescent="0.2">
      <c r="A72" s="9"/>
      <c r="B72" s="109" t="str">
        <f>MenuPackage3</f>
        <v>Menu Package #3</v>
      </c>
      <c r="C72" s="109"/>
      <c r="D72" s="109"/>
      <c r="E72" s="109"/>
      <c r="F72" s="17">
        <f>'Input Form'!B22</f>
        <v>20</v>
      </c>
      <c r="G72" s="131">
        <f>'Input Form'!D22</f>
        <v>0.04</v>
      </c>
      <c r="H72" s="132"/>
      <c r="I72" s="18">
        <f t="shared" ref="I72:I73" si="1">I$65*G72*F72</f>
        <v>3234.2490291518898</v>
      </c>
      <c r="J72" s="18">
        <f t="shared" si="0"/>
        <v>3925.5976150588226</v>
      </c>
      <c r="K72" s="9"/>
    </row>
    <row r="73" spans="1:15" x14ac:dyDescent="0.2">
      <c r="A73" s="9"/>
      <c r="B73" s="109" t="str">
        <f>MenuPackage4</f>
        <v>Menu Package #4</v>
      </c>
      <c r="C73" s="109"/>
      <c r="D73" s="109"/>
      <c r="E73" s="109"/>
      <c r="F73" s="17">
        <f>'Input Form'!B23</f>
        <v>25</v>
      </c>
      <c r="G73" s="131">
        <f>'Input Form'!D23</f>
        <v>0.04</v>
      </c>
      <c r="H73" s="132"/>
      <c r="I73" s="18">
        <f t="shared" si="1"/>
        <v>4042.8112864398622</v>
      </c>
      <c r="J73" s="18">
        <f t="shared" si="0"/>
        <v>4906.9970188235284</v>
      </c>
      <c r="K73" s="9"/>
    </row>
    <row r="74" spans="1:15" x14ac:dyDescent="0.2">
      <c r="A74" s="9"/>
      <c r="B74" s="109" t="s">
        <v>140</v>
      </c>
      <c r="C74" s="109"/>
      <c r="D74" s="109"/>
      <c r="E74" s="109"/>
      <c r="F74" s="109"/>
      <c r="G74" s="109"/>
      <c r="H74" s="109"/>
      <c r="I74" s="18">
        <f>SUM(I69:I73)</f>
        <v>33757.474241772848</v>
      </c>
      <c r="J74" s="18">
        <f>SUM(J69:J73)</f>
        <v>40973.425107176467</v>
      </c>
      <c r="K74" s="9"/>
      <c r="O74" s="4"/>
    </row>
    <row r="75" spans="1:15" x14ac:dyDescent="0.2">
      <c r="A75" s="9"/>
      <c r="B75" s="111" t="s">
        <v>141</v>
      </c>
      <c r="C75" s="112"/>
      <c r="D75" s="112"/>
      <c r="E75" s="112"/>
      <c r="F75" s="19">
        <v>0.03</v>
      </c>
      <c r="G75" s="178">
        <v>0.75</v>
      </c>
      <c r="H75" s="178"/>
      <c r="I75" s="18">
        <f>-(I74*$F75*$G75)</f>
        <v>-759.54317043988908</v>
      </c>
      <c r="J75" s="18">
        <f>-(J74*$F75*$G75)</f>
        <v>-921.90206491147046</v>
      </c>
      <c r="K75" s="9"/>
      <c r="L75" s="6"/>
    </row>
    <row r="76" spans="1:15" x14ac:dyDescent="0.2">
      <c r="A76" s="9"/>
      <c r="B76" s="109" t="s">
        <v>142</v>
      </c>
      <c r="C76" s="109"/>
      <c r="D76" s="109"/>
      <c r="E76" s="109"/>
      <c r="F76" s="109"/>
      <c r="G76" s="109"/>
      <c r="H76" s="109"/>
      <c r="I76" s="18">
        <f>SUM(I74:I75)</f>
        <v>32997.931071332961</v>
      </c>
      <c r="J76" s="18">
        <f>SUM(J74:J75)</f>
        <v>40051.523042264998</v>
      </c>
      <c r="K76" s="9"/>
      <c r="L76" s="4"/>
      <c r="N76" s="7"/>
    </row>
    <row r="77" spans="1:15" x14ac:dyDescent="0.2">
      <c r="A77" s="9"/>
      <c r="B77" s="109" t="s">
        <v>143</v>
      </c>
      <c r="C77" s="109"/>
      <c r="D77" s="109"/>
      <c r="E77" s="109"/>
      <c r="F77" s="109"/>
      <c r="G77" s="109"/>
      <c r="H77" s="109"/>
      <c r="I77" s="18">
        <f>IFERROR((I76/I65),0)</f>
        <v>8.1621250000000014</v>
      </c>
      <c r="J77" s="18">
        <f>J76/(J65+0.000000001)</f>
        <v>8.162124999998337</v>
      </c>
      <c r="K77" s="9"/>
      <c r="M77" s="4"/>
      <c r="N77" s="6"/>
    </row>
    <row r="78" spans="1:15" ht="18.75" x14ac:dyDescent="0.3">
      <c r="A78" s="9"/>
      <c r="B78" s="110" t="s">
        <v>144</v>
      </c>
      <c r="C78" s="110"/>
      <c r="D78" s="110"/>
      <c r="E78" s="110"/>
      <c r="F78" s="110"/>
      <c r="G78" s="110"/>
      <c r="H78" s="110"/>
      <c r="I78" s="110"/>
      <c r="J78" s="110"/>
      <c r="K78" s="9"/>
    </row>
    <row r="79" spans="1:15" x14ac:dyDescent="0.2">
      <c r="A79" s="9"/>
      <c r="B79" s="99" t="s">
        <v>145</v>
      </c>
      <c r="C79" s="99"/>
      <c r="D79" s="99"/>
      <c r="E79" s="99"/>
      <c r="F79" s="99"/>
      <c r="G79" s="135" t="s">
        <v>146</v>
      </c>
      <c r="H79" s="135"/>
      <c r="I79" s="15" t="s">
        <v>133</v>
      </c>
      <c r="J79" s="15" t="s">
        <v>147</v>
      </c>
      <c r="K79" s="9"/>
      <c r="M79" s="4"/>
    </row>
    <row r="80" spans="1:15" x14ac:dyDescent="0.2">
      <c r="A80" s="9"/>
      <c r="B80" s="111" t="s">
        <v>148</v>
      </c>
      <c r="C80" s="112"/>
      <c r="D80" s="112"/>
      <c r="E80" s="112"/>
      <c r="F80" s="113"/>
      <c r="G80" s="156">
        <v>0.03</v>
      </c>
      <c r="H80" s="157"/>
      <c r="I80" s="18">
        <f>$G80*I76</f>
        <v>989.93793213998879</v>
      </c>
      <c r="J80" s="18">
        <f>$G80*J76</f>
        <v>1201.5456912679499</v>
      </c>
      <c r="K80" s="9"/>
    </row>
    <row r="81" spans="1:12" x14ac:dyDescent="0.2">
      <c r="A81" s="9"/>
      <c r="B81" s="111" t="s">
        <v>149</v>
      </c>
      <c r="C81" s="112"/>
      <c r="D81" s="112"/>
      <c r="E81" s="112"/>
      <c r="F81" s="113"/>
      <c r="G81" s="158">
        <f>IFERROR((J81/J74),0)</f>
        <v>8.5226347305389208E-2</v>
      </c>
      <c r="H81" s="159"/>
      <c r="I81" s="18">
        <f>G81*I76</f>
        <v>2812.293133844717</v>
      </c>
      <c r="J81" s="18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3492.0153584755758</v>
      </c>
      <c r="K81" s="9"/>
    </row>
    <row r="82" spans="1:12" x14ac:dyDescent="0.2">
      <c r="A82" s="9"/>
      <c r="B82" s="111" t="s">
        <v>150</v>
      </c>
      <c r="C82" s="112"/>
      <c r="D82" s="112"/>
      <c r="E82" s="112"/>
      <c r="F82" s="113"/>
      <c r="G82" s="156">
        <v>0.01</v>
      </c>
      <c r="H82" s="157"/>
      <c r="I82" s="18">
        <f>$G82*I76</f>
        <v>329.9793107133296</v>
      </c>
      <c r="J82" s="18">
        <f>$G82*J76</f>
        <v>400.51523042265001</v>
      </c>
      <c r="K82" s="9"/>
    </row>
    <row r="83" spans="1:12" x14ac:dyDescent="0.2">
      <c r="A83" s="9"/>
      <c r="B83" s="111" t="s">
        <v>151</v>
      </c>
      <c r="C83" s="112"/>
      <c r="D83" s="112"/>
      <c r="E83" s="112"/>
      <c r="F83" s="113"/>
      <c r="G83" s="158">
        <f>IFERROR((I83/I74),0)</f>
        <v>2.9623069333859109E-2</v>
      </c>
      <c r="H83" s="159"/>
      <c r="I83" s="20">
        <v>1000</v>
      </c>
      <c r="J83" s="18">
        <f>I83</f>
        <v>1000</v>
      </c>
      <c r="K83" s="9"/>
    </row>
    <row r="84" spans="1:12" x14ac:dyDescent="0.2">
      <c r="A84" s="9"/>
      <c r="B84" s="111" t="s">
        <v>152</v>
      </c>
      <c r="C84" s="112"/>
      <c r="D84" s="112"/>
      <c r="E84" s="112"/>
      <c r="F84" s="113"/>
      <c r="G84" s="158">
        <f>IFERROR((I84/I74),0)</f>
        <v>0.63425953750725739</v>
      </c>
      <c r="H84" s="159"/>
      <c r="I84" s="18">
        <f>J84</f>
        <v>21411</v>
      </c>
      <c r="J84" s="18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Form'!D14)))),0)</f>
        <v>21411</v>
      </c>
      <c r="K84" s="9"/>
    </row>
    <row r="85" spans="1:12" x14ac:dyDescent="0.2">
      <c r="A85" s="9"/>
      <c r="B85" s="111" t="s">
        <v>153</v>
      </c>
      <c r="C85" s="112"/>
      <c r="D85" s="112"/>
      <c r="E85" s="112"/>
      <c r="F85" s="113"/>
      <c r="G85" s="156">
        <v>0.01</v>
      </c>
      <c r="H85" s="157"/>
      <c r="I85" s="18">
        <f>$G85*I76</f>
        <v>329.9793107133296</v>
      </c>
      <c r="J85" s="18">
        <f>$G85*J76</f>
        <v>400.51523042265001</v>
      </c>
      <c r="K85" s="9"/>
    </row>
    <row r="86" spans="1:12" x14ac:dyDescent="0.2">
      <c r="A86" s="9"/>
      <c r="B86" s="111" t="s">
        <v>154</v>
      </c>
      <c r="C86" s="112"/>
      <c r="D86" s="112"/>
      <c r="E86" s="112"/>
      <c r="F86" s="113"/>
      <c r="G86" s="156">
        <v>0.01</v>
      </c>
      <c r="H86" s="157"/>
      <c r="I86" s="18">
        <f>$G86*I76</f>
        <v>329.9793107133296</v>
      </c>
      <c r="J86" s="18">
        <f>$G86*J76</f>
        <v>400.51523042265001</v>
      </c>
      <c r="K86" s="9"/>
    </row>
    <row r="87" spans="1:12" x14ac:dyDescent="0.2">
      <c r="A87" s="9"/>
      <c r="B87" s="111" t="s">
        <v>155</v>
      </c>
      <c r="C87" s="112"/>
      <c r="D87" s="112"/>
      <c r="E87" s="112"/>
      <c r="F87" s="113"/>
      <c r="G87" s="156">
        <v>1.4999999999999999E-2</v>
      </c>
      <c r="H87" s="157"/>
      <c r="I87" s="18">
        <f>$G87*I76</f>
        <v>494.96896606999439</v>
      </c>
      <c r="J87" s="18">
        <f>$G87*J76</f>
        <v>600.77284563397495</v>
      </c>
      <c r="K87" s="9"/>
    </row>
    <row r="88" spans="1:12" x14ac:dyDescent="0.2">
      <c r="A88" s="9"/>
      <c r="B88" s="111" t="s">
        <v>156</v>
      </c>
      <c r="C88" s="112"/>
      <c r="D88" s="112"/>
      <c r="E88" s="112"/>
      <c r="F88" s="113"/>
      <c r="G88" s="156">
        <v>0.01</v>
      </c>
      <c r="H88" s="157"/>
      <c r="I88" s="18">
        <f>$G88*I76</f>
        <v>329.9793107133296</v>
      </c>
      <c r="J88" s="18">
        <f>$G88*J76</f>
        <v>400.51523042265001</v>
      </c>
      <c r="K88" s="9"/>
    </row>
    <row r="89" spans="1:12" x14ac:dyDescent="0.2">
      <c r="A89" s="9"/>
      <c r="B89" s="111" t="s">
        <v>157</v>
      </c>
      <c r="C89" s="112"/>
      <c r="D89" s="112"/>
      <c r="E89" s="112"/>
      <c r="F89" s="113"/>
      <c r="G89" s="158">
        <f>IFERROR((I89/I74),0)</f>
        <v>5.9246138667718218E-2</v>
      </c>
      <c r="H89" s="159"/>
      <c r="I89" s="20">
        <v>2000</v>
      </c>
      <c r="J89" s="18">
        <f>I89</f>
        <v>2000</v>
      </c>
      <c r="K89" s="9"/>
    </row>
    <row r="90" spans="1:12" x14ac:dyDescent="0.2">
      <c r="A90" s="9"/>
      <c r="B90" s="111" t="s">
        <v>158</v>
      </c>
      <c r="C90" s="112"/>
      <c r="D90" s="112"/>
      <c r="E90" s="112"/>
      <c r="F90" s="113"/>
      <c r="G90" s="156">
        <v>0.01</v>
      </c>
      <c r="H90" s="157"/>
      <c r="I90" s="18">
        <f>$G90*I76</f>
        <v>329.9793107133296</v>
      </c>
      <c r="J90" s="18">
        <f>$G90*J76</f>
        <v>400.51523042265001</v>
      </c>
      <c r="K90" s="9"/>
      <c r="L90" s="4"/>
    </row>
    <row r="91" spans="1:12" x14ac:dyDescent="0.2">
      <c r="A91" s="9"/>
      <c r="B91" s="111" t="s">
        <v>159</v>
      </c>
      <c r="C91" s="112"/>
      <c r="D91" s="112"/>
      <c r="E91" s="112"/>
      <c r="F91" s="113"/>
      <c r="G91" s="156">
        <v>0.08</v>
      </c>
      <c r="H91" s="157"/>
      <c r="I91" s="18">
        <f>$G91*I76</f>
        <v>2639.8344857066368</v>
      </c>
      <c r="J91" s="18">
        <f>$G91*J76</f>
        <v>3204.1218433812001</v>
      </c>
      <c r="K91" s="9"/>
      <c r="L91" s="4"/>
    </row>
    <row r="92" spans="1:12" x14ac:dyDescent="0.2">
      <c r="A92" s="9"/>
      <c r="B92" s="109" t="s">
        <v>160</v>
      </c>
      <c r="C92" s="109"/>
      <c r="D92" s="109"/>
      <c r="E92" s="109"/>
      <c r="F92" s="109"/>
      <c r="G92" s="109"/>
      <c r="H92" s="109"/>
      <c r="I92" s="18">
        <f>SUM(I80:I91)</f>
        <v>32997.931071327985</v>
      </c>
      <c r="J92" s="18">
        <f>SUM(J80:J91)</f>
        <v>34912.031890871956</v>
      </c>
      <c r="K92" s="9"/>
    </row>
    <row r="93" spans="1:12" x14ac:dyDescent="0.2">
      <c r="A93" s="9"/>
      <c r="B93" s="167" t="s">
        <v>166</v>
      </c>
      <c r="C93" s="167"/>
      <c r="D93" s="167"/>
      <c r="E93" s="167"/>
      <c r="F93" s="167"/>
      <c r="G93" s="167"/>
      <c r="H93" s="167"/>
      <c r="I93" s="71">
        <f>I76-I92</f>
        <v>4.9767550081014633E-9</v>
      </c>
      <c r="J93" s="71">
        <f>J76-J92</f>
        <v>5139.4911513930419</v>
      </c>
      <c r="K93" s="9"/>
    </row>
    <row r="94" spans="1:12" x14ac:dyDescent="0.2">
      <c r="A94" s="9"/>
      <c r="B94" s="174"/>
      <c r="C94" s="174"/>
      <c r="D94" s="174"/>
      <c r="E94" s="9"/>
      <c r="F94" s="9"/>
      <c r="G94" s="174"/>
      <c r="H94" s="174"/>
      <c r="I94" s="174"/>
      <c r="J94" s="9"/>
      <c r="K94" s="9"/>
    </row>
    <row r="95" spans="1:12" x14ac:dyDescent="0.2">
      <c r="A95" s="9"/>
      <c r="B95" s="160"/>
      <c r="C95" s="149"/>
      <c r="D95" s="9"/>
      <c r="E95" s="9"/>
      <c r="F95" s="9"/>
      <c r="G95" s="160"/>
      <c r="H95" s="149"/>
      <c r="I95" s="9"/>
      <c r="J95" s="9"/>
      <c r="K95" s="9"/>
    </row>
    <row r="96" spans="1:12" x14ac:dyDescent="0.2">
      <c r="A96" s="9"/>
      <c r="B96" s="148"/>
      <c r="C96" s="149"/>
      <c r="D96" s="72"/>
      <c r="E96" s="9"/>
      <c r="F96" s="9"/>
      <c r="G96" s="148"/>
      <c r="H96" s="149"/>
      <c r="I96" s="72"/>
      <c r="J96" s="9"/>
      <c r="K96" s="9"/>
    </row>
    <row r="97" spans="1:11" x14ac:dyDescent="0.2">
      <c r="A97" s="9"/>
      <c r="B97" s="150"/>
      <c r="C97" s="151"/>
      <c r="D97" s="72"/>
      <c r="E97" s="9"/>
      <c r="F97" s="9"/>
      <c r="G97" s="150"/>
      <c r="H97" s="151"/>
      <c r="I97" s="72"/>
      <c r="J97" s="9"/>
      <c r="K97" s="9"/>
    </row>
    <row r="98" spans="1:11" x14ac:dyDescent="0.2">
      <c r="A98" s="9"/>
      <c r="B98" s="150"/>
      <c r="C98" s="151"/>
      <c r="D98" s="73"/>
      <c r="E98" s="152"/>
      <c r="F98" s="152"/>
      <c r="G98" s="150"/>
      <c r="H98" s="151"/>
      <c r="I98" s="73"/>
      <c r="J98" s="152"/>
      <c r="K98" s="152"/>
    </row>
    <row r="99" spans="1:11" x14ac:dyDescent="0.2">
      <c r="A99" s="9"/>
      <c r="B99" s="174"/>
      <c r="C99" s="174"/>
      <c r="D99" s="174"/>
      <c r="E99" s="9"/>
      <c r="F99" s="9"/>
      <c r="G99" s="174"/>
      <c r="H99" s="174"/>
      <c r="I99" s="174"/>
      <c r="J99" s="9"/>
      <c r="K99" s="9"/>
    </row>
    <row r="100" spans="1:11" x14ac:dyDescent="0.2">
      <c r="A100" s="9"/>
      <c r="B100" s="160"/>
      <c r="C100" s="149"/>
      <c r="D100" s="9"/>
      <c r="E100" s="9"/>
      <c r="F100" s="9"/>
      <c r="G100" s="160"/>
      <c r="H100" s="149"/>
      <c r="I100" s="9"/>
      <c r="J100" s="9"/>
      <c r="K100" s="9"/>
    </row>
    <row r="101" spans="1:11" x14ac:dyDescent="0.2">
      <c r="A101" s="9"/>
      <c r="B101" s="148"/>
      <c r="C101" s="149"/>
      <c r="D101" s="72"/>
      <c r="E101" s="9"/>
      <c r="F101" s="9"/>
      <c r="G101" s="148"/>
      <c r="H101" s="149"/>
      <c r="I101" s="72"/>
      <c r="J101" s="9"/>
      <c r="K101" s="9"/>
    </row>
    <row r="102" spans="1:11" x14ac:dyDescent="0.2">
      <c r="A102" s="9"/>
      <c r="B102" s="150"/>
      <c r="C102" s="151"/>
      <c r="D102" s="72"/>
      <c r="E102" s="9"/>
      <c r="F102" s="9"/>
      <c r="G102" s="150"/>
      <c r="H102" s="151"/>
      <c r="I102" s="72"/>
      <c r="J102" s="9"/>
      <c r="K102" s="9"/>
    </row>
    <row r="103" spans="1:11" x14ac:dyDescent="0.2">
      <c r="A103" s="9"/>
      <c r="B103" s="150"/>
      <c r="C103" s="151"/>
      <c r="D103" s="73"/>
      <c r="E103" s="152"/>
      <c r="F103" s="152"/>
      <c r="G103" s="150"/>
      <c r="H103" s="151"/>
      <c r="I103" s="73"/>
      <c r="J103" s="152"/>
      <c r="K103" s="152"/>
    </row>
    <row r="104" spans="1:11" x14ac:dyDescent="0.2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</row>
    <row r="105" spans="1:11" ht="26.25" x14ac:dyDescent="0.4">
      <c r="A105" s="9"/>
      <c r="B105" s="96" t="s">
        <v>129</v>
      </c>
      <c r="C105" s="97"/>
      <c r="D105" s="97"/>
      <c r="E105" s="97"/>
      <c r="F105" s="97"/>
      <c r="G105" s="97"/>
      <c r="H105" s="97"/>
      <c r="I105" s="97"/>
      <c r="J105" s="98"/>
      <c r="K105" s="9"/>
    </row>
    <row r="106" spans="1:11" x14ac:dyDescent="0.2">
      <c r="A106" s="9"/>
      <c r="B106" s="10"/>
      <c r="C106" s="10"/>
      <c r="D106" s="10"/>
      <c r="E106" s="10"/>
      <c r="F106" s="10"/>
      <c r="G106" s="10"/>
      <c r="H106" s="10"/>
      <c r="I106" s="10"/>
      <c r="J106" s="10"/>
      <c r="K106" s="9"/>
    </row>
    <row r="107" spans="1:11" x14ac:dyDescent="0.2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</row>
    <row r="108" spans="1:11" x14ac:dyDescent="0.2">
      <c r="A108" s="9"/>
      <c r="B108" s="9"/>
      <c r="C108" s="99" t="s">
        <v>2</v>
      </c>
      <c r="D108" s="99"/>
      <c r="E108" s="100" t="str">
        <f>CustomerName</f>
        <v>Evan Dailey</v>
      </c>
      <c r="F108" s="101"/>
      <c r="G108" s="101"/>
      <c r="H108" s="101"/>
      <c r="I108" s="102"/>
      <c r="J108" s="9"/>
      <c r="K108" s="9"/>
    </row>
    <row r="109" spans="1:11" x14ac:dyDescent="0.2">
      <c r="A109" s="9"/>
      <c r="B109" s="9"/>
      <c r="C109" s="129" t="s">
        <v>130</v>
      </c>
      <c r="D109" s="130"/>
      <c r="E109" s="100" t="str">
        <f>CompanyName</f>
        <v>Express Car Wash</v>
      </c>
      <c r="F109" s="101"/>
      <c r="G109" s="101"/>
      <c r="H109" s="101"/>
      <c r="I109" s="102"/>
      <c r="J109" s="9"/>
      <c r="K109" s="9"/>
    </row>
    <row r="110" spans="1:11" x14ac:dyDescent="0.2">
      <c r="A110" s="9"/>
      <c r="B110" s="9"/>
      <c r="C110" s="103" t="s">
        <v>6</v>
      </c>
      <c r="D110" s="104"/>
      <c r="E110" s="120">
        <f>AddressLine1</f>
        <v>0</v>
      </c>
      <c r="F110" s="121"/>
      <c r="G110" s="121"/>
      <c r="H110" s="121"/>
      <c r="I110" s="122"/>
      <c r="J110" s="9"/>
      <c r="K110" s="9"/>
    </row>
    <row r="111" spans="1:11" x14ac:dyDescent="0.2">
      <c r="A111" s="9"/>
      <c r="B111" s="9"/>
      <c r="C111" s="105"/>
      <c r="D111" s="106"/>
      <c r="E111" s="123" t="str">
        <f>AddressLine2</f>
        <v>231 MacCorkle Ave SW</v>
      </c>
      <c r="F111" s="124"/>
      <c r="G111" s="124"/>
      <c r="H111" s="124"/>
      <c r="I111" s="125"/>
      <c r="J111" s="9"/>
      <c r="K111" s="9"/>
    </row>
    <row r="112" spans="1:11" x14ac:dyDescent="0.2">
      <c r="A112" s="9"/>
      <c r="B112" s="9"/>
      <c r="C112" s="107"/>
      <c r="D112" s="108"/>
      <c r="E112" s="126" t="str">
        <f>AddressLine3</f>
        <v>South Charleston, WV 25303</v>
      </c>
      <c r="F112" s="127"/>
      <c r="G112" s="127"/>
      <c r="H112" s="127"/>
      <c r="I112" s="128"/>
      <c r="J112" s="9"/>
      <c r="K112" s="9"/>
    </row>
    <row r="113" spans="1:11" x14ac:dyDescent="0.2">
      <c r="A113" s="9"/>
      <c r="B113" s="9"/>
      <c r="C113" s="12"/>
      <c r="D113" s="12"/>
      <c r="E113" s="13"/>
      <c r="F113" s="13"/>
      <c r="G113" s="13"/>
      <c r="H113" s="13"/>
      <c r="I113" s="13"/>
      <c r="J113" s="9"/>
      <c r="K113" s="9"/>
    </row>
    <row r="114" spans="1:11" x14ac:dyDescent="0.2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</row>
    <row r="115" spans="1:11" ht="21" x14ac:dyDescent="0.35">
      <c r="A115" s="9"/>
      <c r="B115" s="119" t="s">
        <v>131</v>
      </c>
      <c r="C115" s="119"/>
      <c r="D115" s="119"/>
      <c r="E115" s="119"/>
      <c r="F115" s="119"/>
      <c r="G115" s="119"/>
      <c r="H115" s="119"/>
      <c r="I115" s="119"/>
      <c r="J115" s="119"/>
      <c r="K115" s="9"/>
    </row>
    <row r="116" spans="1:11" ht="38.25" x14ac:dyDescent="0.2">
      <c r="A116" s="9"/>
      <c r="B116" s="22" t="s">
        <v>108</v>
      </c>
      <c r="C116" s="153" t="s">
        <v>109</v>
      </c>
      <c r="D116" s="153"/>
      <c r="E116" s="22" t="s">
        <v>110</v>
      </c>
      <c r="F116" s="22" t="s">
        <v>111</v>
      </c>
      <c r="G116" s="153" t="s">
        <v>112</v>
      </c>
      <c r="H116" s="153"/>
      <c r="I116" s="153" t="s">
        <v>113</v>
      </c>
      <c r="J116" s="153"/>
      <c r="K116" s="9"/>
    </row>
    <row r="117" spans="1:11" x14ac:dyDescent="0.2">
      <c r="A117" s="9"/>
      <c r="B117" s="23" t="s">
        <v>114</v>
      </c>
      <c r="C117" s="142" t="str">
        <f>'Input Form'!B81</f>
        <v>TBD</v>
      </c>
      <c r="D117" s="132"/>
      <c r="E117" s="24">
        <f>'Input Form'!C81</f>
        <v>0.2</v>
      </c>
      <c r="F117" s="24">
        <f>'Input Form'!D81</f>
        <v>0.8</v>
      </c>
      <c r="G117" s="142" t="e">
        <f>'Input Form'!E81</f>
        <v>#VALUE!</v>
      </c>
      <c r="H117" s="132"/>
      <c r="I117" s="142" t="e">
        <f>'Input Form'!F81</f>
        <v>#VALUE!</v>
      </c>
      <c r="J117" s="132"/>
      <c r="K117" s="9"/>
    </row>
    <row r="118" spans="1:11" x14ac:dyDescent="0.2">
      <c r="A118" s="9"/>
      <c r="B118" s="23" t="s">
        <v>115</v>
      </c>
      <c r="C118" s="142" t="str">
        <f>'Input Form'!B82</f>
        <v>TBD</v>
      </c>
      <c r="D118" s="132"/>
      <c r="E118" s="24">
        <f>'Input Form'!C82</f>
        <v>0.2</v>
      </c>
      <c r="F118" s="24">
        <f>'Input Form'!D82</f>
        <v>0.8</v>
      </c>
      <c r="G118" s="142" t="e">
        <f>'Input Form'!E82</f>
        <v>#VALUE!</v>
      </c>
      <c r="H118" s="132"/>
      <c r="I118" s="142" t="e">
        <f>'Input Form'!F82</f>
        <v>#VALUE!</v>
      </c>
      <c r="J118" s="132"/>
      <c r="K118" s="9"/>
    </row>
    <row r="119" spans="1:11" x14ac:dyDescent="0.2">
      <c r="A119" s="9"/>
      <c r="B119" s="23" t="s">
        <v>116</v>
      </c>
      <c r="C119" s="142" t="str">
        <f>'Input Form'!B83</f>
        <v>TBD</v>
      </c>
      <c r="D119" s="132"/>
      <c r="E119" s="24">
        <f>'Input Form'!C83</f>
        <v>0.2</v>
      </c>
      <c r="F119" s="24">
        <f>'Input Form'!D83</f>
        <v>0.8</v>
      </c>
      <c r="G119" s="142" t="e">
        <f>'Input Form'!E83</f>
        <v>#VALUE!</v>
      </c>
      <c r="H119" s="132"/>
      <c r="I119" s="142" t="e">
        <f>'Input Form'!F83</f>
        <v>#VALUE!</v>
      </c>
      <c r="J119" s="132"/>
      <c r="K119" s="9"/>
    </row>
    <row r="120" spans="1:11" x14ac:dyDescent="0.2">
      <c r="A120" s="9"/>
      <c r="B120" s="23" t="s">
        <v>117</v>
      </c>
      <c r="C120" s="142" t="str">
        <f>'Input Form'!B84</f>
        <v>TBD</v>
      </c>
      <c r="D120" s="132"/>
      <c r="E120" s="24">
        <f>'Input Form'!C84</f>
        <v>0.2</v>
      </c>
      <c r="F120" s="24">
        <f>'Input Form'!D84</f>
        <v>0.8</v>
      </c>
      <c r="G120" s="142" t="e">
        <f>'Input Form'!E84</f>
        <v>#VALUE!</v>
      </c>
      <c r="H120" s="132"/>
      <c r="I120" s="142" t="e">
        <f>'Input Form'!F84</f>
        <v>#VALUE!</v>
      </c>
      <c r="J120" s="132"/>
      <c r="K120" s="9"/>
    </row>
    <row r="121" spans="1:11" x14ac:dyDescent="0.2">
      <c r="A121" s="9"/>
      <c r="B121" s="23" t="s">
        <v>118</v>
      </c>
      <c r="C121" s="142" t="str">
        <f>'Input Form'!B85</f>
        <v>TBD</v>
      </c>
      <c r="D121" s="132"/>
      <c r="E121" s="24">
        <f>'Input Form'!C85</f>
        <v>0.2</v>
      </c>
      <c r="F121" s="24">
        <f>'Input Form'!D85</f>
        <v>0.8</v>
      </c>
      <c r="G121" s="142" t="e">
        <f>'Input Form'!E85</f>
        <v>#VALUE!</v>
      </c>
      <c r="H121" s="132"/>
      <c r="I121" s="142" t="e">
        <f>'Input Form'!F85</f>
        <v>#VALUE!</v>
      </c>
      <c r="J121" s="132"/>
      <c r="K121" s="9"/>
    </row>
    <row r="122" spans="1:11" x14ac:dyDescent="0.2">
      <c r="A122" s="9"/>
      <c r="B122" s="23" t="s">
        <v>119</v>
      </c>
      <c r="C122" s="142">
        <f>'Input Form'!B86</f>
        <v>0</v>
      </c>
      <c r="D122" s="132"/>
      <c r="E122" s="24">
        <f>'Input Form'!C86</f>
        <v>0</v>
      </c>
      <c r="F122" s="24">
        <f>'Input Form'!D86</f>
        <v>0</v>
      </c>
      <c r="G122" s="142" t="e">
        <f>'Input Form'!E86</f>
        <v>#VALUE!</v>
      </c>
      <c r="H122" s="132"/>
      <c r="I122" s="142" t="e">
        <f>'Input Form'!F86</f>
        <v>#VALUE!</v>
      </c>
      <c r="J122" s="132"/>
      <c r="K122" s="9"/>
    </row>
    <row r="123" spans="1:11" ht="18.75" x14ac:dyDescent="0.3">
      <c r="A123" s="9"/>
      <c r="B123" s="110" t="s">
        <v>120</v>
      </c>
      <c r="C123" s="110"/>
      <c r="D123" s="110"/>
      <c r="E123" s="110"/>
      <c r="F123" s="110"/>
      <c r="G123" s="110"/>
      <c r="H123" s="110"/>
      <c r="I123" s="110"/>
      <c r="J123" s="110"/>
      <c r="K123" s="9"/>
    </row>
    <row r="124" spans="1:11" ht="25.5" x14ac:dyDescent="0.2">
      <c r="A124" s="9"/>
      <c r="B124" s="22" t="s">
        <v>108</v>
      </c>
      <c r="C124" s="153" t="s">
        <v>113</v>
      </c>
      <c r="D124" s="153"/>
      <c r="E124" s="154" t="s">
        <v>121</v>
      </c>
      <c r="F124" s="155"/>
      <c r="G124" s="153" t="s">
        <v>162</v>
      </c>
      <c r="H124" s="153"/>
      <c r="I124" s="153" t="s">
        <v>123</v>
      </c>
      <c r="J124" s="153"/>
      <c r="K124" s="9"/>
    </row>
    <row r="125" spans="1:11" x14ac:dyDescent="0.2">
      <c r="A125" s="9"/>
      <c r="B125" s="23" t="s">
        <v>114</v>
      </c>
      <c r="C125" s="142" t="e">
        <f>'Input Form'!B89</f>
        <v>#VALUE!</v>
      </c>
      <c r="D125" s="132"/>
      <c r="E125" s="143">
        <f>'Input Form'!C89</f>
        <v>0.09</v>
      </c>
      <c r="F125" s="144"/>
      <c r="G125" s="132">
        <f>'Input Form'!D89</f>
        <v>240</v>
      </c>
      <c r="H125" s="132"/>
      <c r="I125" s="137">
        <f>'Input Form'!F89</f>
        <v>0</v>
      </c>
      <c r="J125" s="137"/>
      <c r="K125" s="9"/>
    </row>
    <row r="126" spans="1:11" x14ac:dyDescent="0.2">
      <c r="A126" s="9"/>
      <c r="B126" s="23" t="s">
        <v>115</v>
      </c>
      <c r="C126" s="142" t="e">
        <f>'Input Form'!B90</f>
        <v>#VALUE!</v>
      </c>
      <c r="D126" s="132"/>
      <c r="E126" s="143">
        <f>'Input Form'!C90</f>
        <v>0.09</v>
      </c>
      <c r="F126" s="144"/>
      <c r="G126" s="132">
        <f>'Input Form'!D90</f>
        <v>240</v>
      </c>
      <c r="H126" s="132"/>
      <c r="I126" s="137">
        <f>'Input Form'!F90</f>
        <v>0</v>
      </c>
      <c r="J126" s="137"/>
      <c r="K126" s="9"/>
    </row>
    <row r="127" spans="1:11" x14ac:dyDescent="0.2">
      <c r="A127" s="9"/>
      <c r="B127" s="23" t="s">
        <v>116</v>
      </c>
      <c r="C127" s="142" t="e">
        <f>'Input Form'!B91</f>
        <v>#VALUE!</v>
      </c>
      <c r="D127" s="132"/>
      <c r="E127" s="143">
        <f>'Input Form'!C91</f>
        <v>0.09</v>
      </c>
      <c r="F127" s="144"/>
      <c r="G127" s="132">
        <f>'Input Form'!D91</f>
        <v>240</v>
      </c>
      <c r="H127" s="132"/>
      <c r="I127" s="137">
        <f>'Input Form'!F91</f>
        <v>0</v>
      </c>
      <c r="J127" s="137"/>
      <c r="K127" s="9"/>
    </row>
    <row r="128" spans="1:11" x14ac:dyDescent="0.2">
      <c r="A128" s="9"/>
      <c r="B128" s="23" t="s">
        <v>117</v>
      </c>
      <c r="C128" s="142" t="e">
        <f>'Input Form'!B92</f>
        <v>#VALUE!</v>
      </c>
      <c r="D128" s="132"/>
      <c r="E128" s="143">
        <f>'Input Form'!C92</f>
        <v>0.09</v>
      </c>
      <c r="F128" s="144"/>
      <c r="G128" s="132">
        <f>'Input Form'!D92</f>
        <v>240</v>
      </c>
      <c r="H128" s="132"/>
      <c r="I128" s="137">
        <f>'Input Form'!F92</f>
        <v>0</v>
      </c>
      <c r="J128" s="137"/>
      <c r="K128" s="9"/>
    </row>
    <row r="129" spans="1:11" x14ac:dyDescent="0.2">
      <c r="A129" s="9"/>
      <c r="B129" s="23" t="s">
        <v>118</v>
      </c>
      <c r="C129" s="142" t="e">
        <f>'Input Form'!B93</f>
        <v>#VALUE!</v>
      </c>
      <c r="D129" s="132"/>
      <c r="E129" s="143">
        <f>'Input Form'!C93</f>
        <v>0.09</v>
      </c>
      <c r="F129" s="144"/>
      <c r="G129" s="132">
        <f>'Input Form'!D93</f>
        <v>240</v>
      </c>
      <c r="H129" s="132"/>
      <c r="I129" s="137">
        <f>'Input Form'!F93</f>
        <v>0</v>
      </c>
      <c r="J129" s="137"/>
      <c r="K129" s="9"/>
    </row>
    <row r="130" spans="1:11" x14ac:dyDescent="0.2">
      <c r="A130" s="9"/>
      <c r="B130" s="23" t="s">
        <v>163</v>
      </c>
      <c r="C130" s="142" t="e">
        <f>'Input Form'!B94</f>
        <v>#VALUE!</v>
      </c>
      <c r="D130" s="132"/>
      <c r="E130" s="145"/>
      <c r="F130" s="146"/>
      <c r="G130" s="146"/>
      <c r="H130" s="147"/>
      <c r="I130" s="137">
        <f>'Input Form'!F94</f>
        <v>0</v>
      </c>
      <c r="J130" s="137"/>
      <c r="K130" s="9"/>
    </row>
    <row r="131" spans="1:11" ht="18.75" x14ac:dyDescent="0.3">
      <c r="A131" s="9"/>
      <c r="B131" s="110" t="s">
        <v>124</v>
      </c>
      <c r="C131" s="110"/>
      <c r="D131" s="110"/>
      <c r="E131" s="110"/>
      <c r="F131" s="110"/>
      <c r="G131" s="110"/>
      <c r="H131" s="110"/>
      <c r="I131" s="110"/>
      <c r="J131" s="110"/>
      <c r="K131" s="9"/>
    </row>
    <row r="132" spans="1:11" x14ac:dyDescent="0.2">
      <c r="A132" s="9"/>
      <c r="B132" s="99" t="s">
        <v>125</v>
      </c>
      <c r="C132" s="99"/>
      <c r="D132" s="99"/>
      <c r="E132" s="99"/>
      <c r="F132" s="99"/>
      <c r="G132" s="99"/>
      <c r="H132" s="99"/>
      <c r="I132" s="135" t="s">
        <v>123</v>
      </c>
      <c r="J132" s="135"/>
      <c r="K132" s="9"/>
    </row>
    <row r="133" spans="1:11" x14ac:dyDescent="0.2">
      <c r="A133" s="9"/>
      <c r="B133" s="109" t="s">
        <v>114</v>
      </c>
      <c r="C133" s="109"/>
      <c r="D133" s="109"/>
      <c r="E133" s="109"/>
      <c r="F133" s="109"/>
      <c r="G133" s="109"/>
      <c r="H133" s="109"/>
      <c r="I133" s="137">
        <f>'Input Form'!E97</f>
        <v>0</v>
      </c>
      <c r="J133" s="137"/>
      <c r="K133" s="9"/>
    </row>
    <row r="134" spans="1:11" x14ac:dyDescent="0.2">
      <c r="A134" s="9"/>
      <c r="B134" s="109" t="s">
        <v>115</v>
      </c>
      <c r="C134" s="109"/>
      <c r="D134" s="109"/>
      <c r="E134" s="109"/>
      <c r="F134" s="109"/>
      <c r="G134" s="109"/>
      <c r="H134" s="109"/>
      <c r="I134" s="137">
        <f>'Input Form'!E98</f>
        <v>0</v>
      </c>
      <c r="J134" s="137"/>
      <c r="K134" s="9"/>
    </row>
    <row r="135" spans="1:11" x14ac:dyDescent="0.2">
      <c r="A135" s="9"/>
      <c r="B135" s="109" t="s">
        <v>116</v>
      </c>
      <c r="C135" s="109"/>
      <c r="D135" s="109"/>
      <c r="E135" s="109"/>
      <c r="F135" s="109"/>
      <c r="G135" s="109"/>
      <c r="H135" s="109"/>
      <c r="I135" s="137">
        <f>'Input Form'!E99</f>
        <v>0</v>
      </c>
      <c r="J135" s="137"/>
      <c r="K135" s="9"/>
    </row>
    <row r="136" spans="1:11" x14ac:dyDescent="0.2">
      <c r="A136" s="9"/>
      <c r="B136" s="109" t="s">
        <v>126</v>
      </c>
      <c r="C136" s="109"/>
      <c r="D136" s="109"/>
      <c r="E136" s="109"/>
      <c r="F136" s="109"/>
      <c r="G136" s="109"/>
      <c r="H136" s="109"/>
      <c r="I136" s="137">
        <f>'Input Form'!E100</f>
        <v>0</v>
      </c>
      <c r="J136" s="137"/>
      <c r="K136" s="9"/>
    </row>
    <row r="137" spans="1:11" ht="18.75" x14ac:dyDescent="0.3">
      <c r="A137" s="9"/>
      <c r="B137" s="140" t="s">
        <v>164</v>
      </c>
      <c r="C137" s="141"/>
      <c r="D137" s="141"/>
      <c r="E137" s="141"/>
      <c r="F137" s="141"/>
      <c r="G137" s="138" t="s">
        <v>133</v>
      </c>
      <c r="H137" s="138"/>
      <c r="I137" s="138" t="s">
        <v>134</v>
      </c>
      <c r="J137" s="139"/>
      <c r="K137" s="9"/>
    </row>
    <row r="138" spans="1:11" x14ac:dyDescent="0.2">
      <c r="A138" s="9"/>
      <c r="B138" s="109" t="s">
        <v>142</v>
      </c>
      <c r="C138" s="109"/>
      <c r="D138" s="109"/>
      <c r="E138" s="109"/>
      <c r="F138" s="109"/>
      <c r="G138" s="137">
        <f>I76</f>
        <v>32997.931071332961</v>
      </c>
      <c r="H138" s="137"/>
      <c r="I138" s="137">
        <f>J76</f>
        <v>40051.523042264998</v>
      </c>
      <c r="J138" s="137"/>
      <c r="K138" s="9"/>
    </row>
    <row r="139" spans="1:11" x14ac:dyDescent="0.2">
      <c r="A139" s="9"/>
      <c r="B139" s="109" t="s">
        <v>165</v>
      </c>
      <c r="C139" s="109"/>
      <c r="D139" s="109"/>
      <c r="E139" s="109"/>
      <c r="F139" s="109"/>
      <c r="G139" s="137">
        <f>I92</f>
        <v>32997.931071327985</v>
      </c>
      <c r="H139" s="137"/>
      <c r="I139" s="137">
        <f>J92</f>
        <v>34912.031890871956</v>
      </c>
      <c r="J139" s="137"/>
      <c r="K139" s="9"/>
    </row>
    <row r="140" spans="1:11" x14ac:dyDescent="0.2">
      <c r="A140" s="9"/>
      <c r="B140" s="109" t="s">
        <v>166</v>
      </c>
      <c r="C140" s="109"/>
      <c r="D140" s="109"/>
      <c r="E140" s="109"/>
      <c r="F140" s="109"/>
      <c r="G140" s="137">
        <f>G138-G139</f>
        <v>4.9767550081014633E-9</v>
      </c>
      <c r="H140" s="137"/>
      <c r="I140" s="137">
        <f>J93</f>
        <v>5139.4911513930419</v>
      </c>
      <c r="J140" s="137"/>
      <c r="K140" s="9"/>
    </row>
    <row r="141" spans="1:11" x14ac:dyDescent="0.2">
      <c r="A141" s="9"/>
      <c r="B141" s="109" t="s">
        <v>167</v>
      </c>
      <c r="C141" s="109"/>
      <c r="D141" s="109"/>
      <c r="E141" s="109"/>
      <c r="F141" s="109"/>
      <c r="G141" s="137">
        <f>I130</f>
        <v>0</v>
      </c>
      <c r="H141" s="137"/>
      <c r="I141" s="137">
        <f>I130</f>
        <v>0</v>
      </c>
      <c r="J141" s="137"/>
      <c r="K141" s="9"/>
    </row>
    <row r="142" spans="1:11" x14ac:dyDescent="0.2">
      <c r="A142" s="9"/>
      <c r="B142" s="109" t="s">
        <v>168</v>
      </c>
      <c r="C142" s="109"/>
      <c r="D142" s="109"/>
      <c r="E142" s="109"/>
      <c r="F142" s="109"/>
      <c r="G142" s="137">
        <f>I136</f>
        <v>0</v>
      </c>
      <c r="H142" s="137"/>
      <c r="I142" s="137">
        <f>I136</f>
        <v>0</v>
      </c>
      <c r="J142" s="137"/>
      <c r="K142" s="9"/>
    </row>
    <row r="143" spans="1:11" x14ac:dyDescent="0.2">
      <c r="A143" s="9"/>
      <c r="B143" s="109" t="s">
        <v>169</v>
      </c>
      <c r="C143" s="109"/>
      <c r="D143" s="109"/>
      <c r="E143" s="109"/>
      <c r="F143" s="109"/>
      <c r="G143" s="137">
        <f>G140-G141-G142</f>
        <v>4.9767550081014633E-9</v>
      </c>
      <c r="H143" s="137"/>
      <c r="I143" s="137">
        <f>I140-I141-I142</f>
        <v>5139.4911513930419</v>
      </c>
      <c r="J143" s="137"/>
      <c r="K143" s="9"/>
    </row>
    <row r="144" spans="1:11" x14ac:dyDescent="0.2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</row>
    <row r="145" spans="1:11" x14ac:dyDescent="0.2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</row>
    <row r="146" spans="1:11" x14ac:dyDescent="0.2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</row>
    <row r="147" spans="1:11" x14ac:dyDescent="0.2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</row>
    <row r="148" spans="1:11" x14ac:dyDescent="0.2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</row>
    <row r="149" spans="1:11" x14ac:dyDescent="0.2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</row>
    <row r="150" spans="1:11" x14ac:dyDescent="0.2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</row>
    <row r="151" spans="1:11" x14ac:dyDescent="0.2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</row>
    <row r="152" spans="1:11" x14ac:dyDescent="0.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</row>
    <row r="153" spans="1:11" x14ac:dyDescent="0.2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</row>
    <row r="154" spans="1:11" ht="26.25" x14ac:dyDescent="0.4">
      <c r="A154" s="9"/>
      <c r="B154" s="96" t="s">
        <v>129</v>
      </c>
      <c r="C154" s="97"/>
      <c r="D154" s="97"/>
      <c r="E154" s="97"/>
      <c r="F154" s="97"/>
      <c r="G154" s="97"/>
      <c r="H154" s="97"/>
      <c r="I154" s="97"/>
      <c r="J154" s="98"/>
      <c r="K154" s="9"/>
    </row>
    <row r="155" spans="1:11" x14ac:dyDescent="0.2">
      <c r="A155" s="9"/>
      <c r="B155" s="10"/>
      <c r="C155" s="10"/>
      <c r="D155" s="10"/>
      <c r="E155" s="10"/>
      <c r="F155" s="10"/>
      <c r="G155" s="10"/>
      <c r="H155" s="10"/>
      <c r="I155" s="10"/>
      <c r="J155" s="10"/>
      <c r="K155" s="9"/>
    </row>
    <row r="156" spans="1:11" x14ac:dyDescent="0.2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</row>
    <row r="157" spans="1:11" x14ac:dyDescent="0.2">
      <c r="A157" s="9"/>
      <c r="B157" s="9"/>
      <c r="C157" s="99" t="s">
        <v>2</v>
      </c>
      <c r="D157" s="99"/>
      <c r="E157" s="100" t="str">
        <f>CustomerName</f>
        <v>Evan Dailey</v>
      </c>
      <c r="F157" s="101"/>
      <c r="G157" s="101"/>
      <c r="H157" s="101"/>
      <c r="I157" s="102"/>
      <c r="J157" s="9"/>
      <c r="K157" s="9"/>
    </row>
    <row r="158" spans="1:11" x14ac:dyDescent="0.2">
      <c r="A158" s="9"/>
      <c r="B158" s="9"/>
      <c r="C158" s="129" t="s">
        <v>130</v>
      </c>
      <c r="D158" s="130"/>
      <c r="E158" s="100" t="str">
        <f>CompanyName</f>
        <v>Express Car Wash</v>
      </c>
      <c r="F158" s="101"/>
      <c r="G158" s="101"/>
      <c r="H158" s="101"/>
      <c r="I158" s="102"/>
      <c r="J158" s="9"/>
      <c r="K158" s="9"/>
    </row>
    <row r="159" spans="1:11" x14ac:dyDescent="0.2">
      <c r="A159" s="9"/>
      <c r="B159" s="9"/>
      <c r="C159" s="103" t="s">
        <v>6</v>
      </c>
      <c r="D159" s="104"/>
      <c r="E159" s="120">
        <f>AddressLine1</f>
        <v>0</v>
      </c>
      <c r="F159" s="121"/>
      <c r="G159" s="121"/>
      <c r="H159" s="121"/>
      <c r="I159" s="122"/>
      <c r="J159" s="9"/>
      <c r="K159" s="9"/>
    </row>
    <row r="160" spans="1:11" x14ac:dyDescent="0.2">
      <c r="A160" s="9"/>
      <c r="B160" s="9"/>
      <c r="C160" s="105"/>
      <c r="D160" s="106"/>
      <c r="E160" s="123" t="str">
        <f>AddressLine2</f>
        <v>231 MacCorkle Ave SW</v>
      </c>
      <c r="F160" s="124"/>
      <c r="G160" s="124"/>
      <c r="H160" s="124"/>
      <c r="I160" s="125"/>
      <c r="J160" s="9"/>
      <c r="K160" s="9"/>
    </row>
    <row r="161" spans="1:11" x14ac:dyDescent="0.2">
      <c r="A161" s="9"/>
      <c r="B161" s="9"/>
      <c r="C161" s="107"/>
      <c r="D161" s="108"/>
      <c r="E161" s="126" t="str">
        <f>AddressLine3</f>
        <v>South Charleston, WV 25303</v>
      </c>
      <c r="F161" s="127"/>
      <c r="G161" s="127"/>
      <c r="H161" s="127"/>
      <c r="I161" s="128"/>
      <c r="J161" s="9"/>
      <c r="K161" s="9"/>
    </row>
    <row r="162" spans="1:11" x14ac:dyDescent="0.2">
      <c r="A162" s="9"/>
      <c r="B162" s="9"/>
      <c r="C162" s="12"/>
      <c r="D162" s="12"/>
      <c r="E162" s="13"/>
      <c r="F162" s="13"/>
      <c r="G162" s="13"/>
      <c r="H162" s="13"/>
      <c r="I162" s="13"/>
      <c r="J162" s="9"/>
      <c r="K162" s="9"/>
    </row>
    <row r="163" spans="1:11" x14ac:dyDescent="0.2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</row>
    <row r="164" spans="1:11" ht="21" x14ac:dyDescent="0.35">
      <c r="A164" s="9"/>
      <c r="B164" s="119" t="s">
        <v>170</v>
      </c>
      <c r="C164" s="119"/>
      <c r="D164" s="119"/>
      <c r="E164" s="119"/>
      <c r="F164" s="119"/>
      <c r="G164" s="119"/>
      <c r="H164" s="119"/>
      <c r="I164" s="119"/>
      <c r="J164" s="119"/>
      <c r="K164" s="9"/>
    </row>
    <row r="165" spans="1:11" x14ac:dyDescent="0.2">
      <c r="A165" s="9"/>
      <c r="B165" s="110" t="s">
        <v>171</v>
      </c>
      <c r="C165" s="110"/>
      <c r="D165" s="110"/>
      <c r="E165" s="110"/>
      <c r="F165" s="110"/>
      <c r="G165" s="110"/>
      <c r="H165" s="110"/>
      <c r="I165" s="15" t="s">
        <v>134</v>
      </c>
      <c r="J165" s="133" t="s">
        <v>172</v>
      </c>
      <c r="K165" s="9"/>
    </row>
    <row r="166" spans="1:11" x14ac:dyDescent="0.2">
      <c r="A166" s="9"/>
      <c r="B166" s="110"/>
      <c r="C166" s="110"/>
      <c r="D166" s="110"/>
      <c r="E166" s="110"/>
      <c r="F166" s="110"/>
      <c r="G166" s="110"/>
      <c r="H166" s="110"/>
      <c r="I166" s="16">
        <f>'Input Form'!B74</f>
        <v>58883.964225882344</v>
      </c>
      <c r="J166" s="133"/>
      <c r="K166" s="9"/>
    </row>
    <row r="167" spans="1:11" ht="18.75" x14ac:dyDescent="0.3">
      <c r="A167" s="9"/>
      <c r="B167" s="136" t="s">
        <v>135</v>
      </c>
      <c r="C167" s="136"/>
      <c r="D167" s="136"/>
      <c r="E167" s="136"/>
      <c r="F167" s="136"/>
      <c r="G167" s="136"/>
      <c r="H167" s="136"/>
      <c r="I167" s="136"/>
      <c r="J167" s="136"/>
      <c r="K167" s="9"/>
    </row>
    <row r="168" spans="1:11" ht="25.5" customHeight="1" x14ac:dyDescent="0.2">
      <c r="A168" s="9"/>
      <c r="B168" s="135" t="s">
        <v>136</v>
      </c>
      <c r="C168" s="135"/>
      <c r="D168" s="135"/>
      <c r="E168" s="135"/>
      <c r="F168" s="25" t="s">
        <v>137</v>
      </c>
      <c r="G168" s="133" t="s">
        <v>138</v>
      </c>
      <c r="H168" s="133"/>
      <c r="I168" s="135"/>
      <c r="J168" s="135"/>
      <c r="K168" s="9"/>
    </row>
    <row r="169" spans="1:11" x14ac:dyDescent="0.2">
      <c r="A169" s="9"/>
      <c r="B169" s="109" t="str">
        <f>BasicPackage</f>
        <v>Basic Package</v>
      </c>
      <c r="C169" s="109"/>
      <c r="D169" s="109"/>
      <c r="E169" s="109"/>
      <c r="F169" s="17">
        <f>BasicPackagePrice</f>
        <v>5</v>
      </c>
      <c r="G169" s="131">
        <f>'Input Form'!$D$19</f>
        <v>0.65</v>
      </c>
      <c r="H169" s="132"/>
      <c r="I169" s="18">
        <f>I$166*F169*G169</f>
        <v>191372.88373411761</v>
      </c>
      <c r="J169" s="26">
        <f>IFERROR((I169/I$174),0)</f>
        <v>0.3892215568862275</v>
      </c>
      <c r="K169" s="9"/>
    </row>
    <row r="170" spans="1:11" x14ac:dyDescent="0.2">
      <c r="A170" s="9"/>
      <c r="B170" s="109" t="str">
        <f>MenuPackage1</f>
        <v>Menu Package #1</v>
      </c>
      <c r="C170" s="109"/>
      <c r="D170" s="109"/>
      <c r="E170" s="109"/>
      <c r="F170" s="17">
        <f>MenuPackage1Price</f>
        <v>10</v>
      </c>
      <c r="G170" s="131">
        <f>'Input Form'!$D$20</f>
        <v>0.15</v>
      </c>
      <c r="H170" s="132"/>
      <c r="I170" s="18">
        <f>I$166*F170*G170</f>
        <v>88325.946338823502</v>
      </c>
      <c r="J170" s="26">
        <f t="shared" ref="J170:J176" si="2">IFERROR((I170/I$174),0)</f>
        <v>0.1796407185628742</v>
      </c>
      <c r="K170" s="9"/>
    </row>
    <row r="171" spans="1:11" x14ac:dyDescent="0.2">
      <c r="A171" s="9"/>
      <c r="B171" s="109" t="str">
        <f>MenuPackage2</f>
        <v>Menu Package #2</v>
      </c>
      <c r="C171" s="109"/>
      <c r="D171" s="109"/>
      <c r="E171" s="109"/>
      <c r="F171" s="17">
        <f>MenuPackage2Price</f>
        <v>15</v>
      </c>
      <c r="G171" s="131">
        <f>'Input Form'!$D$21</f>
        <v>0.12</v>
      </c>
      <c r="H171" s="132"/>
      <c r="I171" s="18">
        <f>I$166*F171*G171</f>
        <v>105991.13560658821</v>
      </c>
      <c r="J171" s="26">
        <f t="shared" si="2"/>
        <v>0.21556886227544908</v>
      </c>
      <c r="K171" s="9"/>
    </row>
    <row r="172" spans="1:11" x14ac:dyDescent="0.2">
      <c r="A172" s="9"/>
      <c r="B172" s="109" t="str">
        <f>MenuPackage3</f>
        <v>Menu Package #3</v>
      </c>
      <c r="C172" s="109"/>
      <c r="D172" s="109"/>
      <c r="E172" s="109"/>
      <c r="F172" s="17">
        <f>MenuPackage3Price</f>
        <v>20</v>
      </c>
      <c r="G172" s="131">
        <f>'Input Form'!$D$22</f>
        <v>0.04</v>
      </c>
      <c r="H172" s="132"/>
      <c r="I172" s="18">
        <f>I$166*F172*G172</f>
        <v>47107.17138070587</v>
      </c>
      <c r="J172" s="26">
        <f t="shared" si="2"/>
        <v>9.5808383233532912E-2</v>
      </c>
      <c r="K172" s="9"/>
    </row>
    <row r="173" spans="1:11" x14ac:dyDescent="0.2">
      <c r="A173" s="9"/>
      <c r="B173" s="109" t="str">
        <f>MenuPackage4</f>
        <v>Menu Package #4</v>
      </c>
      <c r="C173" s="109"/>
      <c r="D173" s="109"/>
      <c r="E173" s="109"/>
      <c r="F173" s="17">
        <f>MenuPackagePrice4</f>
        <v>25</v>
      </c>
      <c r="G173" s="131">
        <f>'Input Form'!$D$23</f>
        <v>0.04</v>
      </c>
      <c r="H173" s="132"/>
      <c r="I173" s="18">
        <f>I$166*F173*G173</f>
        <v>58883.964225882351</v>
      </c>
      <c r="J173" s="26">
        <f t="shared" si="2"/>
        <v>0.11976047904191617</v>
      </c>
      <c r="K173" s="9"/>
    </row>
    <row r="174" spans="1:11" x14ac:dyDescent="0.2">
      <c r="A174" s="9"/>
      <c r="B174" s="109" t="s">
        <v>140</v>
      </c>
      <c r="C174" s="109"/>
      <c r="D174" s="109"/>
      <c r="E174" s="109"/>
      <c r="F174" s="109"/>
      <c r="G174" s="109"/>
      <c r="H174" s="109"/>
      <c r="I174" s="18">
        <f>SUM(I169:I173)</f>
        <v>491681.10128611763</v>
      </c>
      <c r="J174" s="26">
        <f t="shared" si="2"/>
        <v>1</v>
      </c>
      <c r="K174" s="9"/>
    </row>
    <row r="175" spans="1:11" x14ac:dyDescent="0.2">
      <c r="A175" s="9"/>
      <c r="B175" s="109" t="s">
        <v>141</v>
      </c>
      <c r="C175" s="109"/>
      <c r="D175" s="109"/>
      <c r="E175" s="109"/>
      <c r="F175" s="27">
        <f>$F$75</f>
        <v>0.03</v>
      </c>
      <c r="G175" s="134">
        <f>$G$75</f>
        <v>0.75</v>
      </c>
      <c r="H175" s="134"/>
      <c r="I175" s="18">
        <f>-(I174*F175*G175)</f>
        <v>-11062.824778937646</v>
      </c>
      <c r="J175" s="26">
        <f t="shared" si="2"/>
        <v>-2.2499999999999999E-2</v>
      </c>
      <c r="K175" s="9"/>
    </row>
    <row r="176" spans="1:11" x14ac:dyDescent="0.2">
      <c r="A176" s="9"/>
      <c r="B176" s="109" t="s">
        <v>142</v>
      </c>
      <c r="C176" s="109"/>
      <c r="D176" s="109"/>
      <c r="E176" s="109"/>
      <c r="F176" s="109"/>
      <c r="G176" s="109"/>
      <c r="H176" s="109"/>
      <c r="I176" s="18">
        <f>I174+I175</f>
        <v>480618.27650718001</v>
      </c>
      <c r="J176" s="26">
        <f t="shared" si="2"/>
        <v>0.97750000000000004</v>
      </c>
      <c r="K176" s="9"/>
    </row>
    <row r="177" spans="1:11" ht="18.75" x14ac:dyDescent="0.3">
      <c r="A177" s="9"/>
      <c r="B177" s="110" t="s">
        <v>144</v>
      </c>
      <c r="C177" s="110"/>
      <c r="D177" s="110"/>
      <c r="E177" s="110"/>
      <c r="F177" s="110"/>
      <c r="G177" s="110"/>
      <c r="H177" s="110"/>
      <c r="I177" s="110"/>
      <c r="J177" s="110"/>
      <c r="K177" s="9"/>
    </row>
    <row r="178" spans="1:11" x14ac:dyDescent="0.2">
      <c r="A178" s="9"/>
      <c r="B178" s="111" t="s">
        <v>148</v>
      </c>
      <c r="C178" s="112"/>
      <c r="D178" s="112"/>
      <c r="E178" s="112"/>
      <c r="F178" s="112"/>
      <c r="G178" s="112"/>
      <c r="H178" s="113"/>
      <c r="I178" s="18">
        <f>$G$80*I176</f>
        <v>14418.5482952154</v>
      </c>
      <c r="J178" s="26">
        <f>IFERROR((I178/I$176),0)</f>
        <v>0.03</v>
      </c>
      <c r="K178" s="9"/>
    </row>
    <row r="179" spans="1:11" x14ac:dyDescent="0.2">
      <c r="A179" s="9"/>
      <c r="B179" s="111" t="s">
        <v>149</v>
      </c>
      <c r="C179" s="112"/>
      <c r="D179" s="112"/>
      <c r="E179" s="112"/>
      <c r="F179" s="112"/>
      <c r="G179" s="112"/>
      <c r="H179" s="113"/>
      <c r="I179" s="18">
        <f>$G$81*I176</f>
        <v>40961.340154918507</v>
      </c>
      <c r="J179" s="26">
        <f t="shared" ref="J179:J196" si="3">IFERROR((I179/I$176),0)</f>
        <v>8.5226347305389208E-2</v>
      </c>
      <c r="K179" s="9"/>
    </row>
    <row r="180" spans="1:11" x14ac:dyDescent="0.2">
      <c r="A180" s="9"/>
      <c r="B180" s="111" t="s">
        <v>150</v>
      </c>
      <c r="C180" s="112"/>
      <c r="D180" s="112"/>
      <c r="E180" s="112"/>
      <c r="F180" s="112"/>
      <c r="G180" s="112"/>
      <c r="H180" s="113"/>
      <c r="I180" s="18">
        <f>$G$82*I176</f>
        <v>4806.1827650718005</v>
      </c>
      <c r="J180" s="26">
        <f t="shared" si="3"/>
        <v>0.01</v>
      </c>
      <c r="K180" s="9"/>
    </row>
    <row r="181" spans="1:11" x14ac:dyDescent="0.2">
      <c r="A181" s="9"/>
      <c r="B181" s="111" t="s">
        <v>151</v>
      </c>
      <c r="C181" s="112"/>
      <c r="D181" s="112"/>
      <c r="E181" s="112"/>
      <c r="F181" s="112"/>
      <c r="G181" s="112"/>
      <c r="H181" s="113"/>
      <c r="I181" s="28">
        <f>$I$83*12</f>
        <v>12000</v>
      </c>
      <c r="J181" s="26">
        <f t="shared" si="3"/>
        <v>2.4967839523723837E-2</v>
      </c>
      <c r="K181" s="9"/>
    </row>
    <row r="182" spans="1:11" x14ac:dyDescent="0.2">
      <c r="A182" s="9"/>
      <c r="B182" s="111" t="s">
        <v>152</v>
      </c>
      <c r="C182" s="112"/>
      <c r="D182" s="112"/>
      <c r="E182" s="112"/>
      <c r="F182" s="112"/>
      <c r="G182" s="112"/>
      <c r="H182" s="113"/>
      <c r="I182" s="18">
        <f>$I$84*12</f>
        <v>256932</v>
      </c>
      <c r="J182" s="26">
        <f t="shared" si="3"/>
        <v>0.53458641204245105</v>
      </c>
      <c r="K182" s="9"/>
    </row>
    <row r="183" spans="1:11" x14ac:dyDescent="0.2">
      <c r="A183" s="9"/>
      <c r="B183" s="111" t="s">
        <v>153</v>
      </c>
      <c r="C183" s="112"/>
      <c r="D183" s="112"/>
      <c r="E183" s="112"/>
      <c r="F183" s="112"/>
      <c r="G183" s="112"/>
      <c r="H183" s="113"/>
      <c r="I183" s="18">
        <f>$G$85*I176</f>
        <v>4806.1827650718005</v>
      </c>
      <c r="J183" s="26">
        <f t="shared" si="3"/>
        <v>0.01</v>
      </c>
      <c r="K183" s="9"/>
    </row>
    <row r="184" spans="1:11" x14ac:dyDescent="0.2">
      <c r="A184" s="9"/>
      <c r="B184" s="111" t="s">
        <v>154</v>
      </c>
      <c r="C184" s="112"/>
      <c r="D184" s="112"/>
      <c r="E184" s="112"/>
      <c r="F184" s="112"/>
      <c r="G184" s="112"/>
      <c r="H184" s="113"/>
      <c r="I184" s="18">
        <f>$G$86*I176</f>
        <v>4806.1827650718005</v>
      </c>
      <c r="J184" s="26">
        <f t="shared" si="3"/>
        <v>0.01</v>
      </c>
      <c r="K184" s="9"/>
    </row>
    <row r="185" spans="1:11" x14ac:dyDescent="0.2">
      <c r="A185" s="9"/>
      <c r="B185" s="111" t="s">
        <v>155</v>
      </c>
      <c r="C185" s="112"/>
      <c r="D185" s="112"/>
      <c r="E185" s="112"/>
      <c r="F185" s="112"/>
      <c r="G185" s="112"/>
      <c r="H185" s="113"/>
      <c r="I185" s="18">
        <f>$G$87*I176</f>
        <v>7209.2741476076999</v>
      </c>
      <c r="J185" s="26">
        <f t="shared" si="3"/>
        <v>1.4999999999999999E-2</v>
      </c>
      <c r="K185" s="9"/>
    </row>
    <row r="186" spans="1:11" x14ac:dyDescent="0.2">
      <c r="A186" s="9"/>
      <c r="B186" s="111" t="s">
        <v>156</v>
      </c>
      <c r="C186" s="112"/>
      <c r="D186" s="112"/>
      <c r="E186" s="112"/>
      <c r="F186" s="112"/>
      <c r="G186" s="112"/>
      <c r="H186" s="113"/>
      <c r="I186" s="18">
        <f>$G$88*I176</f>
        <v>4806.1827650718005</v>
      </c>
      <c r="J186" s="26">
        <f t="shared" si="3"/>
        <v>0.01</v>
      </c>
      <c r="K186" s="9"/>
    </row>
    <row r="187" spans="1:11" x14ac:dyDescent="0.2">
      <c r="A187" s="9"/>
      <c r="B187" s="111" t="s">
        <v>157</v>
      </c>
      <c r="C187" s="112"/>
      <c r="D187" s="112"/>
      <c r="E187" s="112"/>
      <c r="F187" s="112"/>
      <c r="G187" s="112"/>
      <c r="H187" s="113"/>
      <c r="I187" s="28">
        <f>$I$89*12</f>
        <v>24000</v>
      </c>
      <c r="J187" s="26">
        <f t="shared" si="3"/>
        <v>4.9935679047447674E-2</v>
      </c>
      <c r="K187" s="9"/>
    </row>
    <row r="188" spans="1:11" x14ac:dyDescent="0.2">
      <c r="A188" s="9"/>
      <c r="B188" s="111" t="s">
        <v>158</v>
      </c>
      <c r="C188" s="112"/>
      <c r="D188" s="112"/>
      <c r="E188" s="112"/>
      <c r="F188" s="112"/>
      <c r="G188" s="112"/>
      <c r="H188" s="113"/>
      <c r="I188" s="18">
        <f>$G$90*I176</f>
        <v>4806.1827650718005</v>
      </c>
      <c r="J188" s="26">
        <f t="shared" si="3"/>
        <v>0.01</v>
      </c>
      <c r="K188" s="9"/>
    </row>
    <row r="189" spans="1:11" x14ac:dyDescent="0.2">
      <c r="A189" s="9"/>
      <c r="B189" s="111" t="s">
        <v>159</v>
      </c>
      <c r="C189" s="112"/>
      <c r="D189" s="112"/>
      <c r="E189" s="112"/>
      <c r="F189" s="112"/>
      <c r="G189" s="112"/>
      <c r="H189" s="113"/>
      <c r="I189" s="18">
        <f>$G$91*I176</f>
        <v>38449.462120574404</v>
      </c>
      <c r="J189" s="26">
        <f t="shared" si="3"/>
        <v>0.08</v>
      </c>
      <c r="K189" s="9"/>
    </row>
    <row r="190" spans="1:11" x14ac:dyDescent="0.2">
      <c r="A190" s="9"/>
      <c r="B190" s="109" t="s">
        <v>160</v>
      </c>
      <c r="C190" s="109"/>
      <c r="D190" s="109"/>
      <c r="E190" s="109"/>
      <c r="F190" s="109"/>
      <c r="G190" s="109"/>
      <c r="H190" s="109"/>
      <c r="I190" s="18">
        <f>SUM(I178:I189)</f>
        <v>418001.53854367498</v>
      </c>
      <c r="J190" s="26">
        <f t="shared" si="3"/>
        <v>0.86971627791901174</v>
      </c>
      <c r="K190" s="9"/>
    </row>
    <row r="191" spans="1:11" x14ac:dyDescent="0.2">
      <c r="A191" s="9"/>
      <c r="B191" s="99" t="s">
        <v>161</v>
      </c>
      <c r="C191" s="99"/>
      <c r="D191" s="99"/>
      <c r="E191" s="99"/>
      <c r="F191" s="99"/>
      <c r="G191" s="99"/>
      <c r="H191" s="99"/>
      <c r="I191" s="21">
        <f>I176-I190</f>
        <v>62616.737963505031</v>
      </c>
      <c r="J191" s="26">
        <f t="shared" si="3"/>
        <v>0.13028372208098832</v>
      </c>
      <c r="K191" s="9"/>
    </row>
    <row r="192" spans="1:11" ht="18.75" x14ac:dyDescent="0.3">
      <c r="A192" s="9"/>
      <c r="B192" s="110" t="s">
        <v>173</v>
      </c>
      <c r="C192" s="110"/>
      <c r="D192" s="110"/>
      <c r="E192" s="110"/>
      <c r="F192" s="110"/>
      <c r="G192" s="110"/>
      <c r="H192" s="110"/>
      <c r="I192" s="110"/>
      <c r="J192" s="110"/>
      <c r="K192" s="9"/>
    </row>
    <row r="193" spans="1:11" x14ac:dyDescent="0.2">
      <c r="A193" s="9"/>
      <c r="B193" s="111" t="s">
        <v>174</v>
      </c>
      <c r="C193" s="112"/>
      <c r="D193" s="112"/>
      <c r="E193" s="112"/>
      <c r="F193" s="112"/>
      <c r="G193" s="112"/>
      <c r="H193" s="113"/>
      <c r="I193" s="18">
        <f>$I$130*12</f>
        <v>0</v>
      </c>
      <c r="J193" s="26">
        <f t="shared" si="3"/>
        <v>0</v>
      </c>
      <c r="K193" s="9"/>
    </row>
    <row r="194" spans="1:11" x14ac:dyDescent="0.2">
      <c r="A194" s="9"/>
      <c r="B194" s="111" t="s">
        <v>126</v>
      </c>
      <c r="C194" s="112"/>
      <c r="D194" s="112"/>
      <c r="E194" s="112"/>
      <c r="F194" s="112"/>
      <c r="G194" s="112"/>
      <c r="H194" s="113"/>
      <c r="I194" s="18">
        <f>$I$136*12</f>
        <v>0</v>
      </c>
      <c r="J194" s="26">
        <f t="shared" si="3"/>
        <v>0</v>
      </c>
      <c r="K194" s="9"/>
    </row>
    <row r="195" spans="1:11" x14ac:dyDescent="0.2">
      <c r="A195" s="9"/>
      <c r="B195" s="109" t="s">
        <v>175</v>
      </c>
      <c r="C195" s="109"/>
      <c r="D195" s="109"/>
      <c r="E195" s="109"/>
      <c r="F195" s="109"/>
      <c r="G195" s="109"/>
      <c r="H195" s="109"/>
      <c r="I195" s="18">
        <f>I193+I194</f>
        <v>0</v>
      </c>
      <c r="J195" s="26">
        <f t="shared" si="3"/>
        <v>0</v>
      </c>
      <c r="K195" s="9"/>
    </row>
    <row r="196" spans="1:11" x14ac:dyDescent="0.2">
      <c r="A196" s="9"/>
      <c r="B196" s="99" t="s">
        <v>176</v>
      </c>
      <c r="C196" s="99"/>
      <c r="D196" s="99"/>
      <c r="E196" s="99"/>
      <c r="F196" s="99"/>
      <c r="G196" s="99"/>
      <c r="H196" s="99"/>
      <c r="I196" s="21">
        <f>I191-I195</f>
        <v>62616.737963505031</v>
      </c>
      <c r="J196" s="26">
        <f t="shared" si="3"/>
        <v>0.13028372208098832</v>
      </c>
      <c r="K196" s="9"/>
    </row>
    <row r="197" spans="1:11" x14ac:dyDescent="0.2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</row>
    <row r="198" spans="1:11" x14ac:dyDescent="0.2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</row>
    <row r="199" spans="1:11" x14ac:dyDescent="0.2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</row>
    <row r="200" spans="1:11" x14ac:dyDescent="0.2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</row>
    <row r="201" spans="1:11" x14ac:dyDescent="0.2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</row>
    <row r="202" spans="1:11" x14ac:dyDescent="0.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</row>
    <row r="203" spans="1:11" x14ac:dyDescent="0.2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</row>
    <row r="204" spans="1:11" x14ac:dyDescent="0.2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</row>
    <row r="205" spans="1:11" ht="26.25" x14ac:dyDescent="0.4">
      <c r="A205" s="9"/>
      <c r="B205" s="96" t="s">
        <v>129</v>
      </c>
      <c r="C205" s="97"/>
      <c r="D205" s="97"/>
      <c r="E205" s="97"/>
      <c r="F205" s="97"/>
      <c r="G205" s="97"/>
      <c r="H205" s="97"/>
      <c r="I205" s="97"/>
      <c r="J205" s="98"/>
      <c r="K205" s="9"/>
    </row>
    <row r="206" spans="1:11" x14ac:dyDescent="0.2">
      <c r="A206" s="9"/>
      <c r="B206" s="10"/>
      <c r="C206" s="10"/>
      <c r="D206" s="10"/>
      <c r="E206" s="10"/>
      <c r="F206" s="10"/>
      <c r="G206" s="10"/>
      <c r="H206" s="10"/>
      <c r="I206" s="10"/>
      <c r="J206" s="10"/>
      <c r="K206" s="9"/>
    </row>
    <row r="207" spans="1:11" x14ac:dyDescent="0.2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</row>
    <row r="208" spans="1:11" x14ac:dyDescent="0.2">
      <c r="A208" s="9"/>
      <c r="B208" s="9"/>
      <c r="C208" s="99" t="s">
        <v>2</v>
      </c>
      <c r="D208" s="99"/>
      <c r="E208" s="100" t="str">
        <f>CustomerName</f>
        <v>Evan Dailey</v>
      </c>
      <c r="F208" s="101"/>
      <c r="G208" s="101"/>
      <c r="H208" s="101"/>
      <c r="I208" s="102"/>
      <c r="J208" s="9"/>
      <c r="K208" s="9"/>
    </row>
    <row r="209" spans="1:11" x14ac:dyDescent="0.2">
      <c r="A209" s="9"/>
      <c r="B209" s="9"/>
      <c r="C209" s="129" t="s">
        <v>130</v>
      </c>
      <c r="D209" s="130"/>
      <c r="E209" s="100" t="str">
        <f>CompanyName</f>
        <v>Express Car Wash</v>
      </c>
      <c r="F209" s="101"/>
      <c r="G209" s="101"/>
      <c r="H209" s="101"/>
      <c r="I209" s="102"/>
      <c r="J209" s="9"/>
      <c r="K209" s="9"/>
    </row>
    <row r="210" spans="1:11" x14ac:dyDescent="0.2">
      <c r="A210" s="9"/>
      <c r="B210" s="9"/>
      <c r="C210" s="103" t="s">
        <v>6</v>
      </c>
      <c r="D210" s="104"/>
      <c r="E210" s="120">
        <f>AddressLine1</f>
        <v>0</v>
      </c>
      <c r="F210" s="121"/>
      <c r="G210" s="121"/>
      <c r="H210" s="121"/>
      <c r="I210" s="122"/>
      <c r="J210" s="9"/>
      <c r="K210" s="9"/>
    </row>
    <row r="211" spans="1:11" x14ac:dyDescent="0.2">
      <c r="A211" s="9"/>
      <c r="B211" s="9"/>
      <c r="C211" s="105"/>
      <c r="D211" s="106"/>
      <c r="E211" s="123" t="str">
        <f>AddressLine2</f>
        <v>231 MacCorkle Ave SW</v>
      </c>
      <c r="F211" s="124"/>
      <c r="G211" s="124"/>
      <c r="H211" s="124"/>
      <c r="I211" s="125"/>
      <c r="J211" s="9"/>
      <c r="K211" s="9"/>
    </row>
    <row r="212" spans="1:11" x14ac:dyDescent="0.2">
      <c r="A212" s="9"/>
      <c r="B212" s="9"/>
      <c r="C212" s="107"/>
      <c r="D212" s="108"/>
      <c r="E212" s="126" t="str">
        <f>AddressLine3</f>
        <v>South Charleston, WV 25303</v>
      </c>
      <c r="F212" s="127"/>
      <c r="G212" s="127"/>
      <c r="H212" s="127"/>
      <c r="I212" s="128"/>
      <c r="J212" s="9"/>
      <c r="K212" s="9"/>
    </row>
    <row r="213" spans="1:11" x14ac:dyDescent="0.2">
      <c r="A213" s="9"/>
      <c r="B213" s="9"/>
      <c r="C213" s="12"/>
      <c r="D213" s="12"/>
      <c r="E213" s="13"/>
      <c r="F213" s="13"/>
      <c r="G213" s="13"/>
      <c r="H213" s="13"/>
      <c r="I213" s="13"/>
      <c r="J213" s="9"/>
      <c r="K213" s="9"/>
    </row>
    <row r="214" spans="1:11" x14ac:dyDescent="0.2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</row>
    <row r="215" spans="1:11" ht="21" x14ac:dyDescent="0.35">
      <c r="A215" s="9"/>
      <c r="B215" s="119" t="s">
        <v>177</v>
      </c>
      <c r="C215" s="119"/>
      <c r="D215" s="119"/>
      <c r="E215" s="119"/>
      <c r="F215" s="119"/>
      <c r="G215" s="119"/>
      <c r="H215" s="119"/>
      <c r="I215" s="119"/>
      <c r="J215" s="119"/>
      <c r="K215" s="9"/>
    </row>
    <row r="216" spans="1:11" x14ac:dyDescent="0.2">
      <c r="A216" s="9"/>
      <c r="B216" s="110" t="s">
        <v>171</v>
      </c>
      <c r="C216" s="110"/>
      <c r="D216" s="110"/>
      <c r="E216" s="110"/>
      <c r="F216" s="110"/>
      <c r="G216" s="110"/>
      <c r="H216" s="110"/>
      <c r="I216" s="15" t="s">
        <v>178</v>
      </c>
      <c r="J216" s="133" t="s">
        <v>172</v>
      </c>
      <c r="K216" s="9"/>
    </row>
    <row r="217" spans="1:11" x14ac:dyDescent="0.2">
      <c r="A217" s="9"/>
      <c r="B217" s="110"/>
      <c r="C217" s="110"/>
      <c r="D217" s="110"/>
      <c r="E217" s="110"/>
      <c r="F217" s="110"/>
      <c r="G217" s="110"/>
      <c r="H217" s="110"/>
      <c r="I217" s="16">
        <f>'Input Form'!C74</f>
        <v>77719.517999999982</v>
      </c>
      <c r="J217" s="133"/>
      <c r="K217" s="9"/>
    </row>
    <row r="218" spans="1:11" ht="18.75" x14ac:dyDescent="0.3">
      <c r="A218" s="9"/>
      <c r="B218" s="110" t="s">
        <v>135</v>
      </c>
      <c r="C218" s="110"/>
      <c r="D218" s="110"/>
      <c r="E218" s="110"/>
      <c r="F218" s="110"/>
      <c r="G218" s="110"/>
      <c r="H218" s="110"/>
      <c r="I218" s="110"/>
      <c r="J218" s="110"/>
      <c r="K218" s="9"/>
    </row>
    <row r="219" spans="1:11" ht="25.5" x14ac:dyDescent="0.2">
      <c r="A219" s="9"/>
      <c r="B219" s="135" t="s">
        <v>136</v>
      </c>
      <c r="C219" s="135"/>
      <c r="D219" s="135"/>
      <c r="E219" s="135"/>
      <c r="F219" s="25" t="s">
        <v>137</v>
      </c>
      <c r="G219" s="133" t="s">
        <v>138</v>
      </c>
      <c r="H219" s="133"/>
      <c r="I219" s="135"/>
      <c r="J219" s="135"/>
      <c r="K219" s="9"/>
    </row>
    <row r="220" spans="1:11" x14ac:dyDescent="0.2">
      <c r="A220" s="9"/>
      <c r="B220" s="109" t="str">
        <f>BasicPackage</f>
        <v>Basic Package</v>
      </c>
      <c r="C220" s="109"/>
      <c r="D220" s="109"/>
      <c r="E220" s="109"/>
      <c r="F220" s="17">
        <f>'Input Form'!B27</f>
        <v>5</v>
      </c>
      <c r="G220" s="131">
        <f>'Input Form'!$D$19</f>
        <v>0.65</v>
      </c>
      <c r="H220" s="132"/>
      <c r="I220" s="18">
        <f>I$217*F220*G220</f>
        <v>252588.43349999996</v>
      </c>
      <c r="J220" s="26">
        <f>IFERROR((I220/I$225),0)</f>
        <v>0.38922155688622756</v>
      </c>
      <c r="K220" s="9"/>
    </row>
    <row r="221" spans="1:11" x14ac:dyDescent="0.2">
      <c r="A221" s="9"/>
      <c r="B221" s="109" t="str">
        <f>MenuPackage1</f>
        <v>Menu Package #1</v>
      </c>
      <c r="C221" s="109"/>
      <c r="D221" s="109"/>
      <c r="E221" s="109"/>
      <c r="F221" s="17">
        <f>'Input Form'!B28</f>
        <v>10</v>
      </c>
      <c r="G221" s="131">
        <f>'Input Form'!$D$20</f>
        <v>0.15</v>
      </c>
      <c r="H221" s="132"/>
      <c r="I221" s="18">
        <f>I$217*F221*G221</f>
        <v>116579.27699999997</v>
      </c>
      <c r="J221" s="26">
        <f t="shared" ref="J221:J227" si="4">IFERROR((I221/I$225),0)</f>
        <v>0.17964071856287425</v>
      </c>
      <c r="K221" s="9"/>
    </row>
    <row r="222" spans="1:11" x14ac:dyDescent="0.2">
      <c r="A222" s="9"/>
      <c r="B222" s="109" t="str">
        <f>MenuPackage2</f>
        <v>Menu Package #2</v>
      </c>
      <c r="C222" s="109"/>
      <c r="D222" s="109"/>
      <c r="E222" s="109"/>
      <c r="F222" s="17">
        <f>'Input Form'!B29</f>
        <v>15</v>
      </c>
      <c r="G222" s="131">
        <f>'Input Form'!$D$21</f>
        <v>0.12</v>
      </c>
      <c r="H222" s="132"/>
      <c r="I222" s="18">
        <f>I$217*F222*G222</f>
        <v>139895.13239999997</v>
      </c>
      <c r="J222" s="26">
        <f t="shared" si="4"/>
        <v>0.21556886227544911</v>
      </c>
      <c r="K222" s="9"/>
    </row>
    <row r="223" spans="1:11" x14ac:dyDescent="0.2">
      <c r="A223" s="9"/>
      <c r="B223" s="109" t="str">
        <f>MenuPackage3</f>
        <v>Menu Package #3</v>
      </c>
      <c r="C223" s="109"/>
      <c r="D223" s="109"/>
      <c r="E223" s="109"/>
      <c r="F223" s="17">
        <f>'Input Form'!B30</f>
        <v>20</v>
      </c>
      <c r="G223" s="131">
        <f>'Input Form'!$D$22</f>
        <v>0.04</v>
      </c>
      <c r="H223" s="132"/>
      <c r="I223" s="18">
        <f>I$217*F223*G223</f>
        <v>62175.614399999984</v>
      </c>
      <c r="J223" s="26">
        <f t="shared" si="4"/>
        <v>9.580838323353294E-2</v>
      </c>
      <c r="K223" s="9"/>
    </row>
    <row r="224" spans="1:11" x14ac:dyDescent="0.2">
      <c r="A224" s="9"/>
      <c r="B224" s="109" t="str">
        <f>MenuPackage4</f>
        <v>Menu Package #4</v>
      </c>
      <c r="C224" s="109"/>
      <c r="D224" s="109"/>
      <c r="E224" s="109"/>
      <c r="F224" s="17">
        <f>'Input Form'!B31</f>
        <v>25</v>
      </c>
      <c r="G224" s="131">
        <f>'Input Form'!$D$23</f>
        <v>0.04</v>
      </c>
      <c r="H224" s="132"/>
      <c r="I224" s="18">
        <f>I$217*F224*G224</f>
        <v>77719.517999999982</v>
      </c>
      <c r="J224" s="26">
        <f t="shared" si="4"/>
        <v>0.11976047904191617</v>
      </c>
      <c r="K224" s="9"/>
    </row>
    <row r="225" spans="1:11" x14ac:dyDescent="0.2">
      <c r="A225" s="9"/>
      <c r="B225" s="109" t="s">
        <v>140</v>
      </c>
      <c r="C225" s="109"/>
      <c r="D225" s="109"/>
      <c r="E225" s="109"/>
      <c r="F225" s="109"/>
      <c r="G225" s="109"/>
      <c r="H225" s="109"/>
      <c r="I225" s="18">
        <f>SUM(I220:I224)</f>
        <v>648957.97529999982</v>
      </c>
      <c r="J225" s="26">
        <f t="shared" si="4"/>
        <v>1</v>
      </c>
      <c r="K225" s="9"/>
    </row>
    <row r="226" spans="1:11" x14ac:dyDescent="0.2">
      <c r="A226" s="9"/>
      <c r="B226" s="109" t="s">
        <v>141</v>
      </c>
      <c r="C226" s="109"/>
      <c r="D226" s="109"/>
      <c r="E226" s="109"/>
      <c r="F226" s="27">
        <f>$F$75</f>
        <v>0.03</v>
      </c>
      <c r="G226" s="134">
        <f>$G$75</f>
        <v>0.75</v>
      </c>
      <c r="H226" s="134"/>
      <c r="I226" s="18">
        <f>-(I225*F226*G226)</f>
        <v>-14601.554444249996</v>
      </c>
      <c r="J226" s="26">
        <f t="shared" si="4"/>
        <v>-2.2499999999999999E-2</v>
      </c>
      <c r="K226" s="9"/>
    </row>
    <row r="227" spans="1:11" x14ac:dyDescent="0.2">
      <c r="A227" s="9"/>
      <c r="B227" s="109" t="s">
        <v>142</v>
      </c>
      <c r="C227" s="109"/>
      <c r="D227" s="109"/>
      <c r="E227" s="109"/>
      <c r="F227" s="109"/>
      <c r="G227" s="109"/>
      <c r="H227" s="109"/>
      <c r="I227" s="18">
        <f>I225+I226</f>
        <v>634356.42085574986</v>
      </c>
      <c r="J227" s="26">
        <f t="shared" si="4"/>
        <v>0.97750000000000004</v>
      </c>
      <c r="K227" s="9"/>
    </row>
    <row r="228" spans="1:11" ht="18.75" x14ac:dyDescent="0.3">
      <c r="A228" s="9"/>
      <c r="B228" s="110" t="s">
        <v>144</v>
      </c>
      <c r="C228" s="110"/>
      <c r="D228" s="110"/>
      <c r="E228" s="110"/>
      <c r="F228" s="110"/>
      <c r="G228" s="110"/>
      <c r="H228" s="110"/>
      <c r="I228" s="110"/>
      <c r="J228" s="110"/>
      <c r="K228" s="9"/>
    </row>
    <row r="229" spans="1:11" x14ac:dyDescent="0.2">
      <c r="A229" s="9"/>
      <c r="B229" s="111" t="s">
        <v>148</v>
      </c>
      <c r="C229" s="112"/>
      <c r="D229" s="112"/>
      <c r="E229" s="112"/>
      <c r="F229" s="112"/>
      <c r="G229" s="112"/>
      <c r="H229" s="113"/>
      <c r="I229" s="18">
        <f>$G$80*I227</f>
        <v>19030.692625672495</v>
      </c>
      <c r="J229" s="26">
        <f>IFERROR((I229/I$227),0)</f>
        <v>0.03</v>
      </c>
      <c r="K229" s="9"/>
    </row>
    <row r="230" spans="1:11" x14ac:dyDescent="0.2">
      <c r="A230" s="9"/>
      <c r="B230" s="111" t="s">
        <v>149</v>
      </c>
      <c r="C230" s="112"/>
      <c r="D230" s="112"/>
      <c r="E230" s="112"/>
      <c r="F230" s="112"/>
      <c r="G230" s="112"/>
      <c r="H230" s="113"/>
      <c r="I230" s="18">
        <f>$G$81*I227</f>
        <v>54063.880639255782</v>
      </c>
      <c r="J230" s="26">
        <f t="shared" ref="J230:J247" si="5">IFERROR((I230/I$227),0)</f>
        <v>8.5226347305389208E-2</v>
      </c>
      <c r="K230" s="9"/>
    </row>
    <row r="231" spans="1:11" x14ac:dyDescent="0.2">
      <c r="A231" s="9"/>
      <c r="B231" s="111" t="s">
        <v>150</v>
      </c>
      <c r="C231" s="112"/>
      <c r="D231" s="112"/>
      <c r="E231" s="112"/>
      <c r="F231" s="112"/>
      <c r="G231" s="112"/>
      <c r="H231" s="113"/>
      <c r="I231" s="18">
        <f>$G$82*I227</f>
        <v>6343.5642085574991</v>
      </c>
      <c r="J231" s="26">
        <f t="shared" si="5"/>
        <v>0.01</v>
      </c>
      <c r="K231" s="9"/>
    </row>
    <row r="232" spans="1:11" x14ac:dyDescent="0.2">
      <c r="A232" s="9"/>
      <c r="B232" s="111" t="s">
        <v>151</v>
      </c>
      <c r="C232" s="112"/>
      <c r="D232" s="112"/>
      <c r="E232" s="112"/>
      <c r="F232" s="112"/>
      <c r="G232" s="112"/>
      <c r="H232" s="113"/>
      <c r="I232" s="28">
        <f>$I$83*12</f>
        <v>12000</v>
      </c>
      <c r="J232" s="26">
        <f t="shared" si="5"/>
        <v>1.8916810180327238E-2</v>
      </c>
      <c r="K232" s="9"/>
    </row>
    <row r="233" spans="1:11" x14ac:dyDescent="0.2">
      <c r="A233" s="9"/>
      <c r="B233" s="111" t="s">
        <v>152</v>
      </c>
      <c r="C233" s="112"/>
      <c r="D233" s="112"/>
      <c r="E233" s="112"/>
      <c r="F233" s="112"/>
      <c r="G233" s="112"/>
      <c r="H233" s="113"/>
      <c r="I233" s="18">
        <f>$I$84*12</f>
        <v>256932</v>
      </c>
      <c r="J233" s="26">
        <f t="shared" si="5"/>
        <v>0.40502782277098653</v>
      </c>
      <c r="K233" s="9"/>
    </row>
    <row r="234" spans="1:11" x14ac:dyDescent="0.2">
      <c r="A234" s="9"/>
      <c r="B234" s="111" t="s">
        <v>153</v>
      </c>
      <c r="C234" s="112"/>
      <c r="D234" s="112"/>
      <c r="E234" s="112"/>
      <c r="F234" s="112"/>
      <c r="G234" s="112"/>
      <c r="H234" s="113"/>
      <c r="I234" s="18">
        <f>$G$85*I227</f>
        <v>6343.5642085574991</v>
      </c>
      <c r="J234" s="26">
        <f t="shared" si="5"/>
        <v>0.01</v>
      </c>
      <c r="K234" s="9"/>
    </row>
    <row r="235" spans="1:11" x14ac:dyDescent="0.2">
      <c r="A235" s="9"/>
      <c r="B235" s="111" t="s">
        <v>154</v>
      </c>
      <c r="C235" s="112"/>
      <c r="D235" s="112"/>
      <c r="E235" s="112"/>
      <c r="F235" s="112"/>
      <c r="G235" s="112"/>
      <c r="H235" s="113"/>
      <c r="I235" s="18">
        <f>$G$86*I227</f>
        <v>6343.5642085574991</v>
      </c>
      <c r="J235" s="26">
        <f t="shared" si="5"/>
        <v>0.01</v>
      </c>
      <c r="K235" s="9"/>
    </row>
    <row r="236" spans="1:11" x14ac:dyDescent="0.2">
      <c r="A236" s="9"/>
      <c r="B236" s="111" t="s">
        <v>155</v>
      </c>
      <c r="C236" s="112"/>
      <c r="D236" s="112"/>
      <c r="E236" s="112"/>
      <c r="F236" s="112"/>
      <c r="G236" s="112"/>
      <c r="H236" s="113"/>
      <c r="I236" s="18">
        <f>$G$87*I227</f>
        <v>9515.3463128362473</v>
      </c>
      <c r="J236" s="26">
        <f t="shared" si="5"/>
        <v>1.4999999999999999E-2</v>
      </c>
      <c r="K236" s="9"/>
    </row>
    <row r="237" spans="1:11" x14ac:dyDescent="0.2">
      <c r="A237" s="9"/>
      <c r="B237" s="111" t="s">
        <v>156</v>
      </c>
      <c r="C237" s="112"/>
      <c r="D237" s="112"/>
      <c r="E237" s="112"/>
      <c r="F237" s="112"/>
      <c r="G237" s="112"/>
      <c r="H237" s="113"/>
      <c r="I237" s="18">
        <f>$G$88*I227</f>
        <v>6343.5642085574991</v>
      </c>
      <c r="J237" s="26">
        <f t="shared" si="5"/>
        <v>0.01</v>
      </c>
      <c r="K237" s="9"/>
    </row>
    <row r="238" spans="1:11" x14ac:dyDescent="0.2">
      <c r="A238" s="9"/>
      <c r="B238" s="111" t="s">
        <v>157</v>
      </c>
      <c r="C238" s="112"/>
      <c r="D238" s="112"/>
      <c r="E238" s="112"/>
      <c r="F238" s="112"/>
      <c r="G238" s="112"/>
      <c r="H238" s="113"/>
      <c r="I238" s="28">
        <f>$I$89*12</f>
        <v>24000</v>
      </c>
      <c r="J238" s="26">
        <f t="shared" si="5"/>
        <v>3.7833620360654477E-2</v>
      </c>
      <c r="K238" s="9"/>
    </row>
    <row r="239" spans="1:11" x14ac:dyDescent="0.2">
      <c r="A239" s="9"/>
      <c r="B239" s="111" t="s">
        <v>158</v>
      </c>
      <c r="C239" s="112"/>
      <c r="D239" s="112"/>
      <c r="E239" s="112"/>
      <c r="F239" s="112"/>
      <c r="G239" s="112"/>
      <c r="H239" s="113"/>
      <c r="I239" s="18">
        <f>$G$90*I227</f>
        <v>6343.5642085574991</v>
      </c>
      <c r="J239" s="26">
        <f t="shared" si="5"/>
        <v>0.01</v>
      </c>
      <c r="K239" s="9"/>
    </row>
    <row r="240" spans="1:11" x14ac:dyDescent="0.2">
      <c r="A240" s="9"/>
      <c r="B240" s="111" t="s">
        <v>159</v>
      </c>
      <c r="C240" s="112"/>
      <c r="D240" s="112"/>
      <c r="E240" s="112"/>
      <c r="F240" s="112"/>
      <c r="G240" s="112"/>
      <c r="H240" s="113"/>
      <c r="I240" s="18">
        <f>$G$91*I227</f>
        <v>50748.513668459993</v>
      </c>
      <c r="J240" s="26">
        <f t="shared" si="5"/>
        <v>0.08</v>
      </c>
      <c r="K240" s="9"/>
    </row>
    <row r="241" spans="1:11" x14ac:dyDescent="0.2">
      <c r="A241" s="9"/>
      <c r="B241" s="109" t="s">
        <v>160</v>
      </c>
      <c r="C241" s="109"/>
      <c r="D241" s="109"/>
      <c r="E241" s="109"/>
      <c r="F241" s="109"/>
      <c r="G241" s="109"/>
      <c r="H241" s="109"/>
      <c r="I241" s="18">
        <f>SUM(I229:I240)</f>
        <v>458008.25428901194</v>
      </c>
      <c r="J241" s="26">
        <f t="shared" si="5"/>
        <v>0.72200460061735738</v>
      </c>
      <c r="K241" s="9"/>
    </row>
    <row r="242" spans="1:11" x14ac:dyDescent="0.2">
      <c r="A242" s="9"/>
      <c r="B242" s="99" t="s">
        <v>161</v>
      </c>
      <c r="C242" s="99"/>
      <c r="D242" s="99"/>
      <c r="E242" s="99"/>
      <c r="F242" s="99"/>
      <c r="G242" s="99"/>
      <c r="H242" s="99"/>
      <c r="I242" s="21">
        <f>I227-I241</f>
        <v>176348.16656673793</v>
      </c>
      <c r="J242" s="26">
        <f t="shared" si="5"/>
        <v>0.27799539938264267</v>
      </c>
      <c r="K242" s="9"/>
    </row>
    <row r="243" spans="1:11" ht="18.75" x14ac:dyDescent="0.3">
      <c r="A243" s="9"/>
      <c r="B243" s="110" t="s">
        <v>173</v>
      </c>
      <c r="C243" s="110"/>
      <c r="D243" s="110"/>
      <c r="E243" s="110"/>
      <c r="F243" s="110"/>
      <c r="G243" s="110"/>
      <c r="H243" s="110"/>
      <c r="I243" s="110"/>
      <c r="J243" s="110"/>
      <c r="K243" s="9"/>
    </row>
    <row r="244" spans="1:11" x14ac:dyDescent="0.2">
      <c r="A244" s="9"/>
      <c r="B244" s="111" t="s">
        <v>174</v>
      </c>
      <c r="C244" s="112"/>
      <c r="D244" s="112"/>
      <c r="E244" s="112"/>
      <c r="F244" s="112"/>
      <c r="G244" s="112"/>
      <c r="H244" s="113"/>
      <c r="I244" s="18">
        <f>$I$130*12</f>
        <v>0</v>
      </c>
      <c r="J244" s="26">
        <f t="shared" si="5"/>
        <v>0</v>
      </c>
      <c r="K244" s="9"/>
    </row>
    <row r="245" spans="1:11" x14ac:dyDescent="0.2">
      <c r="A245" s="9"/>
      <c r="B245" s="111" t="s">
        <v>126</v>
      </c>
      <c r="C245" s="112"/>
      <c r="D245" s="112"/>
      <c r="E245" s="112"/>
      <c r="F245" s="112"/>
      <c r="G245" s="112"/>
      <c r="H245" s="113"/>
      <c r="I245" s="18">
        <f>$I$136*12</f>
        <v>0</v>
      </c>
      <c r="J245" s="26">
        <f t="shared" si="5"/>
        <v>0</v>
      </c>
      <c r="K245" s="9"/>
    </row>
    <row r="246" spans="1:11" x14ac:dyDescent="0.2">
      <c r="A246" s="9"/>
      <c r="B246" s="109" t="s">
        <v>175</v>
      </c>
      <c r="C246" s="109"/>
      <c r="D246" s="109"/>
      <c r="E246" s="109"/>
      <c r="F246" s="109"/>
      <c r="G246" s="109"/>
      <c r="H246" s="109"/>
      <c r="I246" s="18">
        <f>I244+I245</f>
        <v>0</v>
      </c>
      <c r="J246" s="26">
        <f t="shared" si="5"/>
        <v>0</v>
      </c>
      <c r="K246" s="9"/>
    </row>
    <row r="247" spans="1:11" x14ac:dyDescent="0.2">
      <c r="A247" s="9"/>
      <c r="B247" s="99" t="s">
        <v>176</v>
      </c>
      <c r="C247" s="99"/>
      <c r="D247" s="99"/>
      <c r="E247" s="99"/>
      <c r="F247" s="99"/>
      <c r="G247" s="99"/>
      <c r="H247" s="99"/>
      <c r="I247" s="21">
        <f>I242-I246</f>
        <v>176348.16656673793</v>
      </c>
      <c r="J247" s="26">
        <f t="shared" si="5"/>
        <v>0.27799539938264267</v>
      </c>
      <c r="K247" s="9"/>
    </row>
    <row r="248" spans="1:11" x14ac:dyDescent="0.2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</row>
    <row r="249" spans="1:11" x14ac:dyDescent="0.2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</row>
    <row r="250" spans="1:11" x14ac:dyDescent="0.2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</row>
    <row r="251" spans="1:11" x14ac:dyDescent="0.2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</row>
    <row r="252" spans="1:11" x14ac:dyDescent="0.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</row>
    <row r="253" spans="1:11" x14ac:dyDescent="0.2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</row>
    <row r="254" spans="1:11" x14ac:dyDescent="0.2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</row>
    <row r="255" spans="1:11" x14ac:dyDescent="0.2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</row>
    <row r="256" spans="1:11" ht="26.25" x14ac:dyDescent="0.4">
      <c r="A256" s="9"/>
      <c r="B256" s="96" t="s">
        <v>129</v>
      </c>
      <c r="C256" s="97"/>
      <c r="D256" s="97"/>
      <c r="E256" s="97"/>
      <c r="F256" s="97"/>
      <c r="G256" s="97"/>
      <c r="H256" s="97"/>
      <c r="I256" s="97"/>
      <c r="J256" s="98"/>
      <c r="K256" s="9"/>
    </row>
    <row r="257" spans="1:11" x14ac:dyDescent="0.2">
      <c r="A257" s="9"/>
      <c r="B257" s="10"/>
      <c r="C257" s="10"/>
      <c r="D257" s="10"/>
      <c r="E257" s="10"/>
      <c r="F257" s="10"/>
      <c r="G257" s="10"/>
      <c r="H257" s="10"/>
      <c r="I257" s="10"/>
      <c r="J257" s="10"/>
      <c r="K257" s="9"/>
    </row>
    <row r="258" spans="1:11" x14ac:dyDescent="0.2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</row>
    <row r="259" spans="1:11" x14ac:dyDescent="0.2">
      <c r="A259" s="9"/>
      <c r="B259" s="9"/>
      <c r="C259" s="99" t="s">
        <v>2</v>
      </c>
      <c r="D259" s="99"/>
      <c r="E259" s="100" t="str">
        <f>CustomerName</f>
        <v>Evan Dailey</v>
      </c>
      <c r="F259" s="101"/>
      <c r="G259" s="101"/>
      <c r="H259" s="101"/>
      <c r="I259" s="102"/>
      <c r="J259" s="9"/>
      <c r="K259" s="9"/>
    </row>
    <row r="260" spans="1:11" x14ac:dyDescent="0.2">
      <c r="A260" s="9"/>
      <c r="B260" s="9"/>
      <c r="C260" s="129" t="s">
        <v>130</v>
      </c>
      <c r="D260" s="130"/>
      <c r="E260" s="100" t="str">
        <f>CompanyName</f>
        <v>Express Car Wash</v>
      </c>
      <c r="F260" s="101"/>
      <c r="G260" s="101"/>
      <c r="H260" s="101"/>
      <c r="I260" s="102"/>
      <c r="J260" s="9"/>
      <c r="K260" s="9"/>
    </row>
    <row r="261" spans="1:11" x14ac:dyDescent="0.2">
      <c r="A261" s="9"/>
      <c r="B261" s="9"/>
      <c r="C261" s="103" t="s">
        <v>6</v>
      </c>
      <c r="D261" s="104"/>
      <c r="E261" s="120">
        <f>AddressLine1</f>
        <v>0</v>
      </c>
      <c r="F261" s="121"/>
      <c r="G261" s="121"/>
      <c r="H261" s="121"/>
      <c r="I261" s="122"/>
      <c r="J261" s="9"/>
      <c r="K261" s="9"/>
    </row>
    <row r="262" spans="1:11" x14ac:dyDescent="0.2">
      <c r="A262" s="9"/>
      <c r="B262" s="9"/>
      <c r="C262" s="105"/>
      <c r="D262" s="106"/>
      <c r="E262" s="123" t="str">
        <f>AddressLine2</f>
        <v>231 MacCorkle Ave SW</v>
      </c>
      <c r="F262" s="124"/>
      <c r="G262" s="124"/>
      <c r="H262" s="124"/>
      <c r="I262" s="125"/>
      <c r="J262" s="9"/>
      <c r="K262" s="9"/>
    </row>
    <row r="263" spans="1:11" x14ac:dyDescent="0.2">
      <c r="A263" s="9"/>
      <c r="B263" s="9"/>
      <c r="C263" s="107"/>
      <c r="D263" s="108"/>
      <c r="E263" s="126" t="str">
        <f>AddressLine3</f>
        <v>South Charleston, WV 25303</v>
      </c>
      <c r="F263" s="127"/>
      <c r="G263" s="127"/>
      <c r="H263" s="127"/>
      <c r="I263" s="128"/>
      <c r="J263" s="9"/>
      <c r="K263" s="9"/>
    </row>
    <row r="264" spans="1:11" x14ac:dyDescent="0.2">
      <c r="A264" s="9"/>
      <c r="B264" s="9"/>
      <c r="C264" s="12"/>
      <c r="D264" s="12"/>
      <c r="E264" s="13"/>
      <c r="F264" s="13"/>
      <c r="G264" s="13"/>
      <c r="H264" s="13"/>
      <c r="I264" s="13"/>
      <c r="J264" s="9"/>
      <c r="K264" s="9"/>
    </row>
    <row r="265" spans="1:11" x14ac:dyDescent="0.2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</row>
    <row r="266" spans="1:11" ht="21" x14ac:dyDescent="0.35">
      <c r="A266" s="9"/>
      <c r="B266" s="119" t="s">
        <v>179</v>
      </c>
      <c r="C266" s="119"/>
      <c r="D266" s="119"/>
      <c r="E266" s="119"/>
      <c r="F266" s="119"/>
      <c r="G266" s="119"/>
      <c r="H266" s="119"/>
      <c r="I266" s="119"/>
      <c r="J266" s="119"/>
      <c r="K266" s="9"/>
    </row>
    <row r="267" spans="1:11" x14ac:dyDescent="0.2">
      <c r="A267" s="9"/>
      <c r="B267" s="110" t="s">
        <v>171</v>
      </c>
      <c r="C267" s="110"/>
      <c r="D267" s="110"/>
      <c r="E267" s="110"/>
      <c r="F267" s="110"/>
      <c r="G267" s="110"/>
      <c r="H267" s="110"/>
      <c r="I267" s="15" t="s">
        <v>180</v>
      </c>
      <c r="J267" s="133" t="s">
        <v>172</v>
      </c>
      <c r="K267" s="9"/>
    </row>
    <row r="268" spans="1:11" x14ac:dyDescent="0.2">
      <c r="A268" s="9"/>
      <c r="B268" s="110"/>
      <c r="C268" s="110"/>
      <c r="D268" s="110"/>
      <c r="E268" s="110"/>
      <c r="F268" s="110"/>
      <c r="G268" s="110"/>
      <c r="H268" s="110"/>
      <c r="I268" s="16">
        <f>'Input Form'!D74</f>
        <v>84119.948894117624</v>
      </c>
      <c r="J268" s="133"/>
      <c r="K268" s="9"/>
    </row>
    <row r="269" spans="1:11" ht="18.75" x14ac:dyDescent="0.3">
      <c r="A269" s="9"/>
      <c r="B269" s="110" t="s">
        <v>135</v>
      </c>
      <c r="C269" s="110"/>
      <c r="D269" s="110"/>
      <c r="E269" s="110"/>
      <c r="F269" s="110"/>
      <c r="G269" s="110"/>
      <c r="H269" s="110"/>
      <c r="I269" s="110"/>
      <c r="J269" s="110"/>
      <c r="K269" s="9"/>
    </row>
    <row r="270" spans="1:11" ht="25.5" x14ac:dyDescent="0.2">
      <c r="A270" s="9"/>
      <c r="B270" s="135" t="s">
        <v>136</v>
      </c>
      <c r="C270" s="135"/>
      <c r="D270" s="135"/>
      <c r="E270" s="135"/>
      <c r="F270" s="25" t="s">
        <v>137</v>
      </c>
      <c r="G270" s="133" t="s">
        <v>138</v>
      </c>
      <c r="H270" s="133"/>
      <c r="I270" s="135"/>
      <c r="J270" s="135"/>
      <c r="K270" s="9"/>
    </row>
    <row r="271" spans="1:11" x14ac:dyDescent="0.2">
      <c r="A271" s="9"/>
      <c r="B271" s="109" t="str">
        <f>BasicPackage</f>
        <v>Basic Package</v>
      </c>
      <c r="C271" s="109"/>
      <c r="D271" s="109"/>
      <c r="E271" s="109"/>
      <c r="F271" s="17">
        <f>'Input Form'!C27</f>
        <v>5</v>
      </c>
      <c r="G271" s="131">
        <f>'Input Form'!$D$19</f>
        <v>0.65</v>
      </c>
      <c r="H271" s="132"/>
      <c r="I271" s="18">
        <f>I$268*F271*G271</f>
        <v>273389.83390588226</v>
      </c>
      <c r="J271" s="26">
        <f>IFERROR((I271/I$276),0)</f>
        <v>0.38922155688622756</v>
      </c>
      <c r="K271" s="9"/>
    </row>
    <row r="272" spans="1:11" x14ac:dyDescent="0.2">
      <c r="A272" s="9"/>
      <c r="B272" s="109" t="str">
        <f>MenuPackage1</f>
        <v>Menu Package #1</v>
      </c>
      <c r="C272" s="109"/>
      <c r="D272" s="109"/>
      <c r="E272" s="109"/>
      <c r="F272" s="17">
        <f>'Input Form'!C28</f>
        <v>10</v>
      </c>
      <c r="G272" s="131">
        <f>'Input Form'!$D$20</f>
        <v>0.15</v>
      </c>
      <c r="H272" s="132"/>
      <c r="I272" s="18">
        <f t="shared" ref="I272:I275" si="6">I$268*F272*G272</f>
        <v>126179.92334117643</v>
      </c>
      <c r="J272" s="26">
        <f t="shared" ref="J272:J278" si="7">IFERROR((I272/I$276),0)</f>
        <v>0.17964071856287425</v>
      </c>
      <c r="K272" s="9"/>
    </row>
    <row r="273" spans="1:11" x14ac:dyDescent="0.2">
      <c r="A273" s="9"/>
      <c r="B273" s="109" t="str">
        <f>MenuPackage2</f>
        <v>Menu Package #2</v>
      </c>
      <c r="C273" s="109"/>
      <c r="D273" s="109"/>
      <c r="E273" s="109"/>
      <c r="F273" s="17">
        <f>'Input Form'!C29</f>
        <v>15</v>
      </c>
      <c r="G273" s="131">
        <f>'Input Form'!$D$21</f>
        <v>0.12</v>
      </c>
      <c r="H273" s="132"/>
      <c r="I273" s="18">
        <f t="shared" si="6"/>
        <v>151415.90800941171</v>
      </c>
      <c r="J273" s="26">
        <f t="shared" si="7"/>
        <v>0.21556886227544911</v>
      </c>
      <c r="K273" s="9"/>
    </row>
    <row r="274" spans="1:11" x14ac:dyDescent="0.2">
      <c r="A274" s="9"/>
      <c r="B274" s="109" t="str">
        <f>MenuPackage3</f>
        <v>Menu Package #3</v>
      </c>
      <c r="C274" s="109"/>
      <c r="D274" s="109"/>
      <c r="E274" s="109"/>
      <c r="F274" s="17">
        <f>'Input Form'!C30</f>
        <v>20</v>
      </c>
      <c r="G274" s="131">
        <f>'Input Form'!$D$22</f>
        <v>0.04</v>
      </c>
      <c r="H274" s="132"/>
      <c r="I274" s="18">
        <f t="shared" si="6"/>
        <v>67295.959115294099</v>
      </c>
      <c r="J274" s="26">
        <f t="shared" si="7"/>
        <v>9.580838323353294E-2</v>
      </c>
      <c r="K274" s="9"/>
    </row>
    <row r="275" spans="1:11" x14ac:dyDescent="0.2">
      <c r="A275" s="9"/>
      <c r="B275" s="109" t="str">
        <f>MenuPackage4</f>
        <v>Menu Package #4</v>
      </c>
      <c r="C275" s="109"/>
      <c r="D275" s="109"/>
      <c r="E275" s="109"/>
      <c r="F275" s="17">
        <f>'Input Form'!C31</f>
        <v>25</v>
      </c>
      <c r="G275" s="131">
        <f>'Input Form'!$D$23</f>
        <v>0.04</v>
      </c>
      <c r="H275" s="132"/>
      <c r="I275" s="18">
        <f t="shared" si="6"/>
        <v>84119.948894117624</v>
      </c>
      <c r="J275" s="26">
        <f t="shared" si="7"/>
        <v>0.11976047904191618</v>
      </c>
      <c r="K275" s="9"/>
    </row>
    <row r="276" spans="1:11" x14ac:dyDescent="0.2">
      <c r="A276" s="9"/>
      <c r="B276" s="109" t="s">
        <v>140</v>
      </c>
      <c r="C276" s="109"/>
      <c r="D276" s="109"/>
      <c r="E276" s="109"/>
      <c r="F276" s="109"/>
      <c r="G276" s="109"/>
      <c r="H276" s="109"/>
      <c r="I276" s="18">
        <f>SUM(I271:I275)</f>
        <v>702401.57326588209</v>
      </c>
      <c r="J276" s="26">
        <f t="shared" si="7"/>
        <v>1</v>
      </c>
      <c r="K276" s="9"/>
    </row>
    <row r="277" spans="1:11" x14ac:dyDescent="0.2">
      <c r="A277" s="9"/>
      <c r="B277" s="109" t="s">
        <v>141</v>
      </c>
      <c r="C277" s="109"/>
      <c r="D277" s="109"/>
      <c r="E277" s="109"/>
      <c r="F277" s="27">
        <f>$F$75</f>
        <v>0.03</v>
      </c>
      <c r="G277" s="134">
        <f>$G$75</f>
        <v>0.75</v>
      </c>
      <c r="H277" s="134"/>
      <c r="I277" s="18">
        <f>-(I276*F277*G277)</f>
        <v>-15804.035398482347</v>
      </c>
      <c r="J277" s="26">
        <f t="shared" si="7"/>
        <v>-2.2499999999999999E-2</v>
      </c>
      <c r="K277" s="9"/>
    </row>
    <row r="278" spans="1:11" x14ac:dyDescent="0.2">
      <c r="A278" s="9"/>
      <c r="B278" s="109" t="s">
        <v>142</v>
      </c>
      <c r="C278" s="109"/>
      <c r="D278" s="109"/>
      <c r="E278" s="109"/>
      <c r="F278" s="109"/>
      <c r="G278" s="109"/>
      <c r="H278" s="109"/>
      <c r="I278" s="18">
        <f>I276+I277</f>
        <v>686597.53786739975</v>
      </c>
      <c r="J278" s="26">
        <f t="shared" si="7"/>
        <v>0.97750000000000004</v>
      </c>
      <c r="K278" s="9"/>
    </row>
    <row r="279" spans="1:11" ht="18.75" x14ac:dyDescent="0.3">
      <c r="A279" s="9"/>
      <c r="B279" s="110" t="s">
        <v>144</v>
      </c>
      <c r="C279" s="110"/>
      <c r="D279" s="110"/>
      <c r="E279" s="110"/>
      <c r="F279" s="110"/>
      <c r="G279" s="110"/>
      <c r="H279" s="110"/>
      <c r="I279" s="110"/>
      <c r="J279" s="110"/>
      <c r="K279" s="9"/>
    </row>
    <row r="280" spans="1:11" x14ac:dyDescent="0.2">
      <c r="A280" s="9"/>
      <c r="B280" s="111" t="s">
        <v>148</v>
      </c>
      <c r="C280" s="112"/>
      <c r="D280" s="112"/>
      <c r="E280" s="112"/>
      <c r="F280" s="112"/>
      <c r="G280" s="112"/>
      <c r="H280" s="113"/>
      <c r="I280" s="18">
        <f>$G$80*I278</f>
        <v>20597.926136021993</v>
      </c>
      <c r="J280" s="26">
        <f>IFERROR((I280/I$278),0)</f>
        <v>3.0000000000000002E-2</v>
      </c>
      <c r="K280" s="9"/>
    </row>
    <row r="281" spans="1:11" x14ac:dyDescent="0.2">
      <c r="A281" s="9"/>
      <c r="B281" s="111" t="s">
        <v>149</v>
      </c>
      <c r="C281" s="112"/>
      <c r="D281" s="112"/>
      <c r="E281" s="112"/>
      <c r="F281" s="112"/>
      <c r="G281" s="112"/>
      <c r="H281" s="113"/>
      <c r="I281" s="18">
        <f>$G$81*I278</f>
        <v>58516.20022131213</v>
      </c>
      <c r="J281" s="26">
        <f t="shared" ref="J281:J298" si="8">IFERROR((I281/I$278),0)</f>
        <v>8.5226347305389208E-2</v>
      </c>
      <c r="K281" s="9"/>
    </row>
    <row r="282" spans="1:11" x14ac:dyDescent="0.2">
      <c r="A282" s="9"/>
      <c r="B282" s="111" t="s">
        <v>150</v>
      </c>
      <c r="C282" s="112"/>
      <c r="D282" s="112"/>
      <c r="E282" s="112"/>
      <c r="F282" s="112"/>
      <c r="G282" s="112"/>
      <c r="H282" s="113"/>
      <c r="I282" s="18">
        <f>$G$82*I278</f>
        <v>6865.9753786739975</v>
      </c>
      <c r="J282" s="26">
        <f t="shared" si="8"/>
        <v>0.01</v>
      </c>
      <c r="K282" s="9"/>
    </row>
    <row r="283" spans="1:11" x14ac:dyDescent="0.2">
      <c r="A283" s="9"/>
      <c r="B283" s="111" t="s">
        <v>151</v>
      </c>
      <c r="C283" s="112"/>
      <c r="D283" s="112"/>
      <c r="E283" s="112"/>
      <c r="F283" s="112"/>
      <c r="G283" s="112"/>
      <c r="H283" s="113"/>
      <c r="I283" s="28">
        <f>$I$83*12</f>
        <v>12000</v>
      </c>
      <c r="J283" s="26">
        <f t="shared" si="8"/>
        <v>1.7477487666606693E-2</v>
      </c>
      <c r="K283" s="9"/>
    </row>
    <row r="284" spans="1:11" x14ac:dyDescent="0.2">
      <c r="A284" s="9"/>
      <c r="B284" s="111" t="s">
        <v>152</v>
      </c>
      <c r="C284" s="112"/>
      <c r="D284" s="112"/>
      <c r="E284" s="112"/>
      <c r="F284" s="112"/>
      <c r="G284" s="112"/>
      <c r="H284" s="113"/>
      <c r="I284" s="18">
        <f>$I$84*12</f>
        <v>256932</v>
      </c>
      <c r="J284" s="26">
        <f t="shared" si="8"/>
        <v>0.37421048842971588</v>
      </c>
      <c r="K284" s="9"/>
    </row>
    <row r="285" spans="1:11" x14ac:dyDescent="0.2">
      <c r="A285" s="9"/>
      <c r="B285" s="111" t="s">
        <v>153</v>
      </c>
      <c r="C285" s="112"/>
      <c r="D285" s="112"/>
      <c r="E285" s="112"/>
      <c r="F285" s="112"/>
      <c r="G285" s="112"/>
      <c r="H285" s="113"/>
      <c r="I285" s="18">
        <f>$G$85*I278</f>
        <v>6865.9753786739975</v>
      </c>
      <c r="J285" s="26">
        <f t="shared" si="8"/>
        <v>0.01</v>
      </c>
      <c r="K285" s="9"/>
    </row>
    <row r="286" spans="1:11" x14ac:dyDescent="0.2">
      <c r="A286" s="9"/>
      <c r="B286" s="111" t="s">
        <v>154</v>
      </c>
      <c r="C286" s="112"/>
      <c r="D286" s="112"/>
      <c r="E286" s="112"/>
      <c r="F286" s="112"/>
      <c r="G286" s="112"/>
      <c r="H286" s="113"/>
      <c r="I286" s="18">
        <f>$G$86*I278</f>
        <v>6865.9753786739975</v>
      </c>
      <c r="J286" s="26">
        <f t="shared" si="8"/>
        <v>0.01</v>
      </c>
      <c r="K286" s="9"/>
    </row>
    <row r="287" spans="1:11" x14ac:dyDescent="0.2">
      <c r="A287" s="9"/>
      <c r="B287" s="111" t="s">
        <v>155</v>
      </c>
      <c r="C287" s="112"/>
      <c r="D287" s="112"/>
      <c r="E287" s="112"/>
      <c r="F287" s="112"/>
      <c r="G287" s="112"/>
      <c r="H287" s="113"/>
      <c r="I287" s="18">
        <f>$G$87*I278</f>
        <v>10298.963068010997</v>
      </c>
      <c r="J287" s="26">
        <f t="shared" si="8"/>
        <v>1.5000000000000001E-2</v>
      </c>
      <c r="K287" s="9"/>
    </row>
    <row r="288" spans="1:11" x14ac:dyDescent="0.2">
      <c r="A288" s="9"/>
      <c r="B288" s="111" t="s">
        <v>156</v>
      </c>
      <c r="C288" s="112"/>
      <c r="D288" s="112"/>
      <c r="E288" s="112"/>
      <c r="F288" s="112"/>
      <c r="G288" s="112"/>
      <c r="H288" s="113"/>
      <c r="I288" s="18">
        <f>$G$88*I278</f>
        <v>6865.9753786739975</v>
      </c>
      <c r="J288" s="26">
        <f t="shared" si="8"/>
        <v>0.01</v>
      </c>
      <c r="K288" s="9"/>
    </row>
    <row r="289" spans="1:11" x14ac:dyDescent="0.2">
      <c r="A289" s="9"/>
      <c r="B289" s="111" t="s">
        <v>157</v>
      </c>
      <c r="C289" s="112"/>
      <c r="D289" s="112"/>
      <c r="E289" s="112"/>
      <c r="F289" s="112"/>
      <c r="G289" s="112"/>
      <c r="H289" s="113"/>
      <c r="I289" s="28">
        <f>$I$89*12</f>
        <v>24000</v>
      </c>
      <c r="J289" s="26">
        <f t="shared" si="8"/>
        <v>3.4954975333213387E-2</v>
      </c>
      <c r="K289" s="9"/>
    </row>
    <row r="290" spans="1:11" x14ac:dyDescent="0.2">
      <c r="A290" s="9"/>
      <c r="B290" s="111" t="s">
        <v>158</v>
      </c>
      <c r="C290" s="112"/>
      <c r="D290" s="112"/>
      <c r="E290" s="112"/>
      <c r="F290" s="112"/>
      <c r="G290" s="112"/>
      <c r="H290" s="113"/>
      <c r="I290" s="18">
        <f>$G$90*I278</f>
        <v>6865.9753786739975</v>
      </c>
      <c r="J290" s="26">
        <f t="shared" si="8"/>
        <v>0.01</v>
      </c>
      <c r="K290" s="9"/>
    </row>
    <row r="291" spans="1:11" x14ac:dyDescent="0.2">
      <c r="A291" s="9"/>
      <c r="B291" s="111" t="s">
        <v>159</v>
      </c>
      <c r="C291" s="112"/>
      <c r="D291" s="112"/>
      <c r="E291" s="112"/>
      <c r="F291" s="112"/>
      <c r="G291" s="112"/>
      <c r="H291" s="113"/>
      <c r="I291" s="18">
        <f>$G$91*I278</f>
        <v>54927.80302939198</v>
      </c>
      <c r="J291" s="26">
        <f t="shared" si="8"/>
        <v>0.08</v>
      </c>
      <c r="K291" s="9"/>
    </row>
    <row r="292" spans="1:11" x14ac:dyDescent="0.2">
      <c r="A292" s="9"/>
      <c r="B292" s="109" t="s">
        <v>160</v>
      </c>
      <c r="C292" s="109"/>
      <c r="D292" s="109"/>
      <c r="E292" s="109"/>
      <c r="F292" s="109"/>
      <c r="G292" s="109"/>
      <c r="H292" s="109"/>
      <c r="I292" s="18">
        <f>SUM(I280:I291)</f>
        <v>471602.76934810705</v>
      </c>
      <c r="J292" s="26">
        <f t="shared" si="8"/>
        <v>0.68686929873492508</v>
      </c>
      <c r="K292" s="9"/>
    </row>
    <row r="293" spans="1:11" x14ac:dyDescent="0.2">
      <c r="A293" s="9"/>
      <c r="B293" s="99" t="s">
        <v>161</v>
      </c>
      <c r="C293" s="99"/>
      <c r="D293" s="99"/>
      <c r="E293" s="99"/>
      <c r="F293" s="99"/>
      <c r="G293" s="99"/>
      <c r="H293" s="99"/>
      <c r="I293" s="21">
        <f>I278-I292</f>
        <v>214994.7685192927</v>
      </c>
      <c r="J293" s="26">
        <f t="shared" si="8"/>
        <v>0.31313070126507492</v>
      </c>
      <c r="K293" s="9"/>
    </row>
    <row r="294" spans="1:11" ht="18.75" x14ac:dyDescent="0.3">
      <c r="A294" s="9"/>
      <c r="B294" s="110" t="s">
        <v>173</v>
      </c>
      <c r="C294" s="110"/>
      <c r="D294" s="110"/>
      <c r="E294" s="110"/>
      <c r="F294" s="110"/>
      <c r="G294" s="110"/>
      <c r="H294" s="110"/>
      <c r="I294" s="110"/>
      <c r="J294" s="110"/>
      <c r="K294" s="9"/>
    </row>
    <row r="295" spans="1:11" x14ac:dyDescent="0.2">
      <c r="A295" s="9"/>
      <c r="B295" s="111" t="s">
        <v>174</v>
      </c>
      <c r="C295" s="112"/>
      <c r="D295" s="112"/>
      <c r="E295" s="112"/>
      <c r="F295" s="112"/>
      <c r="G295" s="112"/>
      <c r="H295" s="113"/>
      <c r="I295" s="18">
        <f>$I$130*12</f>
        <v>0</v>
      </c>
      <c r="J295" s="26">
        <f t="shared" si="8"/>
        <v>0</v>
      </c>
      <c r="K295" s="9"/>
    </row>
    <row r="296" spans="1:11" x14ac:dyDescent="0.2">
      <c r="A296" s="9"/>
      <c r="B296" s="111" t="s">
        <v>126</v>
      </c>
      <c r="C296" s="112"/>
      <c r="D296" s="112"/>
      <c r="E296" s="112"/>
      <c r="F296" s="112"/>
      <c r="G296" s="112"/>
      <c r="H296" s="113"/>
      <c r="I296" s="18">
        <f>$I$136*12</f>
        <v>0</v>
      </c>
      <c r="J296" s="26">
        <f t="shared" si="8"/>
        <v>0</v>
      </c>
      <c r="K296" s="9"/>
    </row>
    <row r="297" spans="1:11" x14ac:dyDescent="0.2">
      <c r="A297" s="9"/>
      <c r="B297" s="109" t="s">
        <v>175</v>
      </c>
      <c r="C297" s="109"/>
      <c r="D297" s="109"/>
      <c r="E297" s="109"/>
      <c r="F297" s="109"/>
      <c r="G297" s="109"/>
      <c r="H297" s="109"/>
      <c r="I297" s="18">
        <f>I295+I296</f>
        <v>0</v>
      </c>
      <c r="J297" s="26">
        <f t="shared" si="8"/>
        <v>0</v>
      </c>
      <c r="K297" s="9"/>
    </row>
    <row r="298" spans="1:11" x14ac:dyDescent="0.2">
      <c r="A298" s="9"/>
      <c r="B298" s="99" t="s">
        <v>176</v>
      </c>
      <c r="C298" s="99"/>
      <c r="D298" s="99"/>
      <c r="E298" s="99"/>
      <c r="F298" s="99"/>
      <c r="G298" s="99"/>
      <c r="H298" s="99"/>
      <c r="I298" s="21">
        <f>I293-I297</f>
        <v>214994.7685192927</v>
      </c>
      <c r="J298" s="26">
        <f t="shared" si="8"/>
        <v>0.31313070126507492</v>
      </c>
      <c r="K298" s="9"/>
    </row>
    <row r="299" spans="1:11" x14ac:dyDescent="0.2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</row>
    <row r="300" spans="1:11" x14ac:dyDescent="0.2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</row>
    <row r="301" spans="1:11" x14ac:dyDescent="0.2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</row>
    <row r="302" spans="1:11" x14ac:dyDescent="0.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</row>
    <row r="303" spans="1:11" x14ac:dyDescent="0.2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</row>
    <row r="304" spans="1:11" x14ac:dyDescent="0.2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</row>
    <row r="305" spans="1:11" x14ac:dyDescent="0.2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</row>
    <row r="306" spans="1:11" x14ac:dyDescent="0.2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</row>
    <row r="307" spans="1:11" ht="26.25" x14ac:dyDescent="0.4">
      <c r="A307" s="9"/>
      <c r="B307" s="96" t="s">
        <v>129</v>
      </c>
      <c r="C307" s="97"/>
      <c r="D307" s="97"/>
      <c r="E307" s="97"/>
      <c r="F307" s="97"/>
      <c r="G307" s="97"/>
      <c r="H307" s="97"/>
      <c r="I307" s="97"/>
      <c r="J307" s="98"/>
      <c r="K307" s="9"/>
    </row>
    <row r="308" spans="1:11" x14ac:dyDescent="0.2">
      <c r="A308" s="9"/>
      <c r="B308" s="10"/>
      <c r="C308" s="10"/>
      <c r="D308" s="10"/>
      <c r="E308" s="10"/>
      <c r="F308" s="10"/>
      <c r="G308" s="10"/>
      <c r="H308" s="10"/>
      <c r="I308" s="10"/>
      <c r="J308" s="10"/>
      <c r="K308" s="9"/>
    </row>
    <row r="309" spans="1:11" x14ac:dyDescent="0.2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</row>
    <row r="310" spans="1:11" x14ac:dyDescent="0.2">
      <c r="A310" s="9"/>
      <c r="B310" s="9"/>
      <c r="C310" s="99" t="s">
        <v>2</v>
      </c>
      <c r="D310" s="99"/>
      <c r="E310" s="100" t="str">
        <f>CustomerName</f>
        <v>Evan Dailey</v>
      </c>
      <c r="F310" s="101"/>
      <c r="G310" s="101"/>
      <c r="H310" s="101"/>
      <c r="I310" s="102"/>
      <c r="J310" s="9"/>
      <c r="K310" s="9"/>
    </row>
    <row r="311" spans="1:11" x14ac:dyDescent="0.2">
      <c r="A311" s="9"/>
      <c r="B311" s="9"/>
      <c r="C311" s="129" t="s">
        <v>130</v>
      </c>
      <c r="D311" s="130"/>
      <c r="E311" s="100" t="str">
        <f>CompanyName</f>
        <v>Express Car Wash</v>
      </c>
      <c r="F311" s="101"/>
      <c r="G311" s="101"/>
      <c r="H311" s="101"/>
      <c r="I311" s="102"/>
      <c r="J311" s="9"/>
      <c r="K311" s="9"/>
    </row>
    <row r="312" spans="1:11" x14ac:dyDescent="0.2">
      <c r="A312" s="9"/>
      <c r="B312" s="9"/>
      <c r="C312" s="103" t="s">
        <v>6</v>
      </c>
      <c r="D312" s="104"/>
      <c r="E312" s="120">
        <f>AddressLine1</f>
        <v>0</v>
      </c>
      <c r="F312" s="121"/>
      <c r="G312" s="121"/>
      <c r="H312" s="121"/>
      <c r="I312" s="122"/>
      <c r="J312" s="9"/>
      <c r="K312" s="9"/>
    </row>
    <row r="313" spans="1:11" x14ac:dyDescent="0.2">
      <c r="A313" s="9"/>
      <c r="B313" s="9"/>
      <c r="C313" s="105"/>
      <c r="D313" s="106"/>
      <c r="E313" s="123" t="str">
        <f>AddressLine2</f>
        <v>231 MacCorkle Ave SW</v>
      </c>
      <c r="F313" s="124"/>
      <c r="G313" s="124"/>
      <c r="H313" s="124"/>
      <c r="I313" s="125"/>
      <c r="J313" s="9"/>
      <c r="K313" s="9"/>
    </row>
    <row r="314" spans="1:11" x14ac:dyDescent="0.2">
      <c r="A314" s="9"/>
      <c r="B314" s="9"/>
      <c r="C314" s="107"/>
      <c r="D314" s="108"/>
      <c r="E314" s="126" t="str">
        <f>AddressLine3</f>
        <v>South Charleston, WV 25303</v>
      </c>
      <c r="F314" s="127"/>
      <c r="G314" s="127"/>
      <c r="H314" s="127"/>
      <c r="I314" s="128"/>
      <c r="J314" s="9"/>
      <c r="K314" s="9"/>
    </row>
    <row r="315" spans="1:11" x14ac:dyDescent="0.2">
      <c r="A315" s="9"/>
      <c r="B315" s="9"/>
      <c r="C315" s="12"/>
      <c r="D315" s="12"/>
      <c r="E315" s="13"/>
      <c r="F315" s="13"/>
      <c r="G315" s="13"/>
      <c r="H315" s="13"/>
      <c r="I315" s="13"/>
      <c r="J315" s="9"/>
      <c r="K315" s="9"/>
    </row>
    <row r="316" spans="1:11" x14ac:dyDescent="0.2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</row>
    <row r="317" spans="1:11" ht="21" x14ac:dyDescent="0.35">
      <c r="A317" s="9"/>
      <c r="B317" s="119" t="s">
        <v>181</v>
      </c>
      <c r="C317" s="119"/>
      <c r="D317" s="119"/>
      <c r="E317" s="119"/>
      <c r="F317" s="119"/>
      <c r="G317" s="119"/>
      <c r="H317" s="119"/>
      <c r="I317" s="119"/>
      <c r="J317" s="119"/>
      <c r="K317" s="9"/>
    </row>
    <row r="318" spans="1:11" x14ac:dyDescent="0.2">
      <c r="A318" s="9"/>
      <c r="B318" s="110" t="s">
        <v>171</v>
      </c>
      <c r="C318" s="110"/>
      <c r="D318" s="110"/>
      <c r="E318" s="110"/>
      <c r="F318" s="110"/>
      <c r="G318" s="110"/>
      <c r="H318" s="110"/>
      <c r="I318" s="15" t="s">
        <v>182</v>
      </c>
      <c r="J318" s="133" t="s">
        <v>172</v>
      </c>
      <c r="K318" s="9"/>
    </row>
    <row r="319" spans="1:11" x14ac:dyDescent="0.2">
      <c r="A319" s="9"/>
      <c r="B319" s="110"/>
      <c r="C319" s="110"/>
      <c r="D319" s="110"/>
      <c r="E319" s="110"/>
      <c r="F319" s="110"/>
      <c r="G319" s="110"/>
      <c r="H319" s="110"/>
      <c r="I319" s="16">
        <f>'Input Form'!E74</f>
        <v>87197.507999999987</v>
      </c>
      <c r="J319" s="133"/>
      <c r="K319" s="9"/>
    </row>
    <row r="320" spans="1:11" ht="18.75" x14ac:dyDescent="0.3">
      <c r="A320" s="9"/>
      <c r="B320" s="110" t="s">
        <v>135</v>
      </c>
      <c r="C320" s="110"/>
      <c r="D320" s="110"/>
      <c r="E320" s="110"/>
      <c r="F320" s="110"/>
      <c r="G320" s="110"/>
      <c r="H320" s="110"/>
      <c r="I320" s="110"/>
      <c r="J320" s="110"/>
      <c r="K320" s="9"/>
    </row>
    <row r="321" spans="1:11" ht="25.5" x14ac:dyDescent="0.2">
      <c r="A321" s="9"/>
      <c r="B321" s="135" t="s">
        <v>136</v>
      </c>
      <c r="C321" s="135"/>
      <c r="D321" s="135"/>
      <c r="E321" s="135"/>
      <c r="F321" s="25" t="s">
        <v>137</v>
      </c>
      <c r="G321" s="133" t="s">
        <v>138</v>
      </c>
      <c r="H321" s="133"/>
      <c r="I321" s="135"/>
      <c r="J321" s="135"/>
      <c r="K321" s="9"/>
    </row>
    <row r="322" spans="1:11" x14ac:dyDescent="0.2">
      <c r="A322" s="9"/>
      <c r="B322" s="109" t="str">
        <f>BasicPackage</f>
        <v>Basic Package</v>
      </c>
      <c r="C322" s="109"/>
      <c r="D322" s="109"/>
      <c r="E322" s="109"/>
      <c r="F322" s="17">
        <f>'Input Form'!D27</f>
        <v>5</v>
      </c>
      <c r="G322" s="131">
        <f>'Input Form'!$D$19</f>
        <v>0.65</v>
      </c>
      <c r="H322" s="132"/>
      <c r="I322" s="18">
        <f>I$319*F322*G322</f>
        <v>283391.90099999995</v>
      </c>
      <c r="J322" s="26">
        <f>IFERROR((I322/I$327),0)</f>
        <v>0.3892215568862275</v>
      </c>
      <c r="K322" s="9"/>
    </row>
    <row r="323" spans="1:11" x14ac:dyDescent="0.2">
      <c r="A323" s="9"/>
      <c r="B323" s="109" t="str">
        <f>MenuPackage1</f>
        <v>Menu Package #1</v>
      </c>
      <c r="C323" s="109"/>
      <c r="D323" s="109"/>
      <c r="E323" s="109"/>
      <c r="F323" s="17">
        <f>'Input Form'!D28</f>
        <v>10</v>
      </c>
      <c r="G323" s="131">
        <f>'Input Form'!$D$20</f>
        <v>0.15</v>
      </c>
      <c r="H323" s="132"/>
      <c r="I323" s="18">
        <f>I$319*F323*G323</f>
        <v>130796.26199999997</v>
      </c>
      <c r="J323" s="26">
        <f t="shared" ref="J323:J329" si="9">IFERROR((I323/I$327),0)</f>
        <v>0.17964071856287422</v>
      </c>
      <c r="K323" s="9"/>
    </row>
    <row r="324" spans="1:11" x14ac:dyDescent="0.2">
      <c r="A324" s="9"/>
      <c r="B324" s="109" t="str">
        <f>MenuPackage2</f>
        <v>Menu Package #2</v>
      </c>
      <c r="C324" s="109"/>
      <c r="D324" s="109"/>
      <c r="E324" s="109"/>
      <c r="F324" s="17">
        <f>'Input Form'!D29</f>
        <v>15</v>
      </c>
      <c r="G324" s="131">
        <f>'Input Form'!$D$21</f>
        <v>0.12</v>
      </c>
      <c r="H324" s="132"/>
      <c r="I324" s="18">
        <f>I$319*F324*G324</f>
        <v>156955.51439999999</v>
      </c>
      <c r="J324" s="26">
        <f t="shared" si="9"/>
        <v>0.21556886227544911</v>
      </c>
      <c r="K324" s="9"/>
    </row>
    <row r="325" spans="1:11" x14ac:dyDescent="0.2">
      <c r="A325" s="9"/>
      <c r="B325" s="109" t="str">
        <f>MenuPackage3</f>
        <v>Menu Package #3</v>
      </c>
      <c r="C325" s="109"/>
      <c r="D325" s="109"/>
      <c r="E325" s="109"/>
      <c r="F325" s="17">
        <f>'Input Form'!D30</f>
        <v>20</v>
      </c>
      <c r="G325" s="131">
        <f>'Input Form'!$D$22</f>
        <v>0.04</v>
      </c>
      <c r="H325" s="132"/>
      <c r="I325" s="18">
        <f>I$319*F325*G325</f>
        <v>69758.006399999984</v>
      </c>
      <c r="J325" s="26">
        <f t="shared" si="9"/>
        <v>9.5808383233532926E-2</v>
      </c>
      <c r="K325" s="9"/>
    </row>
    <row r="326" spans="1:11" x14ac:dyDescent="0.2">
      <c r="A326" s="9"/>
      <c r="B326" s="109" t="str">
        <f>MenuPackage4</f>
        <v>Menu Package #4</v>
      </c>
      <c r="C326" s="109"/>
      <c r="D326" s="109"/>
      <c r="E326" s="109"/>
      <c r="F326" s="17">
        <f>'Input Form'!D31</f>
        <v>25</v>
      </c>
      <c r="G326" s="131">
        <f>'Input Form'!$D$23</f>
        <v>0.04</v>
      </c>
      <c r="H326" s="132"/>
      <c r="I326" s="18">
        <f>I$319*F326*G326</f>
        <v>87197.507999999987</v>
      </c>
      <c r="J326" s="26">
        <f t="shared" si="9"/>
        <v>0.11976047904191617</v>
      </c>
      <c r="K326" s="9"/>
    </row>
    <row r="327" spans="1:11" x14ac:dyDescent="0.2">
      <c r="A327" s="9"/>
      <c r="B327" s="109" t="s">
        <v>140</v>
      </c>
      <c r="C327" s="109"/>
      <c r="D327" s="109"/>
      <c r="E327" s="109"/>
      <c r="F327" s="109"/>
      <c r="G327" s="109"/>
      <c r="H327" s="109"/>
      <c r="I327" s="18">
        <f>SUM(I322:I326)</f>
        <v>728099.19179999991</v>
      </c>
      <c r="J327" s="26">
        <f t="shared" si="9"/>
        <v>1</v>
      </c>
      <c r="K327" s="9"/>
    </row>
    <row r="328" spans="1:11" x14ac:dyDescent="0.2">
      <c r="A328" s="9"/>
      <c r="B328" s="109" t="s">
        <v>141</v>
      </c>
      <c r="C328" s="109"/>
      <c r="D328" s="109"/>
      <c r="E328" s="109"/>
      <c r="F328" s="27">
        <f>$F$75</f>
        <v>0.03</v>
      </c>
      <c r="G328" s="134">
        <f>$G$75</f>
        <v>0.75</v>
      </c>
      <c r="H328" s="134"/>
      <c r="I328" s="18">
        <f>-(I327*F328*G328)</f>
        <v>-16382.231815499996</v>
      </c>
      <c r="J328" s="26">
        <f t="shared" si="9"/>
        <v>-2.2499999999999996E-2</v>
      </c>
      <c r="K328" s="9"/>
    </row>
    <row r="329" spans="1:11" x14ac:dyDescent="0.2">
      <c r="A329" s="9"/>
      <c r="B329" s="109" t="s">
        <v>142</v>
      </c>
      <c r="C329" s="109"/>
      <c r="D329" s="109"/>
      <c r="E329" s="109"/>
      <c r="F329" s="109"/>
      <c r="G329" s="109"/>
      <c r="H329" s="109"/>
      <c r="I329" s="18">
        <f>I327+I328</f>
        <v>711716.95998449996</v>
      </c>
      <c r="J329" s="26">
        <f t="shared" si="9"/>
        <v>0.97750000000000004</v>
      </c>
      <c r="K329" s="9"/>
    </row>
    <row r="330" spans="1:11" ht="18.75" x14ac:dyDescent="0.3">
      <c r="A330" s="9"/>
      <c r="B330" s="110" t="s">
        <v>144</v>
      </c>
      <c r="C330" s="110"/>
      <c r="D330" s="110"/>
      <c r="E330" s="110"/>
      <c r="F330" s="110"/>
      <c r="G330" s="110"/>
      <c r="H330" s="110"/>
      <c r="I330" s="110"/>
      <c r="J330" s="110"/>
      <c r="K330" s="9"/>
    </row>
    <row r="331" spans="1:11" x14ac:dyDescent="0.2">
      <c r="A331" s="9"/>
      <c r="B331" s="111" t="s">
        <v>148</v>
      </c>
      <c r="C331" s="112"/>
      <c r="D331" s="112"/>
      <c r="E331" s="112"/>
      <c r="F331" s="112"/>
      <c r="G331" s="112"/>
      <c r="H331" s="113"/>
      <c r="I331" s="18">
        <f>$G$80*I329</f>
        <v>21351.508799534997</v>
      </c>
      <c r="J331" s="26">
        <f>IFERROR((I331/I$329),0)</f>
        <v>2.9999999999999995E-2</v>
      </c>
      <c r="K331" s="9"/>
    </row>
    <row r="332" spans="1:11" x14ac:dyDescent="0.2">
      <c r="A332" s="9"/>
      <c r="B332" s="111" t="s">
        <v>149</v>
      </c>
      <c r="C332" s="112"/>
      <c r="D332" s="112"/>
      <c r="E332" s="112"/>
      <c r="F332" s="112"/>
      <c r="G332" s="112"/>
      <c r="H332" s="113"/>
      <c r="I332" s="18">
        <f>$G$81*I329</f>
        <v>60657.036814774787</v>
      </c>
      <c r="J332" s="26">
        <f t="shared" ref="J332:J344" si="10">IFERROR((I332/I$329),0)</f>
        <v>8.5226347305389208E-2</v>
      </c>
      <c r="K332" s="9"/>
    </row>
    <row r="333" spans="1:11" x14ac:dyDescent="0.2">
      <c r="A333" s="9"/>
      <c r="B333" s="111" t="s">
        <v>150</v>
      </c>
      <c r="C333" s="112"/>
      <c r="D333" s="112"/>
      <c r="E333" s="112"/>
      <c r="F333" s="112"/>
      <c r="G333" s="112"/>
      <c r="H333" s="113"/>
      <c r="I333" s="18">
        <f>$G$82*I329</f>
        <v>7117.1695998449995</v>
      </c>
      <c r="J333" s="26">
        <f t="shared" si="10"/>
        <v>0.01</v>
      </c>
      <c r="K333" s="9"/>
    </row>
    <row r="334" spans="1:11" x14ac:dyDescent="0.2">
      <c r="A334" s="9"/>
      <c r="B334" s="111" t="s">
        <v>151</v>
      </c>
      <c r="C334" s="112"/>
      <c r="D334" s="112"/>
      <c r="E334" s="112"/>
      <c r="F334" s="112"/>
      <c r="G334" s="112"/>
      <c r="H334" s="113"/>
      <c r="I334" s="28">
        <f>$I$83*12</f>
        <v>12000</v>
      </c>
      <c r="J334" s="26">
        <f t="shared" si="10"/>
        <v>1.6860635160726452E-2</v>
      </c>
      <c r="K334" s="9"/>
    </row>
    <row r="335" spans="1:11" x14ac:dyDescent="0.2">
      <c r="A335" s="9"/>
      <c r="B335" s="111" t="s">
        <v>152</v>
      </c>
      <c r="C335" s="112"/>
      <c r="D335" s="112"/>
      <c r="E335" s="112"/>
      <c r="F335" s="112"/>
      <c r="G335" s="112"/>
      <c r="H335" s="113"/>
      <c r="I335" s="18">
        <f>$I$84*12</f>
        <v>256932</v>
      </c>
      <c r="J335" s="26">
        <f t="shared" si="10"/>
        <v>0.361003059426314</v>
      </c>
      <c r="K335" s="9"/>
    </row>
    <row r="336" spans="1:11" x14ac:dyDescent="0.2">
      <c r="A336" s="9"/>
      <c r="B336" s="111" t="s">
        <v>153</v>
      </c>
      <c r="C336" s="112"/>
      <c r="D336" s="112"/>
      <c r="E336" s="112"/>
      <c r="F336" s="112"/>
      <c r="G336" s="112"/>
      <c r="H336" s="113"/>
      <c r="I336" s="18">
        <f>$G$85*I329</f>
        <v>7117.1695998449995</v>
      </c>
      <c r="J336" s="26">
        <f t="shared" si="10"/>
        <v>0.01</v>
      </c>
      <c r="K336" s="9"/>
    </row>
    <row r="337" spans="1:11" x14ac:dyDescent="0.2">
      <c r="A337" s="9"/>
      <c r="B337" s="111" t="s">
        <v>154</v>
      </c>
      <c r="C337" s="112"/>
      <c r="D337" s="112"/>
      <c r="E337" s="112"/>
      <c r="F337" s="112"/>
      <c r="G337" s="112"/>
      <c r="H337" s="113"/>
      <c r="I337" s="18">
        <f>$G$86*I329</f>
        <v>7117.1695998449995</v>
      </c>
      <c r="J337" s="26">
        <f t="shared" si="10"/>
        <v>0.01</v>
      </c>
      <c r="K337" s="9"/>
    </row>
    <row r="338" spans="1:11" x14ac:dyDescent="0.2">
      <c r="A338" s="9"/>
      <c r="B338" s="111" t="s">
        <v>155</v>
      </c>
      <c r="C338" s="112"/>
      <c r="D338" s="112"/>
      <c r="E338" s="112"/>
      <c r="F338" s="112"/>
      <c r="G338" s="112"/>
      <c r="H338" s="113"/>
      <c r="I338" s="18">
        <f>$G$87*I329</f>
        <v>10675.754399767498</v>
      </c>
      <c r="J338" s="26">
        <f t="shared" si="10"/>
        <v>1.4999999999999998E-2</v>
      </c>
      <c r="K338" s="9"/>
    </row>
    <row r="339" spans="1:11" x14ac:dyDescent="0.2">
      <c r="A339" s="9"/>
      <c r="B339" s="111" t="s">
        <v>156</v>
      </c>
      <c r="C339" s="112"/>
      <c r="D339" s="112"/>
      <c r="E339" s="112"/>
      <c r="F339" s="112"/>
      <c r="G339" s="112"/>
      <c r="H339" s="113"/>
      <c r="I339" s="18">
        <f>$G$88*I329</f>
        <v>7117.1695998449995</v>
      </c>
      <c r="J339" s="26">
        <f t="shared" si="10"/>
        <v>0.01</v>
      </c>
      <c r="K339" s="9"/>
    </row>
    <row r="340" spans="1:11" x14ac:dyDescent="0.2">
      <c r="A340" s="9"/>
      <c r="B340" s="111" t="s">
        <v>157</v>
      </c>
      <c r="C340" s="112"/>
      <c r="D340" s="112"/>
      <c r="E340" s="112"/>
      <c r="F340" s="112"/>
      <c r="G340" s="112"/>
      <c r="H340" s="113"/>
      <c r="I340" s="28">
        <f>$I$89*12</f>
        <v>24000</v>
      </c>
      <c r="J340" s="26">
        <f t="shared" si="10"/>
        <v>3.3721270321452904E-2</v>
      </c>
      <c r="K340" s="9"/>
    </row>
    <row r="341" spans="1:11" x14ac:dyDescent="0.2">
      <c r="A341" s="9"/>
      <c r="B341" s="111" t="s">
        <v>158</v>
      </c>
      <c r="C341" s="112"/>
      <c r="D341" s="112"/>
      <c r="E341" s="112"/>
      <c r="F341" s="112"/>
      <c r="G341" s="112"/>
      <c r="H341" s="113"/>
      <c r="I341" s="18">
        <f>$G$90*I329</f>
        <v>7117.1695998449995</v>
      </c>
      <c r="J341" s="26">
        <f t="shared" si="10"/>
        <v>0.01</v>
      </c>
      <c r="K341" s="9"/>
    </row>
    <row r="342" spans="1:11" x14ac:dyDescent="0.2">
      <c r="A342" s="9"/>
      <c r="B342" s="111" t="s">
        <v>159</v>
      </c>
      <c r="C342" s="112"/>
      <c r="D342" s="112"/>
      <c r="E342" s="112"/>
      <c r="F342" s="112"/>
      <c r="G342" s="112"/>
      <c r="H342" s="113"/>
      <c r="I342" s="18">
        <f>$G$91*I329</f>
        <v>56937.356798759996</v>
      </c>
      <c r="J342" s="26">
        <f t="shared" si="10"/>
        <v>0.08</v>
      </c>
      <c r="K342" s="9"/>
    </row>
    <row r="343" spans="1:11" x14ac:dyDescent="0.2">
      <c r="A343" s="9"/>
      <c r="B343" s="109" t="s">
        <v>160</v>
      </c>
      <c r="C343" s="109"/>
      <c r="D343" s="109"/>
      <c r="E343" s="109"/>
      <c r="F343" s="109"/>
      <c r="G343" s="109"/>
      <c r="H343" s="109"/>
      <c r="I343" s="18">
        <f>SUM(I331:I342)</f>
        <v>478139.50481206237</v>
      </c>
      <c r="J343" s="26">
        <f t="shared" si="10"/>
        <v>0.67181131221388268</v>
      </c>
      <c r="K343" s="9"/>
    </row>
    <row r="344" spans="1:11" x14ac:dyDescent="0.2">
      <c r="A344" s="9"/>
      <c r="B344" s="99" t="s">
        <v>161</v>
      </c>
      <c r="C344" s="99"/>
      <c r="D344" s="99"/>
      <c r="E344" s="99"/>
      <c r="F344" s="99"/>
      <c r="G344" s="99"/>
      <c r="H344" s="99"/>
      <c r="I344" s="21">
        <f>I329-I343</f>
        <v>233577.45517243759</v>
      </c>
      <c r="J344" s="26">
        <f t="shared" si="10"/>
        <v>0.32818868778611732</v>
      </c>
      <c r="K344" s="9"/>
    </row>
    <row r="345" spans="1:11" ht="18.75" x14ac:dyDescent="0.3">
      <c r="A345" s="9"/>
      <c r="B345" s="110" t="s">
        <v>173</v>
      </c>
      <c r="C345" s="110"/>
      <c r="D345" s="110"/>
      <c r="E345" s="110"/>
      <c r="F345" s="110"/>
      <c r="G345" s="110"/>
      <c r="H345" s="110"/>
      <c r="I345" s="110"/>
      <c r="J345" s="110"/>
      <c r="K345" s="9"/>
    </row>
    <row r="346" spans="1:11" x14ac:dyDescent="0.2">
      <c r="A346" s="9"/>
      <c r="B346" s="111" t="s">
        <v>174</v>
      </c>
      <c r="C346" s="112"/>
      <c r="D346" s="112"/>
      <c r="E346" s="112"/>
      <c r="F346" s="112"/>
      <c r="G346" s="112"/>
      <c r="H346" s="113"/>
      <c r="I346" s="18">
        <f>$I$130*12</f>
        <v>0</v>
      </c>
      <c r="J346" s="26">
        <f t="shared" ref="J346:J349" si="11">IFERROR((I346/I$329),0)</f>
        <v>0</v>
      </c>
      <c r="K346" s="9"/>
    </row>
    <row r="347" spans="1:11" x14ac:dyDescent="0.2">
      <c r="A347" s="9"/>
      <c r="B347" s="111" t="s">
        <v>126</v>
      </c>
      <c r="C347" s="112"/>
      <c r="D347" s="112"/>
      <c r="E347" s="112"/>
      <c r="F347" s="112"/>
      <c r="G347" s="112"/>
      <c r="H347" s="113"/>
      <c r="I347" s="18">
        <f>$I$136*12</f>
        <v>0</v>
      </c>
      <c r="J347" s="26">
        <f t="shared" si="11"/>
        <v>0</v>
      </c>
      <c r="K347" s="9"/>
    </row>
    <row r="348" spans="1:11" x14ac:dyDescent="0.2">
      <c r="A348" s="9"/>
      <c r="B348" s="109" t="s">
        <v>175</v>
      </c>
      <c r="C348" s="109"/>
      <c r="D348" s="109"/>
      <c r="E348" s="109"/>
      <c r="F348" s="109"/>
      <c r="G348" s="109"/>
      <c r="H348" s="109"/>
      <c r="I348" s="18">
        <f>I346+I347</f>
        <v>0</v>
      </c>
      <c r="J348" s="26">
        <f t="shared" si="11"/>
        <v>0</v>
      </c>
      <c r="K348" s="9"/>
    </row>
    <row r="349" spans="1:11" x14ac:dyDescent="0.2">
      <c r="A349" s="9"/>
      <c r="B349" s="99" t="s">
        <v>176</v>
      </c>
      <c r="C349" s="99"/>
      <c r="D349" s="99"/>
      <c r="E349" s="99"/>
      <c r="F349" s="99"/>
      <c r="G349" s="99"/>
      <c r="H349" s="99"/>
      <c r="I349" s="21">
        <f>I344-I348</f>
        <v>233577.45517243759</v>
      </c>
      <c r="J349" s="26">
        <f t="shared" si="11"/>
        <v>0.32818868778611732</v>
      </c>
      <c r="K349" s="9"/>
    </row>
    <row r="350" spans="1:11" x14ac:dyDescent="0.2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</row>
    <row r="351" spans="1:11" x14ac:dyDescent="0.2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</row>
    <row r="352" spans="1:11" x14ac:dyDescent="0.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</row>
    <row r="353" spans="1:11" x14ac:dyDescent="0.2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</row>
    <row r="354" spans="1:11" x14ac:dyDescent="0.2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</row>
    <row r="355" spans="1:11" x14ac:dyDescent="0.2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</row>
    <row r="356" spans="1:11" x14ac:dyDescent="0.2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</row>
    <row r="357" spans="1:11" x14ac:dyDescent="0.2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</row>
    <row r="358" spans="1:11" ht="26.25" x14ac:dyDescent="0.4">
      <c r="A358" s="9"/>
      <c r="B358" s="96" t="s">
        <v>129</v>
      </c>
      <c r="C358" s="97"/>
      <c r="D358" s="97"/>
      <c r="E358" s="97"/>
      <c r="F358" s="97"/>
      <c r="G358" s="97"/>
      <c r="H358" s="97"/>
      <c r="I358" s="97"/>
      <c r="J358" s="98"/>
      <c r="K358" s="9"/>
    </row>
    <row r="359" spans="1:11" x14ac:dyDescent="0.2">
      <c r="A359" s="9"/>
      <c r="B359" s="10"/>
      <c r="C359" s="10"/>
      <c r="D359" s="10"/>
      <c r="E359" s="10"/>
      <c r="F359" s="10"/>
      <c r="G359" s="10"/>
      <c r="H359" s="10"/>
      <c r="I359" s="10"/>
      <c r="J359" s="10"/>
      <c r="K359" s="9"/>
    </row>
    <row r="360" spans="1:11" x14ac:dyDescent="0.2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</row>
    <row r="361" spans="1:11" x14ac:dyDescent="0.2">
      <c r="A361" s="9"/>
      <c r="B361" s="9"/>
      <c r="C361" s="99" t="s">
        <v>2</v>
      </c>
      <c r="D361" s="99"/>
      <c r="E361" s="100" t="str">
        <f>CustomerName</f>
        <v>Evan Dailey</v>
      </c>
      <c r="F361" s="101"/>
      <c r="G361" s="101"/>
      <c r="H361" s="101"/>
      <c r="I361" s="102"/>
      <c r="J361" s="9"/>
      <c r="K361" s="9"/>
    </row>
    <row r="362" spans="1:11" x14ac:dyDescent="0.2">
      <c r="A362" s="9"/>
      <c r="B362" s="9"/>
      <c r="C362" s="129" t="s">
        <v>130</v>
      </c>
      <c r="D362" s="130"/>
      <c r="E362" s="100" t="str">
        <f>CompanyName</f>
        <v>Express Car Wash</v>
      </c>
      <c r="F362" s="101"/>
      <c r="G362" s="101"/>
      <c r="H362" s="101"/>
      <c r="I362" s="102"/>
      <c r="J362" s="9"/>
      <c r="K362" s="9"/>
    </row>
    <row r="363" spans="1:11" x14ac:dyDescent="0.2">
      <c r="A363" s="9"/>
      <c r="B363" s="9"/>
      <c r="C363" s="103" t="s">
        <v>6</v>
      </c>
      <c r="D363" s="104"/>
      <c r="E363" s="120">
        <f>AddressLine1</f>
        <v>0</v>
      </c>
      <c r="F363" s="121"/>
      <c r="G363" s="121"/>
      <c r="H363" s="121"/>
      <c r="I363" s="122"/>
      <c r="J363" s="9"/>
      <c r="K363" s="9"/>
    </row>
    <row r="364" spans="1:11" x14ac:dyDescent="0.2">
      <c r="A364" s="9"/>
      <c r="B364" s="9"/>
      <c r="C364" s="105"/>
      <c r="D364" s="106"/>
      <c r="E364" s="123" t="str">
        <f>AddressLine2</f>
        <v>231 MacCorkle Ave SW</v>
      </c>
      <c r="F364" s="124"/>
      <c r="G364" s="124"/>
      <c r="H364" s="124"/>
      <c r="I364" s="125"/>
      <c r="J364" s="9"/>
      <c r="K364" s="9"/>
    </row>
    <row r="365" spans="1:11" x14ac:dyDescent="0.2">
      <c r="A365" s="9"/>
      <c r="B365" s="9"/>
      <c r="C365" s="107"/>
      <c r="D365" s="108"/>
      <c r="E365" s="126" t="str">
        <f>AddressLine3</f>
        <v>South Charleston, WV 25303</v>
      </c>
      <c r="F365" s="127"/>
      <c r="G365" s="127"/>
      <c r="H365" s="127"/>
      <c r="I365" s="128"/>
      <c r="J365" s="9"/>
      <c r="K365" s="9"/>
    </row>
    <row r="366" spans="1:11" x14ac:dyDescent="0.2">
      <c r="A366" s="9"/>
      <c r="B366" s="9"/>
      <c r="C366" s="12"/>
      <c r="D366" s="12"/>
      <c r="E366" s="13"/>
      <c r="F366" s="13"/>
      <c r="G366" s="13"/>
      <c r="H366" s="13"/>
      <c r="I366" s="13"/>
      <c r="J366" s="9"/>
      <c r="K366" s="9"/>
    </row>
    <row r="367" spans="1:11" x14ac:dyDescent="0.2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</row>
    <row r="368" spans="1:11" ht="21" x14ac:dyDescent="0.35">
      <c r="A368" s="9"/>
      <c r="B368" s="119" t="s">
        <v>183</v>
      </c>
      <c r="C368" s="119"/>
      <c r="D368" s="119"/>
      <c r="E368" s="119"/>
      <c r="F368" s="119"/>
      <c r="G368" s="119"/>
      <c r="H368" s="119"/>
      <c r="I368" s="119"/>
      <c r="J368" s="119"/>
      <c r="K368" s="9"/>
    </row>
    <row r="369" spans="1:11" x14ac:dyDescent="0.2">
      <c r="A369" s="9"/>
      <c r="B369" s="110" t="s">
        <v>171</v>
      </c>
      <c r="C369" s="110"/>
      <c r="D369" s="110"/>
      <c r="E369" s="110"/>
      <c r="F369" s="110"/>
      <c r="G369" s="110"/>
      <c r="H369" s="110"/>
      <c r="I369" s="15" t="s">
        <v>184</v>
      </c>
      <c r="J369" s="133" t="s">
        <v>172</v>
      </c>
      <c r="K369" s="9"/>
    </row>
    <row r="370" spans="1:11" x14ac:dyDescent="0.2">
      <c r="A370" s="9"/>
      <c r="B370" s="110"/>
      <c r="C370" s="110"/>
      <c r="D370" s="110"/>
      <c r="E370" s="110"/>
      <c r="F370" s="110"/>
      <c r="G370" s="110"/>
      <c r="H370" s="110"/>
      <c r="I370" s="16">
        <f>'Input Form'!F74</f>
        <v>94081.521789473671</v>
      </c>
      <c r="J370" s="133"/>
      <c r="K370" s="9"/>
    </row>
    <row r="371" spans="1:11" ht="18.75" x14ac:dyDescent="0.3">
      <c r="A371" s="9"/>
      <c r="B371" s="110" t="s">
        <v>135</v>
      </c>
      <c r="C371" s="110"/>
      <c r="D371" s="110"/>
      <c r="E371" s="110"/>
      <c r="F371" s="110"/>
      <c r="G371" s="110"/>
      <c r="H371" s="110"/>
      <c r="I371" s="110"/>
      <c r="J371" s="110"/>
      <c r="K371" s="9"/>
    </row>
    <row r="372" spans="1:11" ht="25.5" x14ac:dyDescent="0.2">
      <c r="A372" s="9"/>
      <c r="B372" s="135" t="s">
        <v>136</v>
      </c>
      <c r="C372" s="135"/>
      <c r="D372" s="135"/>
      <c r="E372" s="135"/>
      <c r="F372" s="25" t="s">
        <v>137</v>
      </c>
      <c r="G372" s="133" t="s">
        <v>138</v>
      </c>
      <c r="H372" s="133"/>
      <c r="I372" s="135"/>
      <c r="J372" s="135"/>
      <c r="K372" s="9"/>
    </row>
    <row r="373" spans="1:11" x14ac:dyDescent="0.2">
      <c r="A373" s="9"/>
      <c r="B373" s="109" t="str">
        <f>BasicPackage</f>
        <v>Basic Package</v>
      </c>
      <c r="C373" s="109"/>
      <c r="D373" s="109"/>
      <c r="E373" s="109"/>
      <c r="F373" s="17">
        <f>'Input Form'!E27</f>
        <v>5</v>
      </c>
      <c r="G373" s="131">
        <f>'Input Form'!$D$19</f>
        <v>0.65</v>
      </c>
      <c r="H373" s="132"/>
      <c r="I373" s="18">
        <f>I$370*F373*G373</f>
        <v>305764.94581578946</v>
      </c>
      <c r="J373" s="26">
        <f>IFERROR((I373/I$378),0)</f>
        <v>0.38922155688622756</v>
      </c>
      <c r="K373" s="9"/>
    </row>
    <row r="374" spans="1:11" x14ac:dyDescent="0.2">
      <c r="A374" s="9"/>
      <c r="B374" s="109" t="str">
        <f>MenuPackage1</f>
        <v>Menu Package #1</v>
      </c>
      <c r="C374" s="109"/>
      <c r="D374" s="109"/>
      <c r="E374" s="109"/>
      <c r="F374" s="17">
        <f>'Input Form'!E28</f>
        <v>10</v>
      </c>
      <c r="G374" s="131">
        <f>'Input Form'!$D$20</f>
        <v>0.15</v>
      </c>
      <c r="H374" s="132"/>
      <c r="I374" s="18">
        <f t="shared" ref="I374:I377" si="12">I$370*F374*G374</f>
        <v>141122.28268421048</v>
      </c>
      <c r="J374" s="26">
        <f t="shared" ref="J374:J380" si="13">IFERROR((I374/I$378),0)</f>
        <v>0.17964071856287422</v>
      </c>
      <c r="K374" s="9"/>
    </row>
    <row r="375" spans="1:11" x14ac:dyDescent="0.2">
      <c r="A375" s="9"/>
      <c r="B375" s="109" t="str">
        <f>MenuPackage2</f>
        <v>Menu Package #2</v>
      </c>
      <c r="C375" s="109"/>
      <c r="D375" s="109"/>
      <c r="E375" s="109"/>
      <c r="F375" s="17">
        <f>'Input Form'!E29</f>
        <v>15</v>
      </c>
      <c r="G375" s="131">
        <f>'Input Form'!$D$21</f>
        <v>0.12</v>
      </c>
      <c r="H375" s="132"/>
      <c r="I375" s="18">
        <f t="shared" si="12"/>
        <v>169346.73922105259</v>
      </c>
      <c r="J375" s="26">
        <f t="shared" si="13"/>
        <v>0.21556886227544905</v>
      </c>
      <c r="K375" s="9"/>
    </row>
    <row r="376" spans="1:11" x14ac:dyDescent="0.2">
      <c r="A376" s="9"/>
      <c r="B376" s="109" t="str">
        <f>MenuPackage3</f>
        <v>Menu Package #3</v>
      </c>
      <c r="C376" s="109"/>
      <c r="D376" s="109"/>
      <c r="E376" s="109"/>
      <c r="F376" s="17">
        <f>'Input Form'!E30</f>
        <v>20</v>
      </c>
      <c r="G376" s="131">
        <f>'Input Form'!$D$22</f>
        <v>0.04</v>
      </c>
      <c r="H376" s="132"/>
      <c r="I376" s="18">
        <f t="shared" si="12"/>
        <v>75265.217431578931</v>
      </c>
      <c r="J376" s="26">
        <f t="shared" si="13"/>
        <v>9.5808383233532926E-2</v>
      </c>
      <c r="K376" s="9"/>
    </row>
    <row r="377" spans="1:11" x14ac:dyDescent="0.2">
      <c r="A377" s="9"/>
      <c r="B377" s="109" t="str">
        <f>MenuPackage4</f>
        <v>Menu Package #4</v>
      </c>
      <c r="C377" s="109"/>
      <c r="D377" s="109"/>
      <c r="E377" s="109"/>
      <c r="F377" s="17">
        <f>'Input Form'!E31</f>
        <v>25</v>
      </c>
      <c r="G377" s="131">
        <f>'Input Form'!$D$23</f>
        <v>0.04</v>
      </c>
      <c r="H377" s="132"/>
      <c r="I377" s="18">
        <f t="shared" si="12"/>
        <v>94081.521789473671</v>
      </c>
      <c r="J377" s="26">
        <f t="shared" si="13"/>
        <v>0.11976047904191615</v>
      </c>
      <c r="K377" s="9"/>
    </row>
    <row r="378" spans="1:11" x14ac:dyDescent="0.2">
      <c r="A378" s="9"/>
      <c r="B378" s="109" t="s">
        <v>140</v>
      </c>
      <c r="C378" s="109"/>
      <c r="D378" s="109"/>
      <c r="E378" s="109"/>
      <c r="F378" s="109"/>
      <c r="G378" s="109"/>
      <c r="H378" s="109"/>
      <c r="I378" s="18">
        <f>SUM(I373:I377)</f>
        <v>785580.7069421052</v>
      </c>
      <c r="J378" s="26">
        <f t="shared" si="13"/>
        <v>1</v>
      </c>
      <c r="K378" s="9"/>
    </row>
    <row r="379" spans="1:11" x14ac:dyDescent="0.2">
      <c r="A379" s="9"/>
      <c r="B379" s="109" t="s">
        <v>141</v>
      </c>
      <c r="C379" s="109"/>
      <c r="D379" s="109"/>
      <c r="E379" s="109"/>
      <c r="F379" s="27">
        <f>$F$75</f>
        <v>0.03</v>
      </c>
      <c r="G379" s="134">
        <f>$G$75</f>
        <v>0.75</v>
      </c>
      <c r="H379" s="134"/>
      <c r="I379" s="18">
        <f>-(I378*F379*G379)</f>
        <v>-17675.565906197367</v>
      </c>
      <c r="J379" s="26">
        <f t="shared" si="13"/>
        <v>-2.2499999999999999E-2</v>
      </c>
      <c r="K379" s="9"/>
    </row>
    <row r="380" spans="1:11" x14ac:dyDescent="0.2">
      <c r="A380" s="9"/>
      <c r="B380" s="109" t="s">
        <v>142</v>
      </c>
      <c r="C380" s="109"/>
      <c r="D380" s="109"/>
      <c r="E380" s="109"/>
      <c r="F380" s="109"/>
      <c r="G380" s="109"/>
      <c r="H380" s="109"/>
      <c r="I380" s="18">
        <f>I378+I379</f>
        <v>767905.14103590779</v>
      </c>
      <c r="J380" s="26">
        <f t="shared" si="13"/>
        <v>0.97749999999999992</v>
      </c>
      <c r="K380" s="9"/>
    </row>
    <row r="381" spans="1:11" ht="18.75" x14ac:dyDescent="0.3">
      <c r="A381" s="9"/>
      <c r="B381" s="110" t="s">
        <v>144</v>
      </c>
      <c r="C381" s="110"/>
      <c r="D381" s="110"/>
      <c r="E381" s="110"/>
      <c r="F381" s="110"/>
      <c r="G381" s="110"/>
      <c r="H381" s="110"/>
      <c r="I381" s="110"/>
      <c r="J381" s="110"/>
      <c r="K381" s="9"/>
    </row>
    <row r="382" spans="1:11" x14ac:dyDescent="0.2">
      <c r="A382" s="9"/>
      <c r="B382" s="111" t="s">
        <v>148</v>
      </c>
      <c r="C382" s="112"/>
      <c r="D382" s="112"/>
      <c r="E382" s="112"/>
      <c r="F382" s="112"/>
      <c r="G382" s="112"/>
      <c r="H382" s="113"/>
      <c r="I382" s="18">
        <f>$G$80*I380</f>
        <v>23037.154231077231</v>
      </c>
      <c r="J382" s="26">
        <f>IFERROR((I382/I$380),0)</f>
        <v>2.9999999999999995E-2</v>
      </c>
      <c r="K382" s="9"/>
    </row>
    <row r="383" spans="1:11" x14ac:dyDescent="0.2">
      <c r="A383" s="9"/>
      <c r="B383" s="111" t="s">
        <v>149</v>
      </c>
      <c r="C383" s="112"/>
      <c r="D383" s="112"/>
      <c r="E383" s="112"/>
      <c r="F383" s="112"/>
      <c r="G383" s="112"/>
      <c r="H383" s="113"/>
      <c r="I383" s="18">
        <f>$G$81*I380</f>
        <v>65445.750247520162</v>
      </c>
      <c r="J383" s="26">
        <f t="shared" ref="J383:J395" si="14">IFERROR((I383/I$380),0)</f>
        <v>8.5226347305389208E-2</v>
      </c>
      <c r="K383" s="9"/>
    </row>
    <row r="384" spans="1:11" x14ac:dyDescent="0.2">
      <c r="A384" s="9"/>
      <c r="B384" s="111" t="s">
        <v>150</v>
      </c>
      <c r="C384" s="112"/>
      <c r="D384" s="112"/>
      <c r="E384" s="112"/>
      <c r="F384" s="112"/>
      <c r="G384" s="112"/>
      <c r="H384" s="113"/>
      <c r="I384" s="18">
        <f>$G$82*I380</f>
        <v>7679.0514103590776</v>
      </c>
      <c r="J384" s="26">
        <f t="shared" si="14"/>
        <v>0.01</v>
      </c>
      <c r="K384" s="9"/>
    </row>
    <row r="385" spans="1:11" x14ac:dyDescent="0.2">
      <c r="A385" s="9"/>
      <c r="B385" s="111" t="s">
        <v>151</v>
      </c>
      <c r="C385" s="112"/>
      <c r="D385" s="112"/>
      <c r="E385" s="112"/>
      <c r="F385" s="112"/>
      <c r="G385" s="112"/>
      <c r="H385" s="113"/>
      <c r="I385" s="28">
        <f>$I$83*12</f>
        <v>12000</v>
      </c>
      <c r="J385" s="26">
        <f t="shared" si="14"/>
        <v>1.5626930148965979E-2</v>
      </c>
      <c r="K385" s="9"/>
    </row>
    <row r="386" spans="1:11" x14ac:dyDescent="0.2">
      <c r="A386" s="9"/>
      <c r="B386" s="111" t="s">
        <v>152</v>
      </c>
      <c r="C386" s="112"/>
      <c r="D386" s="112"/>
      <c r="E386" s="112"/>
      <c r="F386" s="112"/>
      <c r="G386" s="112"/>
      <c r="H386" s="113"/>
      <c r="I386" s="18">
        <f>$I$84*12</f>
        <v>256932</v>
      </c>
      <c r="J386" s="26">
        <f t="shared" si="14"/>
        <v>0.33458820141951057</v>
      </c>
      <c r="K386" s="9"/>
    </row>
    <row r="387" spans="1:11" x14ac:dyDescent="0.2">
      <c r="A387" s="9"/>
      <c r="B387" s="111" t="s">
        <v>153</v>
      </c>
      <c r="C387" s="112"/>
      <c r="D387" s="112"/>
      <c r="E387" s="112"/>
      <c r="F387" s="112"/>
      <c r="G387" s="112"/>
      <c r="H387" s="113"/>
      <c r="I387" s="18">
        <f>$G$85*I380</f>
        <v>7679.0514103590776</v>
      </c>
      <c r="J387" s="26">
        <f t="shared" si="14"/>
        <v>0.01</v>
      </c>
      <c r="K387" s="9"/>
    </row>
    <row r="388" spans="1:11" x14ac:dyDescent="0.2">
      <c r="A388" s="9"/>
      <c r="B388" s="111" t="s">
        <v>154</v>
      </c>
      <c r="C388" s="112"/>
      <c r="D388" s="112"/>
      <c r="E388" s="112"/>
      <c r="F388" s="112"/>
      <c r="G388" s="112"/>
      <c r="H388" s="113"/>
      <c r="I388" s="18">
        <f>$G$86*I380</f>
        <v>7679.0514103590776</v>
      </c>
      <c r="J388" s="26">
        <f t="shared" si="14"/>
        <v>0.01</v>
      </c>
      <c r="K388" s="9"/>
    </row>
    <row r="389" spans="1:11" x14ac:dyDescent="0.2">
      <c r="A389" s="9"/>
      <c r="B389" s="111" t="s">
        <v>155</v>
      </c>
      <c r="C389" s="112"/>
      <c r="D389" s="112"/>
      <c r="E389" s="112"/>
      <c r="F389" s="112"/>
      <c r="G389" s="112"/>
      <c r="H389" s="113"/>
      <c r="I389" s="18">
        <f>$G$87*I380</f>
        <v>11518.577115538616</v>
      </c>
      <c r="J389" s="26">
        <f t="shared" si="14"/>
        <v>1.4999999999999998E-2</v>
      </c>
      <c r="K389" s="9"/>
    </row>
    <row r="390" spans="1:11" x14ac:dyDescent="0.2">
      <c r="A390" s="9"/>
      <c r="B390" s="111" t="s">
        <v>156</v>
      </c>
      <c r="C390" s="112"/>
      <c r="D390" s="112"/>
      <c r="E390" s="112"/>
      <c r="F390" s="112"/>
      <c r="G390" s="112"/>
      <c r="H390" s="113"/>
      <c r="I390" s="18">
        <f>$G$88*I380</f>
        <v>7679.0514103590776</v>
      </c>
      <c r="J390" s="26">
        <f t="shared" si="14"/>
        <v>0.01</v>
      </c>
      <c r="K390" s="9"/>
    </row>
    <row r="391" spans="1:11" x14ac:dyDescent="0.2">
      <c r="A391" s="9"/>
      <c r="B391" s="111" t="s">
        <v>157</v>
      </c>
      <c r="C391" s="112"/>
      <c r="D391" s="112"/>
      <c r="E391" s="112"/>
      <c r="F391" s="112"/>
      <c r="G391" s="112"/>
      <c r="H391" s="113"/>
      <c r="I391" s="28">
        <f>$I$89*12</f>
        <v>24000</v>
      </c>
      <c r="J391" s="26">
        <f t="shared" si="14"/>
        <v>3.1253860297931958E-2</v>
      </c>
      <c r="K391" s="9"/>
    </row>
    <row r="392" spans="1:11" x14ac:dyDescent="0.2">
      <c r="A392" s="9"/>
      <c r="B392" s="111" t="s">
        <v>158</v>
      </c>
      <c r="C392" s="112"/>
      <c r="D392" s="112"/>
      <c r="E392" s="112"/>
      <c r="F392" s="112"/>
      <c r="G392" s="112"/>
      <c r="H392" s="113"/>
      <c r="I392" s="18">
        <f>$G$90*I380</f>
        <v>7679.0514103590776</v>
      </c>
      <c r="J392" s="26">
        <f t="shared" si="14"/>
        <v>0.01</v>
      </c>
      <c r="K392" s="9"/>
    </row>
    <row r="393" spans="1:11" x14ac:dyDescent="0.2">
      <c r="A393" s="9"/>
      <c r="B393" s="111" t="s">
        <v>159</v>
      </c>
      <c r="C393" s="112"/>
      <c r="D393" s="112"/>
      <c r="E393" s="112"/>
      <c r="F393" s="112"/>
      <c r="G393" s="112"/>
      <c r="H393" s="113"/>
      <c r="I393" s="18">
        <f>$G$91*I380</f>
        <v>61432.411282872621</v>
      </c>
      <c r="J393" s="26">
        <f t="shared" si="14"/>
        <v>0.08</v>
      </c>
      <c r="K393" s="9"/>
    </row>
    <row r="394" spans="1:11" x14ac:dyDescent="0.2">
      <c r="A394" s="9"/>
      <c r="B394" s="109" t="s">
        <v>160</v>
      </c>
      <c r="C394" s="109"/>
      <c r="D394" s="109"/>
      <c r="E394" s="109"/>
      <c r="F394" s="109"/>
      <c r="G394" s="109"/>
      <c r="H394" s="109"/>
      <c r="I394" s="18">
        <f>SUM(I382:I393)</f>
        <v>492761.14992880408</v>
      </c>
      <c r="J394" s="26">
        <f t="shared" si="14"/>
        <v>0.64169533917179777</v>
      </c>
      <c r="K394" s="9"/>
    </row>
    <row r="395" spans="1:11" x14ac:dyDescent="0.2">
      <c r="A395" s="9"/>
      <c r="B395" s="99" t="s">
        <v>161</v>
      </c>
      <c r="C395" s="99"/>
      <c r="D395" s="99"/>
      <c r="E395" s="99"/>
      <c r="F395" s="99"/>
      <c r="G395" s="99"/>
      <c r="H395" s="99"/>
      <c r="I395" s="21">
        <f>I380-I394</f>
        <v>275143.99110710371</v>
      </c>
      <c r="J395" s="26">
        <f t="shared" si="14"/>
        <v>0.35830466082820217</v>
      </c>
      <c r="K395" s="9"/>
    </row>
    <row r="396" spans="1:11" ht="18.75" x14ac:dyDescent="0.3">
      <c r="A396" s="9"/>
      <c r="B396" s="110" t="s">
        <v>173</v>
      </c>
      <c r="C396" s="110"/>
      <c r="D396" s="110"/>
      <c r="E396" s="110"/>
      <c r="F396" s="110"/>
      <c r="G396" s="110"/>
      <c r="H396" s="110"/>
      <c r="I396" s="110"/>
      <c r="J396" s="110"/>
      <c r="K396" s="9"/>
    </row>
    <row r="397" spans="1:11" x14ac:dyDescent="0.2">
      <c r="A397" s="9"/>
      <c r="B397" s="111" t="s">
        <v>174</v>
      </c>
      <c r="C397" s="112"/>
      <c r="D397" s="112"/>
      <c r="E397" s="112"/>
      <c r="F397" s="112"/>
      <c r="G397" s="112"/>
      <c r="H397" s="113"/>
      <c r="I397" s="18">
        <f>$I$130*12</f>
        <v>0</v>
      </c>
      <c r="J397" s="26">
        <f t="shared" ref="J397:J400" si="15">IFERROR((I397/I$380),0)</f>
        <v>0</v>
      </c>
      <c r="K397" s="9"/>
    </row>
    <row r="398" spans="1:11" x14ac:dyDescent="0.2">
      <c r="A398" s="9"/>
      <c r="B398" s="111" t="s">
        <v>126</v>
      </c>
      <c r="C398" s="112"/>
      <c r="D398" s="112"/>
      <c r="E398" s="112"/>
      <c r="F398" s="112"/>
      <c r="G398" s="112"/>
      <c r="H398" s="113"/>
      <c r="I398" s="18">
        <f>$I$136*12</f>
        <v>0</v>
      </c>
      <c r="J398" s="26">
        <f t="shared" si="15"/>
        <v>0</v>
      </c>
      <c r="K398" s="9"/>
    </row>
    <row r="399" spans="1:11" x14ac:dyDescent="0.2">
      <c r="A399" s="9"/>
      <c r="B399" s="109" t="s">
        <v>175</v>
      </c>
      <c r="C399" s="109"/>
      <c r="D399" s="109"/>
      <c r="E399" s="109"/>
      <c r="F399" s="109"/>
      <c r="G399" s="109"/>
      <c r="H399" s="109"/>
      <c r="I399" s="18">
        <f>I397+I398</f>
        <v>0</v>
      </c>
      <c r="J399" s="26">
        <f t="shared" si="15"/>
        <v>0</v>
      </c>
      <c r="K399" s="9"/>
    </row>
    <row r="400" spans="1:11" x14ac:dyDescent="0.2">
      <c r="A400" s="9"/>
      <c r="B400" s="99" t="s">
        <v>176</v>
      </c>
      <c r="C400" s="99"/>
      <c r="D400" s="99"/>
      <c r="E400" s="99"/>
      <c r="F400" s="99"/>
      <c r="G400" s="99"/>
      <c r="H400" s="99"/>
      <c r="I400" s="21">
        <f>I395-I399</f>
        <v>275143.99110710371</v>
      </c>
      <c r="J400" s="26">
        <f t="shared" si="15"/>
        <v>0.35830466082820217</v>
      </c>
      <c r="K400" s="9"/>
    </row>
    <row r="401" spans="1:11" x14ac:dyDescent="0.2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</row>
    <row r="402" spans="1:11" x14ac:dyDescent="0.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</row>
    <row r="403" spans="1:11" x14ac:dyDescent="0.2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</row>
    <row r="404" spans="1:11" x14ac:dyDescent="0.2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</row>
    <row r="405" spans="1:11" x14ac:dyDescent="0.2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</row>
    <row r="406" spans="1:11" x14ac:dyDescent="0.2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</row>
    <row r="407" spans="1:11" x14ac:dyDescent="0.2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</row>
    <row r="408" spans="1:11" x14ac:dyDescent="0.2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</row>
    <row r="409" spans="1:11" ht="26.25" x14ac:dyDescent="0.4">
      <c r="A409" s="9"/>
      <c r="B409" s="96" t="s">
        <v>129</v>
      </c>
      <c r="C409" s="97"/>
      <c r="D409" s="97"/>
      <c r="E409" s="97"/>
      <c r="F409" s="97"/>
      <c r="G409" s="97"/>
      <c r="H409" s="97"/>
      <c r="I409" s="97"/>
      <c r="J409" s="98"/>
      <c r="K409" s="9"/>
    </row>
    <row r="410" spans="1:11" x14ac:dyDescent="0.2">
      <c r="A410" s="9"/>
      <c r="B410" s="10"/>
      <c r="C410" s="10"/>
      <c r="D410" s="10"/>
      <c r="E410" s="10"/>
      <c r="F410" s="10"/>
      <c r="G410" s="10"/>
      <c r="H410" s="10"/>
      <c r="I410" s="10"/>
      <c r="J410" s="10"/>
      <c r="K410" s="9"/>
    </row>
    <row r="411" spans="1:11" x14ac:dyDescent="0.2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</row>
    <row r="412" spans="1:11" x14ac:dyDescent="0.2">
      <c r="A412" s="9"/>
      <c r="B412" s="9"/>
      <c r="C412" s="99" t="s">
        <v>2</v>
      </c>
      <c r="D412" s="99"/>
      <c r="E412" s="100" t="str">
        <f>CustomerName</f>
        <v>Evan Dailey</v>
      </c>
      <c r="F412" s="101"/>
      <c r="G412" s="101"/>
      <c r="H412" s="101"/>
      <c r="I412" s="102"/>
      <c r="J412" s="9"/>
      <c r="K412" s="9"/>
    </row>
    <row r="413" spans="1:11" x14ac:dyDescent="0.2">
      <c r="A413" s="9"/>
      <c r="B413" s="9"/>
      <c r="C413" s="129" t="s">
        <v>130</v>
      </c>
      <c r="D413" s="130"/>
      <c r="E413" s="100" t="str">
        <f>CompanyName</f>
        <v>Express Car Wash</v>
      </c>
      <c r="F413" s="101"/>
      <c r="G413" s="101"/>
      <c r="H413" s="101"/>
      <c r="I413" s="102"/>
      <c r="J413" s="9"/>
      <c r="K413" s="9"/>
    </row>
    <row r="414" spans="1:11" x14ac:dyDescent="0.2">
      <c r="A414" s="9"/>
      <c r="B414" s="9"/>
      <c r="C414" s="103" t="s">
        <v>6</v>
      </c>
      <c r="D414" s="104"/>
      <c r="E414" s="120">
        <f>AddressLine1</f>
        <v>0</v>
      </c>
      <c r="F414" s="121"/>
      <c r="G414" s="121"/>
      <c r="H414" s="121"/>
      <c r="I414" s="122"/>
      <c r="J414" s="9"/>
      <c r="K414" s="9"/>
    </row>
    <row r="415" spans="1:11" x14ac:dyDescent="0.2">
      <c r="A415" s="9"/>
      <c r="B415" s="9"/>
      <c r="C415" s="105"/>
      <c r="D415" s="106"/>
      <c r="E415" s="123" t="str">
        <f>AddressLine2</f>
        <v>231 MacCorkle Ave SW</v>
      </c>
      <c r="F415" s="124"/>
      <c r="G415" s="124"/>
      <c r="H415" s="124"/>
      <c r="I415" s="125"/>
      <c r="J415" s="9"/>
      <c r="K415" s="9"/>
    </row>
    <row r="416" spans="1:11" x14ac:dyDescent="0.2">
      <c r="A416" s="9"/>
      <c r="B416" s="9"/>
      <c r="C416" s="107"/>
      <c r="D416" s="108"/>
      <c r="E416" s="126" t="str">
        <f>AddressLine3</f>
        <v>South Charleston, WV 25303</v>
      </c>
      <c r="F416" s="127"/>
      <c r="G416" s="127"/>
      <c r="H416" s="127"/>
      <c r="I416" s="128"/>
      <c r="J416" s="9"/>
      <c r="K416" s="9"/>
    </row>
    <row r="417" spans="1:11" x14ac:dyDescent="0.2">
      <c r="A417" s="9"/>
      <c r="B417" s="9"/>
      <c r="C417" s="29"/>
      <c r="D417" s="29"/>
      <c r="E417" s="13"/>
      <c r="F417" s="13"/>
      <c r="G417" s="13"/>
      <c r="H417" s="13"/>
      <c r="I417" s="13"/>
      <c r="J417" s="9"/>
      <c r="K417" s="9"/>
    </row>
    <row r="418" spans="1:11" x14ac:dyDescent="0.2">
      <c r="A418" s="9"/>
      <c r="B418" s="9"/>
      <c r="C418" s="12"/>
      <c r="D418" s="12"/>
      <c r="E418" s="13"/>
      <c r="F418" s="13"/>
      <c r="G418" s="13"/>
      <c r="H418" s="13"/>
      <c r="I418" s="13"/>
      <c r="J418" s="9"/>
      <c r="K418" s="9"/>
    </row>
    <row r="419" spans="1:11" ht="21" x14ac:dyDescent="0.35">
      <c r="A419" s="9"/>
      <c r="B419" s="119" t="s">
        <v>185</v>
      </c>
      <c r="C419" s="119"/>
      <c r="D419" s="119"/>
      <c r="E419" s="119"/>
      <c r="F419" s="119"/>
      <c r="G419" s="119"/>
      <c r="H419" s="119"/>
      <c r="I419" s="119"/>
      <c r="J419" s="119"/>
      <c r="K419" s="9"/>
    </row>
    <row r="420" spans="1:11" x14ac:dyDescent="0.2">
      <c r="A420" s="9"/>
      <c r="B420" s="109" t="s">
        <v>186</v>
      </c>
      <c r="C420" s="109"/>
      <c r="D420" s="109"/>
      <c r="E420" s="109"/>
      <c r="F420" s="109"/>
      <c r="G420" s="109"/>
      <c r="H420" s="109"/>
      <c r="I420" s="115" t="e">
        <f>'Input Form'!E86</f>
        <v>#VALUE!</v>
      </c>
      <c r="J420" s="116"/>
      <c r="K420" s="9"/>
    </row>
    <row r="421" spans="1:11" x14ac:dyDescent="0.2">
      <c r="A421" s="9"/>
      <c r="B421" s="109" t="s">
        <v>187</v>
      </c>
      <c r="C421" s="109"/>
      <c r="D421" s="109"/>
      <c r="E421" s="109"/>
      <c r="F421" s="109"/>
      <c r="G421" s="109"/>
      <c r="H421" s="109"/>
      <c r="I421" s="117">
        <f>IFERROR((I196/I420),0)</f>
        <v>0</v>
      </c>
      <c r="J421" s="118"/>
      <c r="K421" s="9"/>
    </row>
    <row r="422" spans="1:11" x14ac:dyDescent="0.2">
      <c r="A422" s="9"/>
      <c r="B422" s="109" t="s">
        <v>188</v>
      </c>
      <c r="C422" s="109"/>
      <c r="D422" s="109"/>
      <c r="E422" s="109"/>
      <c r="F422" s="109"/>
      <c r="G422" s="109"/>
      <c r="H422" s="109"/>
      <c r="I422" s="114">
        <f>IFERROR((I247/I420),0)</f>
        <v>0</v>
      </c>
      <c r="J422" s="114"/>
      <c r="K422" s="9"/>
    </row>
    <row r="423" spans="1:11" x14ac:dyDescent="0.2">
      <c r="A423" s="9"/>
      <c r="B423" s="109" t="s">
        <v>189</v>
      </c>
      <c r="C423" s="109"/>
      <c r="D423" s="109"/>
      <c r="E423" s="109"/>
      <c r="F423" s="109"/>
      <c r="G423" s="109"/>
      <c r="H423" s="109"/>
      <c r="I423" s="114">
        <f>IFERROR((I298/I420),0)</f>
        <v>0</v>
      </c>
      <c r="J423" s="114"/>
      <c r="K423" s="9"/>
    </row>
    <row r="424" spans="1:11" x14ac:dyDescent="0.2">
      <c r="A424" s="9"/>
      <c r="B424" s="109" t="s">
        <v>190</v>
      </c>
      <c r="C424" s="109"/>
      <c r="D424" s="109"/>
      <c r="E424" s="109"/>
      <c r="F424" s="109"/>
      <c r="G424" s="109"/>
      <c r="H424" s="109"/>
      <c r="I424" s="114">
        <f>IFERROR((I349/I420),0)</f>
        <v>0</v>
      </c>
      <c r="J424" s="114"/>
      <c r="K424" s="9"/>
    </row>
    <row r="425" spans="1:11" x14ac:dyDescent="0.2">
      <c r="A425" s="9"/>
      <c r="B425" s="109" t="s">
        <v>191</v>
      </c>
      <c r="C425" s="109"/>
      <c r="D425" s="109"/>
      <c r="E425" s="109"/>
      <c r="F425" s="109"/>
      <c r="G425" s="109"/>
      <c r="H425" s="109"/>
      <c r="I425" s="114">
        <f>IFERROR((I400/I420),0)</f>
        <v>0</v>
      </c>
      <c r="J425" s="114"/>
      <c r="K425" s="9"/>
    </row>
    <row r="426" spans="1:11" x14ac:dyDescent="0.2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</row>
  </sheetData>
  <sheetProtection algorithmName="SHA-512" hashValue="t16Wr0tnDQntVM2QaZRt1pPWvA09gkMpRHSg2mxNTKnQb/ePXaOWSCeCK638Nvcaot9Yrg4REJSzMAx2yP1aNg==" saltValue="2XNMteSALXOBLs6fBtOzTQ==" spinCount="100000" sheet="1" objects="1" scenarios="1"/>
  <protectedRanges>
    <protectedRange sqref="A1:K26" name="Range2"/>
    <protectedRange sqref="F75:H75 G80 I83 G82 G85:G88 I89 G90:G91" name="Range1"/>
  </protectedRanges>
  <sortState xmlns:xlrd2="http://schemas.microsoft.com/office/spreadsheetml/2017/richdata2" ref="B77:I89">
    <sortCondition ref="B78"/>
  </sortState>
  <mergeCells count="456">
    <mergeCell ref="B46:J46"/>
    <mergeCell ref="B103:C103"/>
    <mergeCell ref="E103:F103"/>
    <mergeCell ref="B94:D94"/>
    <mergeCell ref="A27:K27"/>
    <mergeCell ref="E28:G28"/>
    <mergeCell ref="E29:G29"/>
    <mergeCell ref="E30:G30"/>
    <mergeCell ref="E31:G31"/>
    <mergeCell ref="E32:G32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F67:F68"/>
    <mergeCell ref="B69:E69"/>
    <mergeCell ref="G87:H87"/>
    <mergeCell ref="B86:F86"/>
    <mergeCell ref="B87:F87"/>
    <mergeCell ref="B102:C102"/>
    <mergeCell ref="G80:H80"/>
    <mergeCell ref="G81:H81"/>
    <mergeCell ref="G82:H82"/>
    <mergeCell ref="G83:H83"/>
    <mergeCell ref="G85:H85"/>
    <mergeCell ref="G86:H86"/>
    <mergeCell ref="B83:F83"/>
    <mergeCell ref="B85:F85"/>
    <mergeCell ref="E98:F98"/>
    <mergeCell ref="B95:C95"/>
    <mergeCell ref="B98:C98"/>
    <mergeCell ref="B97:C97"/>
    <mergeCell ref="G94:I94"/>
    <mergeCell ref="G95:H95"/>
    <mergeCell ref="G96:H96"/>
    <mergeCell ref="G97:H97"/>
    <mergeCell ref="G98:H98"/>
    <mergeCell ref="G99:I99"/>
    <mergeCell ref="G100:H100"/>
    <mergeCell ref="B80:F80"/>
    <mergeCell ref="B81:F81"/>
    <mergeCell ref="B99:D99"/>
    <mergeCell ref="B96:C96"/>
    <mergeCell ref="B74:H74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B101:C101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E125:F125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B100:C100"/>
    <mergeCell ref="G101:H101"/>
    <mergeCell ref="G102:H102"/>
    <mergeCell ref="G103:H103"/>
    <mergeCell ref="J98:K98"/>
    <mergeCell ref="J103:K103"/>
    <mergeCell ref="G121:H121"/>
    <mergeCell ref="I118:J118"/>
    <mergeCell ref="G128:H128"/>
    <mergeCell ref="I128:J128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E210:I210"/>
    <mergeCell ref="E209:I209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G274:H274"/>
    <mergeCell ref="B269:J269"/>
    <mergeCell ref="B270:E270"/>
    <mergeCell ref="G270:H270"/>
    <mergeCell ref="I270:J270"/>
    <mergeCell ref="B271:E271"/>
    <mergeCell ref="G271:H271"/>
    <mergeCell ref="B266:J266"/>
    <mergeCell ref="B267:H268"/>
    <mergeCell ref="J267:J268"/>
    <mergeCell ref="G272:H272"/>
    <mergeCell ref="B273:E273"/>
    <mergeCell ref="G273:H273"/>
    <mergeCell ref="B274:E274"/>
    <mergeCell ref="E362:I362"/>
    <mergeCell ref="B279:J279"/>
    <mergeCell ref="B280:H280"/>
    <mergeCell ref="B281:H281"/>
    <mergeCell ref="B282:H282"/>
    <mergeCell ref="B283:H283"/>
    <mergeCell ref="B284:H28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C310:D310"/>
    <mergeCell ref="C311:D311"/>
    <mergeCell ref="E313:I313"/>
    <mergeCell ref="E314:I314"/>
    <mergeCell ref="B297:H297"/>
    <mergeCell ref="B298:H298"/>
    <mergeCell ref="B307:J307"/>
    <mergeCell ref="B345:J345"/>
    <mergeCell ref="B358:J358"/>
    <mergeCell ref="B372:E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C362:D362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272:E272"/>
    <mergeCell ref="B371:J371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44:H344"/>
    <mergeCell ref="B346:H346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B275:E275"/>
    <mergeCell ref="G275:H275"/>
    <mergeCell ref="B276:H276"/>
    <mergeCell ref="B277:E277"/>
    <mergeCell ref="G277:H277"/>
    <mergeCell ref="B278:H278"/>
    <mergeCell ref="B419:J419"/>
    <mergeCell ref="B420:H420"/>
    <mergeCell ref="E414:I414"/>
    <mergeCell ref="E415:I415"/>
    <mergeCell ref="E416:I416"/>
    <mergeCell ref="C413:D413"/>
    <mergeCell ref="E413:I413"/>
    <mergeCell ref="E310:I310"/>
    <mergeCell ref="E311:I311"/>
    <mergeCell ref="C312:D314"/>
    <mergeCell ref="B323:E323"/>
    <mergeCell ref="G323:H323"/>
    <mergeCell ref="B324:E324"/>
    <mergeCell ref="G324:H324"/>
    <mergeCell ref="B347:H347"/>
    <mergeCell ref="B336:H336"/>
    <mergeCell ref="B337:H337"/>
    <mergeCell ref="B317:J317"/>
    <mergeCell ref="B318:H319"/>
    <mergeCell ref="J318:J319"/>
    <mergeCell ref="E312:I312"/>
    <mergeCell ref="B397:H397"/>
    <mergeCell ref="G372:H372"/>
    <mergeCell ref="E363:I363"/>
    <mergeCell ref="I425:J425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C159:D161"/>
    <mergeCell ref="B291:H291"/>
    <mergeCell ref="B292:H292"/>
    <mergeCell ref="B293:H293"/>
    <mergeCell ref="B294:J294"/>
  </mergeCells>
  <pageMargins left="0.15" right="0.15" top="0.75" bottom="0.75" header="0.3" footer="0.3"/>
  <pageSetup orientation="portrait" r:id="rId1"/>
  <headerFooter differentFirst="1">
    <oddFooter>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Robert Andre</dc:creator>
  <cp:keywords/>
  <dc:description/>
  <cp:lastModifiedBy>Brad Sorenson</cp:lastModifiedBy>
  <cp:revision/>
  <dcterms:created xsi:type="dcterms:W3CDTF">2003-04-06T16:14:55Z</dcterms:created>
  <dcterms:modified xsi:type="dcterms:W3CDTF">2023-04-19T19:28:39Z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