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2" windowWidth="9420" windowHeight="4500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B9" i="2" l="1"/>
  <c r="J84" i="3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92" i="3" l="1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<sst xmlns="http://schemas.openxmlformats.org/spreadsheetml/2006/main" count="434" uniqueCount="200">
  <si>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</si>
  <si>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</si>
  <si>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</si>
  <si>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</si>
  <si>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</si>
  <si>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</si>
  <si>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</si>
  <si>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</si>
  <si>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</si>
  <si>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</si>
  <si>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</si>
  <si>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</si>
  <si>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</si>
  <si>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</si>
  <si>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</si>
  <si>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</si>
  <si>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</si>
  <si>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</si>
  <si>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</si>
  <si>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</si>
  <si>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</si>
  <si>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</si>
  <si>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</si>
  <si>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</si>
  <si>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</si>
  <si>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</si>
  <si>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</si>
  <si>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</si>
  <si>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</si>
  <si>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</si>
  <si>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</si>
  <si>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</si>
  <si>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</si>
  <si>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</si>
  <si>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</si>
  <si>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</si>
  <si>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</si>
  <si>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</si>
  <si>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</si>
  <si>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</si>
  <si>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</si>
  <si>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</si>
  <si>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</si>
  <si>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</si>
  <si>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</si>
  <si>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</si>
  <si>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</si>
  <si>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</si>
  <si>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</si>
  <si>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</si>
  <si>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</si>
  <si>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</si>
  <si>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</si>
  <si>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</si>
  <si>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</si>
  <si>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</si>
  <si>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</si>
  <si>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</si>
  <si>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</si>
  <si>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</si>
  <si>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</si>
  <si>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</si>
  <si>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</si>
  <si>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</si>
  <si>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</si>
  <si>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</si>
  <si>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</si>
  <si>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</si>
  <si>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</si>
  <si>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</si>
  <si>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</si>
  <si>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</si>
  <si>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</si>
  <si>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</si>
  <si>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</si>
  <si>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</si>
  <si>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</si>
  <si>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</si>
  <si>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</si>
  <si>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</si>
  <si>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</si>
  <si>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</si>
  <si>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</si>
  <si>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</si>
  <si>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</si>
  <si>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</si>
  <si>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</si>
  <si>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</si>
  <si>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</si>
  <si>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</si>
  <si>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</si>
  <si>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</si>
  <si>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</si>
  <si>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</si>
  <si>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</si>
  <si>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</si>
  <si>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</si>
  <si>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</si>
  <si>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</si>
  <si>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</si>
  <si>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</si>
  <si>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</si>
  <si>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</si>
  <si>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</si>
  <si>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</si>
  <si>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</si>
  <si>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</si>
  <si>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</si>
  <si>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</si>
  <si>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</si>
  <si>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</si>
  <si>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</si>
  <si>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</si>
  <si>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</si>
  <si>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</si>
  <si>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</si>
  <si>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</si>
  <si>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</si>
  <si>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</si>
  <si>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</si>
  <si>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</si>
  <si>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</si>
  <si>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</si>
  <si>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</si>
  <si>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</si>
  <si>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</si>
  <si>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</si>
  <si>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</si>
  <si>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</si>
  <si>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 xml:space="preserve">Sonny's Enterprises, LLC, it's affiliates, and subsidiaries make no guarantees, representations, or waranties as to the accuracy of specific forecasts, projections, or predictive statements contained herein. Many factors impact the operation and profitability of a car wash that can 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</si>
  <si>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</si>
  <si>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</si>
  <si>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</si>
  <si>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</si>
  <si>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</si>
  <si>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</si>
  <si>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</si>
  <si>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</si>
  <si>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</si>
  <si>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</si>
  <si>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</si>
  <si>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</si>
  <si>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</si>
  <si>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</si>
  <si>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</si>
  <si>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</si>
  <si>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</si>
  <si>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</si>
  <si>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</si>
  <si>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</si>
  <si>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</si>
  <si>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</si>
  <si>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</si>
  <si>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</si>
  <si>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</si>
  <si>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</si>
  <si>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</si>
  <si>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</si>
  <si>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</si>
  <si>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</si>
  <si>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</si>
  <si>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</si>
  <si>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</si>
  <si>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</si>
  <si>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</si>
  <si>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</si>
  <si>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</si>
  <si>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</si>
  <si>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</si>
  <si>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</si>
  <si>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</si>
  <si>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</si>
  <si>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</si>
  <si>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</si>
  <si>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</si>
  <si>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</si>
  <si>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</si>
  <si>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</si>
  <si>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</si>
  <si>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</si>
  <si>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</si>
  <si>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</si>
  <si>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</si>
  <si>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</si>
  <si>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</si>
  <si>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</si>
  <si>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</si>
  <si>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</si>
  <si>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</si>
  <si>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</si>
  <si>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</si>
  <si>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</si>
  <si>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</si>
  <si>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</si>
  <si>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</si>
  <si>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</si>
  <si>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Roger Beck</t>
  </si>
  <si>
    <t>Magic Tunnel Car Wash</t>
  </si>
  <si>
    <t>1601 S Main St.</t>
  </si>
  <si>
    <t>Bellefontaine, OH 43311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</si>
</sst>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tabSelected="1" zoomScaleNormal="100" workbookViewId="0">
      <selection activeCell="D23" sqref="D23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8" t="s">
        <v>41</v>
      </c>
      <c r="B1" s="98"/>
      <c r="C1" s="98"/>
      <c r="D1" s="98"/>
      <c r="E1" s="34"/>
      <c r="F1" s="34"/>
    </row>
    <row r="2" spans="1:9" ht="15.6" x14ac:dyDescent="0.3">
      <c r="A2" s="35" t="s">
        <v>12</v>
      </c>
      <c r="B2" s="99" t="s">
        <v>196</v>
      </c>
      <c r="C2" s="100"/>
      <c r="D2" s="101"/>
      <c r="E2" s="34"/>
      <c r="F2" s="34"/>
    </row>
    <row r="3" spans="1:9" ht="15.6" x14ac:dyDescent="0.3">
      <c r="A3" s="35" t="s">
        <v>15</v>
      </c>
      <c r="B3" s="99" t="s">
        <v>197</v>
      </c>
      <c r="C3" s="100"/>
      <c r="D3" s="101"/>
      <c r="E3" s="34"/>
      <c r="F3" s="34"/>
    </row>
    <row r="4" spans="1:9" ht="15.6" x14ac:dyDescent="0.3">
      <c r="A4" s="35" t="s">
        <v>13</v>
      </c>
      <c r="B4" s="99" t="s">
        <v>198</v>
      </c>
      <c r="C4" s="100"/>
      <c r="D4" s="101"/>
      <c r="E4" s="34"/>
      <c r="F4" s="34"/>
    </row>
    <row r="5" spans="1:9" ht="15.6" x14ac:dyDescent="0.3">
      <c r="A5" s="35" t="s">
        <v>14</v>
      </c>
      <c r="B5" s="99" t="s">
        <v>199</v>
      </c>
      <c r="C5" s="100"/>
      <c r="D5" s="101"/>
      <c r="E5" s="34"/>
      <c r="F5" s="34"/>
    </row>
    <row r="6" spans="1:9" ht="15.6" x14ac:dyDescent="0.3">
      <c r="A6" s="35" t="s">
        <v>16</v>
      </c>
      <c r="B6" s="99"/>
      <c r="C6" s="100"/>
      <c r="D6" s="101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7" t="s">
        <v>40</v>
      </c>
      <c r="B11" s="87"/>
      <c r="C11" s="87"/>
      <c r="D11" s="87"/>
      <c r="E11" s="34"/>
      <c r="F11" s="34"/>
    </row>
    <row r="12" spans="1:9" ht="15.6" x14ac:dyDescent="0.3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6" x14ac:dyDescent="0.3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6" x14ac:dyDescent="0.3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6" x14ac:dyDescent="0.3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91" t="s">
        <v>39</v>
      </c>
      <c r="B17" s="92"/>
      <c r="C17" s="92"/>
      <c r="D17" s="93"/>
      <c r="E17" s="34"/>
      <c r="F17" s="34"/>
    </row>
    <row r="18" spans="1:8" ht="15.6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6" x14ac:dyDescent="0.3">
      <c r="A19" s="43" t="s">
        <v>27</v>
      </c>
      <c r="B19" s="47">
        <v>0</v>
      </c>
      <c r="C19" s="48">
        <v>0.309</v>
      </c>
      <c r="D19" s="45">
        <v>0</v>
      </c>
      <c r="E19" s="34"/>
      <c r="F19" s="34"/>
    </row>
    <row r="20" spans="1:8" ht="15.6" x14ac:dyDescent="0.3">
      <c r="A20" s="43" t="s">
        <v>28</v>
      </c>
      <c r="B20" s="47">
        <v>10</v>
      </c>
      <c r="C20" s="48">
        <v>0.60519999999999996</v>
      </c>
      <c r="D20" s="45">
        <v>0.25</v>
      </c>
      <c r="E20" s="34"/>
      <c r="F20" s="34"/>
    </row>
    <row r="21" spans="1:8" ht="15.6" x14ac:dyDescent="0.3">
      <c r="A21" s="43" t="s">
        <v>29</v>
      </c>
      <c r="B21" s="47">
        <v>15</v>
      </c>
      <c r="C21" s="48">
        <v>0.74399999999999999</v>
      </c>
      <c r="D21" s="45">
        <v>0.5</v>
      </c>
      <c r="E21" s="34"/>
      <c r="F21" s="34"/>
    </row>
    <row r="22" spans="1:8" ht="15.6" x14ac:dyDescent="0.3">
      <c r="A22" s="43" t="s">
        <v>30</v>
      </c>
      <c r="B22" s="47">
        <v>20</v>
      </c>
      <c r="C22" s="48">
        <v>1.357</v>
      </c>
      <c r="D22" s="45">
        <v>0.25</v>
      </c>
      <c r="E22" s="34"/>
      <c r="F22" s="34"/>
    </row>
    <row r="23" spans="1:8" ht="15.6" x14ac:dyDescent="0.3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91" t="s">
        <v>44</v>
      </c>
      <c r="B25" s="92"/>
      <c r="C25" s="92"/>
      <c r="D25" s="92"/>
      <c r="E25" s="93"/>
      <c r="F25" s="34"/>
    </row>
    <row r="26" spans="1:8" ht="15.6" x14ac:dyDescent="0.3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6" x14ac:dyDescent="0.3">
      <c r="A27" s="43" t="s">
        <v>27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6" x14ac:dyDescent="0.3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6" x14ac:dyDescent="0.3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6" x14ac:dyDescent="0.3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6" x14ac:dyDescent="0.3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91" t="s">
        <v>59</v>
      </c>
      <c r="B33" s="92"/>
      <c r="C33" s="92"/>
      <c r="D33" s="92"/>
      <c r="E33" s="92"/>
      <c r="F33" s="93"/>
    </row>
    <row r="34" spans="1:6" ht="15.6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9.2" x14ac:dyDescent="0.45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6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9.2" x14ac:dyDescent="0.45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27.6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9.2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9.2" x14ac:dyDescent="0.45">
      <c r="A41" s="102"/>
      <c r="B41" s="50">
        <v>1</v>
      </c>
      <c r="C41" s="50"/>
      <c r="D41" s="50"/>
      <c r="E41" s="50">
        <v>1</v>
      </c>
      <c r="F41" s="51">
        <f>IF(B41=1,0.15,IF(C41=1,0.125,IF(D41=1,0.075,IF(E41=1,0.05,0))))</f>
        <v>0.15</v>
      </c>
    </row>
    <row r="42" spans="1:6" ht="46.8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9.2" x14ac:dyDescent="0.45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2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9.2" x14ac:dyDescent="0.45">
      <c r="A45" s="102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2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9.2" x14ac:dyDescent="0.45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6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9.2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9.2" x14ac:dyDescent="0.45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2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9.2" x14ac:dyDescent="0.45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6" x14ac:dyDescent="0.3">
      <c r="A54" s="95" t="s">
        <v>0</v>
      </c>
      <c r="B54" s="96"/>
      <c r="C54" s="96"/>
      <c r="D54" s="96"/>
      <c r="E54" s="97"/>
      <c r="F54" s="56">
        <f>F35+F37+F39+F41+F43+F45+F47+F49+F51+F53</f>
        <v>1.35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91" t="s">
        <v>1</v>
      </c>
      <c r="B56" s="92"/>
      <c r="C56" s="92"/>
      <c r="D56" s="92"/>
      <c r="E56" s="92"/>
      <c r="F56" s="93"/>
    </row>
    <row r="57" spans="1:8" ht="15.6" x14ac:dyDescent="0.3">
      <c r="A57" s="95" t="s">
        <v>93</v>
      </c>
      <c r="B57" s="96"/>
      <c r="C57" s="96"/>
      <c r="D57" s="97"/>
      <c r="E57" s="59">
        <v>2.4</v>
      </c>
      <c r="F57" s="60">
        <f>IF(E57&lt;2.101,-0.1*(2.1-E57),IF(E57&gt;3,-0.5*(E57-3),0))</f>
        <v>0</v>
      </c>
      <c r="H57" s="2"/>
    </row>
    <row r="58" spans="1:8" ht="15.6" x14ac:dyDescent="0.3">
      <c r="A58" s="95" t="s">
        <v>94</v>
      </c>
      <c r="B58" s="96"/>
      <c r="C58" s="96"/>
      <c r="D58" s="97"/>
      <c r="E58" s="45">
        <v>0.54</v>
      </c>
      <c r="F58" s="61">
        <f>-0.3*(0.55-E58)</f>
        <v>-3.0000000000000027E-3</v>
      </c>
    </row>
    <row r="59" spans="1:8" ht="15.6" x14ac:dyDescent="0.3">
      <c r="A59" s="95" t="s">
        <v>3</v>
      </c>
      <c r="B59" s="96"/>
      <c r="C59" s="96"/>
      <c r="D59" s="97"/>
      <c r="E59" s="45">
        <v>0.76</v>
      </c>
      <c r="F59" s="61">
        <f>-0.75*(0.5-E59)</f>
        <v>0.19500000000000001</v>
      </c>
    </row>
    <row r="60" spans="1:8" ht="15.6" x14ac:dyDescent="0.3">
      <c r="A60" s="95" t="s">
        <v>4</v>
      </c>
      <c r="B60" s="96"/>
      <c r="C60" s="96"/>
      <c r="D60" s="97"/>
      <c r="E60" s="47">
        <v>10</v>
      </c>
      <c r="F60" s="62">
        <f>IF(E60&lt;5.01,0.5*(5-E60),-0.075*(E60-5))</f>
        <v>-0.375</v>
      </c>
    </row>
    <row r="61" spans="1:8" ht="15.6" x14ac:dyDescent="0.3">
      <c r="A61" s="95" t="s">
        <v>95</v>
      </c>
      <c r="B61" s="96"/>
      <c r="C61" s="96"/>
      <c r="D61" s="96"/>
      <c r="E61" s="97"/>
      <c r="F61" s="61">
        <f>SUM(F57:F60)/4</f>
        <v>-4.5749999999999999E-2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4" t="s">
        <v>98</v>
      </c>
      <c r="B63" s="94"/>
      <c r="C63" s="94"/>
      <c r="D63" s="94"/>
      <c r="E63" s="94"/>
      <c r="F63" s="94"/>
    </row>
    <row r="64" spans="1:8" ht="15.6" x14ac:dyDescent="0.3">
      <c r="A64" s="95" t="s">
        <v>96</v>
      </c>
      <c r="B64" s="96"/>
      <c r="C64" s="96"/>
      <c r="D64" s="96"/>
      <c r="E64" s="97"/>
      <c r="F64" s="64">
        <f>(F54*0.7)*(1+F61)/85</f>
        <v>1.0609014705882353E-2</v>
      </c>
    </row>
    <row r="65" spans="1:6" ht="15.6" x14ac:dyDescent="0.3">
      <c r="A65" s="95" t="s">
        <v>97</v>
      </c>
      <c r="B65" s="96"/>
      <c r="C65" s="96"/>
      <c r="D65" s="96"/>
      <c r="E65" s="97"/>
      <c r="F65" s="64">
        <f>$F$54*(1+$F$61)/92</f>
        <v>1.4002581521739133E-2</v>
      </c>
    </row>
    <row r="66" spans="1:6" ht="15.6" x14ac:dyDescent="0.3">
      <c r="A66" s="95" t="s">
        <v>10</v>
      </c>
      <c r="B66" s="96"/>
      <c r="C66" s="96"/>
      <c r="D66" s="96"/>
      <c r="E66" s="97"/>
      <c r="F66" s="64">
        <f>$F$54*(1+$F$61)/76</f>
        <v>1.6950493421052634E-2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91" t="s">
        <v>103</v>
      </c>
      <c r="B68" s="92"/>
      <c r="C68" s="92"/>
      <c r="D68" s="93"/>
      <c r="E68" s="57"/>
      <c r="F68" s="58"/>
    </row>
    <row r="69" spans="1:6" ht="15.6" x14ac:dyDescent="0.3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6" x14ac:dyDescent="0.3">
      <c r="A70" s="50">
        <v>14299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91" t="s">
        <v>104</v>
      </c>
      <c r="B72" s="92"/>
      <c r="C72" s="92"/>
      <c r="D72" s="92"/>
      <c r="E72" s="92"/>
      <c r="F72" s="93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105</v>
      </c>
      <c r="B74" s="68">
        <f>F64*A70*280</f>
        <v>42475.524358235292</v>
      </c>
      <c r="C74" s="68">
        <f>F65*A70*280</f>
        <v>56062.4156902174</v>
      </c>
      <c r="D74" s="68">
        <f>($F$54*(1+$F$61))/85*($A$70*(1+B$70))*280</f>
        <v>60679.320511764708</v>
      </c>
      <c r="E74" s="68">
        <f>($F$54*(1+$F$61))/82*($A$70*(1+C$70))*280</f>
        <v>62899.295652439025</v>
      </c>
      <c r="F74" s="68">
        <f>F66*(A70*(1+D70)*280)</f>
        <v>67865.029519736854</v>
      </c>
    </row>
    <row r="75" spans="1:6" ht="15.6" x14ac:dyDescent="0.3">
      <c r="A75" s="35" t="s">
        <v>106</v>
      </c>
      <c r="B75" s="68">
        <f>B74/12</f>
        <v>3539.6270298529412</v>
      </c>
      <c r="C75" s="68">
        <f>C74/12</f>
        <v>4671.8679741847836</v>
      </c>
      <c r="D75" s="68">
        <f t="shared" ref="D75:F75" si="0">D74/12</f>
        <v>5056.6100426470593</v>
      </c>
      <c r="E75" s="68">
        <f t="shared" si="0"/>
        <v>5241.6079710365857</v>
      </c>
      <c r="F75" s="68">
        <f t="shared" si="0"/>
        <v>5655.4191266447378</v>
      </c>
    </row>
    <row r="76" spans="1:6" ht="15.6" x14ac:dyDescent="0.3">
      <c r="A76" s="35" t="s">
        <v>107</v>
      </c>
      <c r="B76" s="68">
        <f>B75/4.5/7*3</f>
        <v>337.10733617647054</v>
      </c>
      <c r="C76" s="68">
        <f t="shared" ref="C76:F76" si="1">C75/4.5/7*3</f>
        <v>444.93980706521745</v>
      </c>
      <c r="D76" s="68">
        <f t="shared" si="1"/>
        <v>481.58190882352949</v>
      </c>
      <c r="E76" s="68">
        <f t="shared" si="1"/>
        <v>499.20075914634151</v>
      </c>
      <c r="F76" s="68">
        <f t="shared" si="1"/>
        <v>538.61134539473699</v>
      </c>
    </row>
    <row r="77" spans="1:6" ht="15.6" x14ac:dyDescent="0.3">
      <c r="A77" s="35" t="s">
        <v>108</v>
      </c>
      <c r="B77" s="68">
        <f>IFERROR((B76/$B9*1.3),0)</f>
        <v>36.519961419117642</v>
      </c>
      <c r="C77" s="68">
        <f t="shared" ref="C77:F77" si="2">IFERROR((C76/$B9*1.3),0)</f>
        <v>48.201812432065232</v>
      </c>
      <c r="D77" s="68">
        <f t="shared" si="2"/>
        <v>52.17137345588236</v>
      </c>
      <c r="E77" s="68">
        <f t="shared" si="2"/>
        <v>54.08008224085367</v>
      </c>
      <c r="F77" s="68">
        <f t="shared" si="2"/>
        <v>58.349562417763174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7" t="s">
        <v>2</v>
      </c>
      <c r="B79" s="87"/>
      <c r="C79" s="87"/>
      <c r="D79" s="87"/>
      <c r="E79" s="87"/>
      <c r="F79" s="87"/>
    </row>
    <row r="80" spans="1:6" ht="31.2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6" x14ac:dyDescent="0.3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6" x14ac:dyDescent="0.3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6" x14ac:dyDescent="0.3">
      <c r="A84" s="35" t="s">
        <v>119</v>
      </c>
      <c r="B84" s="47">
        <v>2700000</v>
      </c>
      <c r="C84" s="70">
        <v>0.2</v>
      </c>
      <c r="D84" s="64">
        <f t="shared" si="3"/>
        <v>0.8</v>
      </c>
      <c r="E84" s="71">
        <f t="shared" si="4"/>
        <v>540000</v>
      </c>
      <c r="F84" s="71">
        <f t="shared" si="5"/>
        <v>2160000</v>
      </c>
    </row>
    <row r="85" spans="1:6" ht="15.6" x14ac:dyDescent="0.3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161</v>
      </c>
      <c r="B86" s="74">
        <f>SUM(B81:B85)</f>
        <v>2700000</v>
      </c>
      <c r="C86" s="75">
        <f>IFERROR((E86/B86),0)</f>
        <v>0.2</v>
      </c>
      <c r="D86" s="64">
        <f>IFERROR((F86/B86),0)</f>
        <v>0.8</v>
      </c>
      <c r="E86" s="71">
        <f>SUM(E81:E85)</f>
        <v>540000</v>
      </c>
      <c r="F86" s="71">
        <f>SUM(F81:F85)</f>
        <v>2160000</v>
      </c>
    </row>
    <row r="87" spans="1:6" ht="15.6" x14ac:dyDescent="0.3">
      <c r="A87" s="91" t="s">
        <v>121</v>
      </c>
      <c r="B87" s="92"/>
      <c r="C87" s="92"/>
      <c r="D87" s="92"/>
      <c r="E87" s="92"/>
      <c r="F87" s="93"/>
    </row>
    <row r="88" spans="1:6" ht="31.2" x14ac:dyDescent="0.25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6" x14ac:dyDescent="0.3">
      <c r="A89" s="35" t="s">
        <v>118</v>
      </c>
      <c r="B89" s="76">
        <f>F81</f>
        <v>0</v>
      </c>
      <c r="C89" s="77">
        <v>5.7500000000000002E-2</v>
      </c>
      <c r="D89" s="40">
        <v>240</v>
      </c>
      <c r="E89" s="60"/>
      <c r="F89" s="71">
        <f>IFERROR(PMT(C89/12,(D89),B89)*-1,0)</f>
        <v>0</v>
      </c>
    </row>
    <row r="90" spans="1:6" ht="15.6" x14ac:dyDescent="0.25">
      <c r="A90" s="72" t="s">
        <v>120</v>
      </c>
      <c r="B90" s="76">
        <f t="shared" ref="B90:B93" si="6">F82</f>
        <v>0</v>
      </c>
      <c r="C90" s="77">
        <v>5.7500000000000002E-2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6" x14ac:dyDescent="0.3">
      <c r="A91" s="35" t="s">
        <v>117</v>
      </c>
      <c r="B91" s="76">
        <f t="shared" si="6"/>
        <v>0</v>
      </c>
      <c r="C91" s="77">
        <v>5.7500000000000002E-2</v>
      </c>
      <c r="D91" s="40">
        <v>240</v>
      </c>
      <c r="E91" s="60"/>
      <c r="F91" s="71">
        <f t="shared" si="7"/>
        <v>0</v>
      </c>
    </row>
    <row r="92" spans="1:6" ht="15.6" x14ac:dyDescent="0.3">
      <c r="A92" s="35" t="s">
        <v>119</v>
      </c>
      <c r="B92" s="76">
        <f t="shared" si="6"/>
        <v>2160000</v>
      </c>
      <c r="C92" s="77">
        <v>5.7500000000000002E-2</v>
      </c>
      <c r="D92" s="40">
        <v>240</v>
      </c>
      <c r="E92" s="60"/>
      <c r="F92" s="71">
        <f t="shared" si="7"/>
        <v>15165.003770014773</v>
      </c>
    </row>
    <row r="93" spans="1:6" ht="15.6" x14ac:dyDescent="0.3">
      <c r="A93" s="73" t="s">
        <v>160</v>
      </c>
      <c r="B93" s="76">
        <f t="shared" si="6"/>
        <v>0</v>
      </c>
      <c r="C93" s="77">
        <v>5.7500000000000002E-2</v>
      </c>
      <c r="D93" s="40">
        <v>240</v>
      </c>
      <c r="E93" s="60"/>
      <c r="F93" s="71">
        <f t="shared" si="7"/>
        <v>0</v>
      </c>
    </row>
    <row r="94" spans="1:6" ht="15.6" x14ac:dyDescent="0.25">
      <c r="A94" s="72" t="s">
        <v>161</v>
      </c>
      <c r="B94" s="76">
        <f>SUM(B89:B93)</f>
        <v>2160000</v>
      </c>
      <c r="C94" s="60"/>
      <c r="D94" s="60"/>
      <c r="E94" s="60"/>
      <c r="F94" s="71">
        <f>SUM(F89:F93)</f>
        <v>15165.003770014773</v>
      </c>
    </row>
    <row r="95" spans="1:6" ht="15.6" x14ac:dyDescent="0.3">
      <c r="A95" s="91" t="s">
        <v>123</v>
      </c>
      <c r="B95" s="92"/>
      <c r="C95" s="92"/>
      <c r="D95" s="92"/>
      <c r="E95" s="92"/>
      <c r="F95" s="93"/>
    </row>
    <row r="96" spans="1:6" ht="15.6" x14ac:dyDescent="0.3">
      <c r="A96" s="88" t="s">
        <v>124</v>
      </c>
      <c r="B96" s="89"/>
      <c r="C96" s="89"/>
      <c r="D96" s="90"/>
      <c r="E96" s="81" t="s">
        <v>126</v>
      </c>
      <c r="F96" s="82"/>
    </row>
    <row r="97" spans="1:8" ht="15.6" x14ac:dyDescent="0.3">
      <c r="A97" s="78" t="s">
        <v>117</v>
      </c>
      <c r="B97" s="79"/>
      <c r="C97" s="79"/>
      <c r="D97" s="80"/>
      <c r="E97" s="83">
        <v>0</v>
      </c>
      <c r="F97" s="84"/>
    </row>
    <row r="98" spans="1:8" ht="15.6" x14ac:dyDescent="0.3">
      <c r="A98" s="78" t="s">
        <v>118</v>
      </c>
      <c r="B98" s="79"/>
      <c r="C98" s="79"/>
      <c r="D98" s="80"/>
      <c r="E98" s="83">
        <v>0</v>
      </c>
      <c r="F98" s="84"/>
    </row>
    <row r="99" spans="1:8" ht="15.6" x14ac:dyDescent="0.3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6" x14ac:dyDescent="0.3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view="pageLayout" topLeftCell="A64" zoomScale="130" zoomScaleNormal="100" zoomScalePageLayoutView="130" workbookViewId="0">
      <selection activeCell="B83" sqref="B83:F83"/>
    </sheetView>
  </sheetViews>
  <sheetFormatPr defaultColWidth="9.10937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4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64" t="str">
        <f>'Input Form'!B2</f>
        <v>Roger Beck</v>
      </c>
      <c r="F29" s="164"/>
      <c r="G29" s="164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64" t="str">
        <f>'Input Form'!B3</f>
        <v>Magic Tunnel Car Wash</v>
      </c>
      <c r="F30" s="164"/>
      <c r="G30" s="164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64" t="str">
        <f>'Input Form'!B4</f>
        <v>1601 S Main St.</v>
      </c>
      <c r="F31" s="164"/>
      <c r="G31" s="164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64" t="str">
        <f>'Input Form'!B5</f>
        <v>Bellefontaine, OH 43311</v>
      </c>
      <c r="F32" s="164"/>
      <c r="G32" s="164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129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188</v>
      </c>
      <c r="D56" s="115"/>
      <c r="E56" s="116" t="str">
        <f>CustomerName</f>
        <v>Roger Beck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189</v>
      </c>
      <c r="D57" s="135"/>
      <c r="E57" s="116" t="str">
        <f>CompanyName</f>
        <v>Magic Tunnel Car Wash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130</v>
      </c>
      <c r="D58" s="120"/>
      <c r="E58" s="125" t="str">
        <f>AddressLine1</f>
        <v>1601 S Main St.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Bellefontaine, OH 43311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07" t="s">
        <v>131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0" t="s">
        <v>156</v>
      </c>
      <c r="C64" s="180"/>
      <c r="D64" s="180"/>
      <c r="E64" s="180"/>
      <c r="F64" s="180"/>
      <c r="G64" s="180"/>
      <c r="H64" s="180"/>
      <c r="I64" s="17" t="s">
        <v>132</v>
      </c>
      <c r="J64" s="17" t="s">
        <v>168</v>
      </c>
      <c r="K64" s="10"/>
    </row>
    <row r="65" spans="1:15" x14ac:dyDescent="0.3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2815.565478441591</v>
      </c>
      <c r="J65" s="18">
        <f>'Input Form'!B75</f>
        <v>3539.6270298529412</v>
      </c>
      <c r="K65" s="10"/>
    </row>
    <row r="66" spans="1:15" ht="18" x14ac:dyDescent="0.35">
      <c r="A66" s="10"/>
      <c r="B66" s="136" t="s">
        <v>157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5" t="s">
        <v>137</v>
      </c>
      <c r="C67" s="185"/>
      <c r="D67" s="185"/>
      <c r="E67" s="185"/>
      <c r="F67" s="174" t="s">
        <v>136</v>
      </c>
      <c r="G67" s="181" t="s">
        <v>135</v>
      </c>
      <c r="H67" s="182"/>
      <c r="I67" s="142" t="s">
        <v>134</v>
      </c>
      <c r="J67" s="142"/>
      <c r="K67" s="10"/>
    </row>
    <row r="68" spans="1:15" x14ac:dyDescent="0.3">
      <c r="A68" s="10"/>
      <c r="B68" s="185"/>
      <c r="C68" s="185"/>
      <c r="D68" s="185"/>
      <c r="E68" s="185"/>
      <c r="F68" s="175"/>
      <c r="G68" s="183"/>
      <c r="H68" s="184"/>
      <c r="I68" s="17" t="s">
        <v>132</v>
      </c>
      <c r="J68" s="17" t="s">
        <v>168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0</v>
      </c>
      <c r="G69" s="140">
        <f>'Input Form'!D19</f>
        <v>0</v>
      </c>
      <c r="H69" s="141"/>
      <c r="I69" s="20">
        <f>IFERROR((I$65*G69*F69),0)</f>
        <v>0</v>
      </c>
      <c r="J69" s="20">
        <f>J$65*F69*G69</f>
        <v>0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0.25</v>
      </c>
      <c r="H70" s="141"/>
      <c r="I70" s="20">
        <f>IFERROR((I$65*G70*F70),0)</f>
        <v>7038.9136961039776</v>
      </c>
      <c r="J70" s="20">
        <f t="shared" ref="J70:J73" si="0">J$65*F70*G70</f>
        <v>8849.0675746323523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15</v>
      </c>
      <c r="G71" s="140">
        <f>'Input Form'!D21</f>
        <v>0.5</v>
      </c>
      <c r="H71" s="141"/>
      <c r="I71" s="20">
        <f>IFERROR((I$65*G71*F71),0)</f>
        <v>21116.741088311934</v>
      </c>
      <c r="J71" s="20">
        <f t="shared" si="0"/>
        <v>26547.202723897059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20</v>
      </c>
      <c r="G72" s="140">
        <f>'Input Form'!D22</f>
        <v>0.25</v>
      </c>
      <c r="H72" s="141"/>
      <c r="I72" s="20">
        <f t="shared" ref="I72:I73" si="1">I$65*G72*F72</f>
        <v>14077.827392207955</v>
      </c>
      <c r="J72" s="20">
        <f t="shared" si="0"/>
        <v>17698.135149264705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3">
      <c r="A74" s="10"/>
      <c r="B74" s="103" t="s">
        <v>138</v>
      </c>
      <c r="C74" s="103"/>
      <c r="D74" s="103"/>
      <c r="E74" s="103"/>
      <c r="F74" s="103"/>
      <c r="G74" s="103"/>
      <c r="H74" s="103"/>
      <c r="I74" s="20">
        <f>SUM(I69:I73)</f>
        <v>42233.482176623867</v>
      </c>
      <c r="J74" s="20">
        <f>SUM(J69:J73)</f>
        <v>53094.40544779411</v>
      </c>
      <c r="K74" s="10"/>
      <c r="O74" s="5"/>
    </row>
    <row r="75" spans="1:15" x14ac:dyDescent="0.3">
      <c r="A75" s="10"/>
      <c r="B75" s="137" t="s">
        <v>139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-760.20267917922956</v>
      </c>
      <c r="J75" s="20">
        <f>-(J74*$F75*$G75)</f>
        <v>-955.69929806029393</v>
      </c>
      <c r="K75" s="10"/>
      <c r="L75" s="7"/>
    </row>
    <row r="76" spans="1:15" x14ac:dyDescent="0.3">
      <c r="A76" s="10"/>
      <c r="B76" s="103" t="s">
        <v>140</v>
      </c>
      <c r="C76" s="103"/>
      <c r="D76" s="103"/>
      <c r="E76" s="103"/>
      <c r="F76" s="103"/>
      <c r="G76" s="103"/>
      <c r="H76" s="103"/>
      <c r="I76" s="20">
        <f>SUM(I74:I75)</f>
        <v>41473.279497444637</v>
      </c>
      <c r="J76" s="20">
        <f>SUM(J74:J75)</f>
        <v>52138.706149733815</v>
      </c>
      <c r="K76" s="10"/>
      <c r="L76" s="5"/>
      <c r="N76" s="8"/>
    </row>
    <row r="77" spans="1:15" x14ac:dyDescent="0.3">
      <c r="A77" s="10"/>
      <c r="B77" s="103" t="s">
        <v>155</v>
      </c>
      <c r="C77" s="103"/>
      <c r="D77" s="103"/>
      <c r="E77" s="103"/>
      <c r="F77" s="103"/>
      <c r="G77" s="103"/>
      <c r="H77" s="103"/>
      <c r="I77" s="20">
        <f>IFERROR((I76/I65),0)</f>
        <v>14.73</v>
      </c>
      <c r="J77" s="22">
        <f>J76/(J65+0.000000001)</f>
        <v>14.729999999995837</v>
      </c>
      <c r="K77" s="10"/>
      <c r="M77" s="5"/>
      <c r="N77" s="7"/>
    </row>
    <row r="78" spans="1:15" ht="18" x14ac:dyDescent="0.35">
      <c r="A78" s="10"/>
      <c r="B78" s="136" t="s">
        <v>158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141</v>
      </c>
      <c r="C79" s="115"/>
      <c r="D79" s="115"/>
      <c r="E79" s="115"/>
      <c r="F79" s="115"/>
      <c r="G79" s="142" t="s">
        <v>142</v>
      </c>
      <c r="H79" s="142"/>
      <c r="I79" s="17" t="s">
        <v>132</v>
      </c>
      <c r="J79" s="17" t="s">
        <v>133</v>
      </c>
      <c r="K79" s="10"/>
      <c r="M79" s="5"/>
    </row>
    <row r="80" spans="1:15" x14ac:dyDescent="0.3">
      <c r="A80" s="10"/>
      <c r="B80" s="137" t="s">
        <v>145</v>
      </c>
      <c r="C80" s="138"/>
      <c r="D80" s="138"/>
      <c r="E80" s="138"/>
      <c r="F80" s="139"/>
      <c r="G80" s="160">
        <v>0.03</v>
      </c>
      <c r="H80" s="161"/>
      <c r="I80" s="20">
        <f>$G80*I76</f>
        <v>1244.1983849233391</v>
      </c>
      <c r="J80" s="20">
        <f>$G80*J76</f>
        <v>1564.1611844920144</v>
      </c>
      <c r="K80" s="10"/>
    </row>
    <row r="81" spans="1:12" x14ac:dyDescent="0.3">
      <c r="A81" s="10"/>
      <c r="B81" s="137" t="s">
        <v>143</v>
      </c>
      <c r="C81" s="138"/>
      <c r="D81" s="138"/>
      <c r="E81" s="138"/>
      <c r="F81" s="139"/>
      <c r="G81" s="162">
        <f>IFERROR((J81/J74),0)</f>
        <v>5.7503333333333344E-2</v>
      </c>
      <c r="H81" s="163"/>
      <c r="I81" s="20">
        <f>G81*I76</f>
        <v>2384.8518153680584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3053.1052945996544</v>
      </c>
      <c r="K81" s="10"/>
    </row>
    <row r="82" spans="1:12" x14ac:dyDescent="0.3">
      <c r="A82" s="10"/>
      <c r="B82" s="137" t="s">
        <v>146</v>
      </c>
      <c r="C82" s="138"/>
      <c r="D82" s="138"/>
      <c r="E82" s="138"/>
      <c r="F82" s="139"/>
      <c r="G82" s="160">
        <v>0.01</v>
      </c>
      <c r="H82" s="161"/>
      <c r="I82" s="20">
        <f>$G82*I76</f>
        <v>414.73279497444639</v>
      </c>
      <c r="J82" s="20">
        <f>$G82*J76</f>
        <v>521.38706149733821</v>
      </c>
      <c r="K82" s="10"/>
    </row>
    <row r="83" spans="1:12" x14ac:dyDescent="0.3">
      <c r="A83" s="10"/>
      <c r="B83" s="137" t="s">
        <v>152</v>
      </c>
      <c r="C83" s="138"/>
      <c r="D83" s="138"/>
      <c r="E83" s="138"/>
      <c r="F83" s="139"/>
      <c r="G83" s="162">
        <f>IFERROR((I83/I74),0)</f>
        <v>2.3677896030877076E-2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0.32357265599955376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Form'!D13))+('Input Form'!C14*40*52/12*(1+'Input Form'!D13))+('Input Form'!B15*'Input Form'!C15*52/12*(1+'Input Form'!D13)))),0)</f>
        <v>13665.6</v>
      </c>
      <c r="K84" s="10"/>
    </row>
    <row r="85" spans="1:12" x14ac:dyDescent="0.3">
      <c r="A85" s="10"/>
      <c r="B85" s="137" t="s">
        <v>147</v>
      </c>
      <c r="C85" s="138"/>
      <c r="D85" s="138"/>
      <c r="E85" s="138"/>
      <c r="F85" s="139"/>
      <c r="G85" s="160">
        <v>0.01</v>
      </c>
      <c r="H85" s="161"/>
      <c r="I85" s="20">
        <f>$G85*I76</f>
        <v>414.73279497444639</v>
      </c>
      <c r="J85" s="20">
        <f>$G85*J76</f>
        <v>521.38706149733821</v>
      </c>
      <c r="K85" s="10"/>
    </row>
    <row r="86" spans="1:12" x14ac:dyDescent="0.3">
      <c r="A86" s="10"/>
      <c r="B86" s="137" t="s">
        <v>148</v>
      </c>
      <c r="C86" s="138"/>
      <c r="D86" s="138"/>
      <c r="E86" s="138"/>
      <c r="F86" s="139"/>
      <c r="G86" s="160">
        <v>0.01</v>
      </c>
      <c r="H86" s="161"/>
      <c r="I86" s="20">
        <f>$G86*I76</f>
        <v>414.73279497444639</v>
      </c>
      <c r="J86" s="20">
        <f>$G86*J76</f>
        <v>521.38706149733821</v>
      </c>
      <c r="K86" s="10"/>
    </row>
    <row r="87" spans="1:12" x14ac:dyDescent="0.3">
      <c r="A87" s="10"/>
      <c r="B87" s="137" t="s">
        <v>150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622.09919246166953</v>
      </c>
      <c r="J87" s="20">
        <f>$G87*J76</f>
        <v>782.0805922460072</v>
      </c>
      <c r="K87" s="10"/>
    </row>
    <row r="88" spans="1:12" x14ac:dyDescent="0.3">
      <c r="A88" s="10"/>
      <c r="B88" s="137" t="s">
        <v>153</v>
      </c>
      <c r="C88" s="138"/>
      <c r="D88" s="138"/>
      <c r="E88" s="138"/>
      <c r="F88" s="139"/>
      <c r="G88" s="160">
        <v>0.01</v>
      </c>
      <c r="H88" s="161"/>
      <c r="I88" s="20">
        <f>$G88*I76</f>
        <v>414.73279497444639</v>
      </c>
      <c r="J88" s="20">
        <f>$G88*J76</f>
        <v>521.38706149733821</v>
      </c>
      <c r="K88" s="10"/>
    </row>
    <row r="89" spans="1:12" x14ac:dyDescent="0.3">
      <c r="A89" s="10"/>
      <c r="B89" s="137" t="s">
        <v>151</v>
      </c>
      <c r="C89" s="138"/>
      <c r="D89" s="138"/>
      <c r="E89" s="138"/>
      <c r="F89" s="139"/>
      <c r="G89" s="162">
        <f>IFERROR((I89/I74),0)</f>
        <v>4.7355792061754151E-2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149</v>
      </c>
      <c r="C90" s="138"/>
      <c r="D90" s="138"/>
      <c r="E90" s="138"/>
      <c r="F90" s="139"/>
      <c r="G90" s="160">
        <v>0.01</v>
      </c>
      <c r="H90" s="161"/>
      <c r="I90" s="20">
        <f>$G90*I76</f>
        <v>414.73279497444639</v>
      </c>
      <c r="J90" s="20">
        <f>$G90*J76</f>
        <v>521.38706149733821</v>
      </c>
      <c r="K90" s="10"/>
      <c r="L90" s="5"/>
    </row>
    <row r="91" spans="1:12" x14ac:dyDescent="0.3">
      <c r="A91" s="10"/>
      <c r="B91" s="137" t="s">
        <v>144</v>
      </c>
      <c r="C91" s="138"/>
      <c r="D91" s="138"/>
      <c r="E91" s="138"/>
      <c r="F91" s="139"/>
      <c r="G91" s="160">
        <v>0.08</v>
      </c>
      <c r="H91" s="161"/>
      <c r="I91" s="20">
        <f>$G91*I76</f>
        <v>3317.8623597955711</v>
      </c>
      <c r="J91" s="20">
        <f>$G91*J76</f>
        <v>4171.0964919787057</v>
      </c>
      <c r="K91" s="10"/>
      <c r="L91" s="5"/>
    </row>
    <row r="92" spans="1:12" x14ac:dyDescent="0.3">
      <c r="A92" s="10"/>
      <c r="B92" s="103" t="s">
        <v>154</v>
      </c>
      <c r="C92" s="103"/>
      <c r="D92" s="103"/>
      <c r="E92" s="103"/>
      <c r="F92" s="103"/>
      <c r="G92" s="103"/>
      <c r="H92" s="103"/>
      <c r="I92" s="20">
        <f>SUM(I80:I91)</f>
        <v>26308.275727420867</v>
      </c>
      <c r="J92" s="20">
        <f>SUM(J80:J91)</f>
        <v>28842.978870803076</v>
      </c>
      <c r="K92" s="10"/>
    </row>
    <row r="93" spans="1:12" x14ac:dyDescent="0.3">
      <c r="A93" s="10"/>
      <c r="B93" s="115" t="s">
        <v>159</v>
      </c>
      <c r="C93" s="115"/>
      <c r="D93" s="115"/>
      <c r="E93" s="115"/>
      <c r="F93" s="115"/>
      <c r="G93" s="115"/>
      <c r="H93" s="115"/>
      <c r="I93" s="24">
        <f>I76-I92</f>
        <v>15165.00377002377</v>
      </c>
      <c r="J93" s="24">
        <f>J76-J92</f>
        <v>23295.727278930739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188</v>
      </c>
      <c r="D108" s="115"/>
      <c r="E108" s="116" t="str">
        <f>CustomerName</f>
        <v>Roger Beck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189</v>
      </c>
      <c r="D109" s="135"/>
      <c r="E109" s="116" t="str">
        <f>CompanyName</f>
        <v>Magic Tunnel Car Wash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130</v>
      </c>
      <c r="D110" s="120"/>
      <c r="E110" s="125" t="str">
        <f>AddressLine1</f>
        <v>1601 S Main St.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Bellefontaine, OH 43311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07" t="s">
        <v>131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41.4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3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2700000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540000</v>
      </c>
      <c r="H120" s="141"/>
      <c r="I120" s="151">
        <f>'Input Form'!F84</f>
        <v>2160000</v>
      </c>
      <c r="J120" s="141"/>
      <c r="K120" s="10"/>
    </row>
    <row r="121" spans="1:11" x14ac:dyDescent="0.3">
      <c r="A121" s="10"/>
      <c r="B121" s="27" t="s">
        <v>160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161</v>
      </c>
      <c r="C122" s="151">
        <f>'Input Form'!B86</f>
        <v>2700000</v>
      </c>
      <c r="D122" s="141"/>
      <c r="E122" s="28">
        <f>'Input Form'!C86</f>
        <v>0.2</v>
      </c>
      <c r="F122" s="28">
        <f>'Input Form'!D86</f>
        <v>0.8</v>
      </c>
      <c r="G122" s="151">
        <f>'Input Form'!E86</f>
        <v>540000</v>
      </c>
      <c r="H122" s="141"/>
      <c r="I122" s="151">
        <f>'Input Form'!F86</f>
        <v>2160000</v>
      </c>
      <c r="J122" s="141"/>
      <c r="K122" s="10"/>
    </row>
    <row r="123" spans="1:11" ht="18" x14ac:dyDescent="0.35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7.6" x14ac:dyDescent="0.3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162</v>
      </c>
      <c r="H124" s="157"/>
      <c r="I124" s="157" t="s">
        <v>126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0</v>
      </c>
      <c r="D125" s="141"/>
      <c r="E125" s="152">
        <f>'Input Form'!C89</f>
        <v>5.7500000000000002E-2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3">
      <c r="A126" s="10"/>
      <c r="B126" s="27" t="s">
        <v>120</v>
      </c>
      <c r="C126" s="151">
        <f>'Input Form'!B90</f>
        <v>0</v>
      </c>
      <c r="D126" s="141"/>
      <c r="E126" s="152">
        <f>'Input Form'!C90</f>
        <v>5.7500000000000002E-2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5.7500000000000002E-2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2160000</v>
      </c>
      <c r="D128" s="141"/>
      <c r="E128" s="152">
        <f>'Input Form'!C92</f>
        <v>5.7500000000000002E-2</v>
      </c>
      <c r="F128" s="153"/>
      <c r="G128" s="141">
        <f>'Input Form'!D92</f>
        <v>240</v>
      </c>
      <c r="H128" s="141"/>
      <c r="I128" s="146">
        <f>'Input Form'!F92</f>
        <v>15165.003770014773</v>
      </c>
      <c r="J128" s="146"/>
      <c r="K128" s="10"/>
    </row>
    <row r="129" spans="1:11" x14ac:dyDescent="0.3">
      <c r="A129" s="10"/>
      <c r="B129" s="27" t="s">
        <v>160</v>
      </c>
      <c r="C129" s="151">
        <f>'Input Form'!B93</f>
        <v>0</v>
      </c>
      <c r="D129" s="141"/>
      <c r="E129" s="152">
        <f>'Input Form'!C93</f>
        <v>5.7500000000000002E-2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122</v>
      </c>
      <c r="C130" s="151">
        <f>'Input Form'!B94</f>
        <v>2160000</v>
      </c>
      <c r="D130" s="141"/>
      <c r="E130" s="154"/>
      <c r="F130" s="155"/>
      <c r="G130" s="155"/>
      <c r="H130" s="156"/>
      <c r="I130" s="146">
        <f>'Input Form'!F94</f>
        <v>15165.003770014773</v>
      </c>
      <c r="J130" s="146"/>
      <c r="K130" s="10"/>
    </row>
    <row r="131" spans="1:11" ht="18" x14ac:dyDescent="0.35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" x14ac:dyDescent="0.35">
      <c r="A137" s="10"/>
      <c r="B137" s="149" t="s">
        <v>163</v>
      </c>
      <c r="C137" s="150"/>
      <c r="D137" s="150"/>
      <c r="E137" s="150"/>
      <c r="F137" s="150"/>
      <c r="G137" s="147" t="s">
        <v>132</v>
      </c>
      <c r="H137" s="147"/>
      <c r="I137" s="147" t="s">
        <v>168</v>
      </c>
      <c r="J137" s="148"/>
      <c r="K137" s="10"/>
    </row>
    <row r="138" spans="1:11" x14ac:dyDescent="0.3">
      <c r="A138" s="10"/>
      <c r="B138" s="103" t="s">
        <v>140</v>
      </c>
      <c r="C138" s="103"/>
      <c r="D138" s="103"/>
      <c r="E138" s="103"/>
      <c r="F138" s="103"/>
      <c r="G138" s="146">
        <f>I76</f>
        <v>41473.279497444637</v>
      </c>
      <c r="H138" s="146"/>
      <c r="I138" s="146">
        <f>J76</f>
        <v>52138.706149733815</v>
      </c>
      <c r="J138" s="146"/>
      <c r="K138" s="10"/>
    </row>
    <row r="139" spans="1:11" x14ac:dyDescent="0.3">
      <c r="A139" s="10"/>
      <c r="B139" s="103" t="s">
        <v>164</v>
      </c>
      <c r="C139" s="103"/>
      <c r="D139" s="103"/>
      <c r="E139" s="103"/>
      <c r="F139" s="103"/>
      <c r="G139" s="146">
        <f>I92</f>
        <v>26308.275727420867</v>
      </c>
      <c r="H139" s="146"/>
      <c r="I139" s="146">
        <f>J92</f>
        <v>28842.978870803076</v>
      </c>
      <c r="J139" s="146"/>
      <c r="K139" s="10"/>
    </row>
    <row r="140" spans="1:11" x14ac:dyDescent="0.3">
      <c r="A140" s="10"/>
      <c r="B140" s="103" t="s">
        <v>159</v>
      </c>
      <c r="C140" s="103"/>
      <c r="D140" s="103"/>
      <c r="E140" s="103"/>
      <c r="F140" s="103"/>
      <c r="G140" s="146">
        <f>G138-G139</f>
        <v>15165.00377002377</v>
      </c>
      <c r="H140" s="146"/>
      <c r="I140" s="146">
        <f>J93</f>
        <v>23295.727278930739</v>
      </c>
      <c r="J140" s="146"/>
      <c r="K140" s="10"/>
    </row>
    <row r="141" spans="1:11" x14ac:dyDescent="0.3">
      <c r="A141" s="10"/>
      <c r="B141" s="103" t="s">
        <v>165</v>
      </c>
      <c r="C141" s="103"/>
      <c r="D141" s="103"/>
      <c r="E141" s="103"/>
      <c r="F141" s="103"/>
      <c r="G141" s="146">
        <f>I130</f>
        <v>15165.003770014773</v>
      </c>
      <c r="H141" s="146"/>
      <c r="I141" s="146">
        <f>I130</f>
        <v>15165.003770014773</v>
      </c>
      <c r="J141" s="146"/>
      <c r="K141" s="10"/>
    </row>
    <row r="142" spans="1:11" x14ac:dyDescent="0.3">
      <c r="A142" s="10"/>
      <c r="B142" s="103" t="s">
        <v>166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167</v>
      </c>
      <c r="C143" s="103"/>
      <c r="D143" s="103"/>
      <c r="E143" s="103"/>
      <c r="F143" s="103"/>
      <c r="G143" s="146">
        <f>G140-G141-G142</f>
        <v>8.9967215899378061E-9</v>
      </c>
      <c r="H143" s="146"/>
      <c r="I143" s="146">
        <f>I140-I141-I142</f>
        <v>8130.7235089159658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188</v>
      </c>
      <c r="D157" s="115"/>
      <c r="E157" s="116" t="str">
        <f>CustomerName</f>
        <v>Roger Beck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189</v>
      </c>
      <c r="D158" s="135"/>
      <c r="E158" s="116" t="str">
        <f>CompanyName</f>
        <v>Magic Tunnel Car Wash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130</v>
      </c>
      <c r="D159" s="120"/>
      <c r="E159" s="125" t="str">
        <f>AddressLine1</f>
        <v>1601 S Main St.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Bellefontaine, OH 43311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07" t="s">
        <v>190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169</v>
      </c>
      <c r="C165" s="136"/>
      <c r="D165" s="136"/>
      <c r="E165" s="136"/>
      <c r="F165" s="136"/>
      <c r="G165" s="136"/>
      <c r="H165" s="136"/>
      <c r="I165" s="17" t="s">
        <v>168</v>
      </c>
      <c r="J165" s="143" t="s">
        <v>170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42475.524358235292</v>
      </c>
      <c r="J166" s="143"/>
      <c r="K166" s="10"/>
    </row>
    <row r="167" spans="1:11" ht="18" x14ac:dyDescent="0.35">
      <c r="A167" s="10"/>
      <c r="B167" s="145" t="s">
        <v>157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137</v>
      </c>
      <c r="C168" s="142"/>
      <c r="D168" s="142"/>
      <c r="E168" s="142"/>
      <c r="F168" s="29" t="s">
        <v>136</v>
      </c>
      <c r="G168" s="143" t="s">
        <v>135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0</v>
      </c>
      <c r="G169" s="140">
        <f>'Input Form'!$D$19</f>
        <v>0</v>
      </c>
      <c r="H169" s="141"/>
      <c r="I169" s="20">
        <f>I$166*F169*G169</f>
        <v>0</v>
      </c>
      <c r="J169" s="30">
        <f>IFERROR((I169/I$174),0)</f>
        <v>0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0.25</v>
      </c>
      <c r="H170" s="141"/>
      <c r="I170" s="20">
        <f>I$166*F170*G170</f>
        <v>106188.81089558823</v>
      </c>
      <c r="J170" s="30">
        <f t="shared" ref="J170:J176" si="2">IFERROR((I170/I$174),0)</f>
        <v>0.16666666666666669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15</v>
      </c>
      <c r="G171" s="140">
        <f>'Input Form'!$D$21</f>
        <v>0.5</v>
      </c>
      <c r="H171" s="141"/>
      <c r="I171" s="20">
        <f>I$166*F171*G171</f>
        <v>318566.43268676469</v>
      </c>
      <c r="J171" s="30">
        <f t="shared" si="2"/>
        <v>0.5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20</v>
      </c>
      <c r="G172" s="140">
        <f>'Input Form'!$D$22</f>
        <v>0.25</v>
      </c>
      <c r="H172" s="141"/>
      <c r="I172" s="20">
        <f>I$166*F172*G172</f>
        <v>212377.62179117647</v>
      </c>
      <c r="J172" s="30">
        <f t="shared" si="2"/>
        <v>0.33333333333333337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3">
      <c r="A174" s="10"/>
      <c r="B174" s="103" t="s">
        <v>138</v>
      </c>
      <c r="C174" s="103"/>
      <c r="D174" s="103"/>
      <c r="E174" s="103"/>
      <c r="F174" s="103"/>
      <c r="G174" s="103"/>
      <c r="H174" s="103"/>
      <c r="I174" s="20">
        <f>SUM(I169:I173)</f>
        <v>637132.86537352938</v>
      </c>
      <c r="J174" s="30">
        <f t="shared" si="2"/>
        <v>1</v>
      </c>
      <c r="K174" s="10"/>
    </row>
    <row r="175" spans="1:11" x14ac:dyDescent="0.3">
      <c r="A175" s="10"/>
      <c r="B175" s="103" t="s">
        <v>139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-11468.391576723527</v>
      </c>
      <c r="J175" s="30">
        <f t="shared" si="2"/>
        <v>-1.7999999999999995E-2</v>
      </c>
      <c r="K175" s="10"/>
    </row>
    <row r="176" spans="1:11" x14ac:dyDescent="0.3">
      <c r="A176" s="10"/>
      <c r="B176" s="103" t="s">
        <v>140</v>
      </c>
      <c r="C176" s="103"/>
      <c r="D176" s="103"/>
      <c r="E176" s="103"/>
      <c r="F176" s="103"/>
      <c r="G176" s="103"/>
      <c r="H176" s="103"/>
      <c r="I176" s="20">
        <f>I174+I175</f>
        <v>625664.47379680583</v>
      </c>
      <c r="J176" s="30">
        <f t="shared" si="2"/>
        <v>0.98199999999999998</v>
      </c>
      <c r="K176" s="10"/>
    </row>
    <row r="177" spans="1:11" ht="18" x14ac:dyDescent="0.35">
      <c r="A177" s="10"/>
      <c r="B177" s="136" t="s">
        <v>158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145</v>
      </c>
      <c r="C178" s="138"/>
      <c r="D178" s="138"/>
      <c r="E178" s="138"/>
      <c r="F178" s="138"/>
      <c r="G178" s="138"/>
      <c r="H178" s="139"/>
      <c r="I178" s="20">
        <f>$G$80*I176</f>
        <v>18769.934213904173</v>
      </c>
      <c r="J178" s="30">
        <f>IFERROR((I178/I$176),0)</f>
        <v>2.9999999999999995E-2</v>
      </c>
      <c r="K178" s="10"/>
    </row>
    <row r="179" spans="1:11" x14ac:dyDescent="0.3">
      <c r="A179" s="10"/>
      <c r="B179" s="137" t="s">
        <v>143</v>
      </c>
      <c r="C179" s="138"/>
      <c r="D179" s="138"/>
      <c r="E179" s="138"/>
      <c r="F179" s="138"/>
      <c r="G179" s="138"/>
      <c r="H179" s="139"/>
      <c r="I179" s="20">
        <f>$G$81*I176</f>
        <v>35977.79279156233</v>
      </c>
      <c r="J179" s="30">
        <f t="shared" ref="J179:J196" si="3">IFERROR((I179/I$176),0)</f>
        <v>5.7503333333333344E-2</v>
      </c>
      <c r="K179" s="10"/>
    </row>
    <row r="180" spans="1:11" x14ac:dyDescent="0.3">
      <c r="A180" s="10"/>
      <c r="B180" s="137" t="s">
        <v>146</v>
      </c>
      <c r="C180" s="138"/>
      <c r="D180" s="138"/>
      <c r="E180" s="138"/>
      <c r="F180" s="138"/>
      <c r="G180" s="138"/>
      <c r="H180" s="139"/>
      <c r="I180" s="20">
        <f>$G$82*I176</f>
        <v>6256.6447379680585</v>
      </c>
      <c r="J180" s="30">
        <f t="shared" si="3"/>
        <v>0.01</v>
      </c>
      <c r="K180" s="10"/>
    </row>
    <row r="181" spans="1:11" x14ac:dyDescent="0.3">
      <c r="A181" s="10"/>
      <c r="B181" s="137" t="s">
        <v>152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1.9179609043771893E-2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0.26210086534856919</v>
      </c>
      <c r="K182" s="10"/>
    </row>
    <row r="183" spans="1:11" x14ac:dyDescent="0.3">
      <c r="A183" s="10"/>
      <c r="B183" s="137" t="s">
        <v>147</v>
      </c>
      <c r="C183" s="138"/>
      <c r="D183" s="138"/>
      <c r="E183" s="138"/>
      <c r="F183" s="138"/>
      <c r="G183" s="138"/>
      <c r="H183" s="139"/>
      <c r="I183" s="20">
        <f>$G$85*I176</f>
        <v>6256.6447379680585</v>
      </c>
      <c r="J183" s="30">
        <f t="shared" si="3"/>
        <v>0.01</v>
      </c>
      <c r="K183" s="10"/>
    </row>
    <row r="184" spans="1:11" x14ac:dyDescent="0.3">
      <c r="A184" s="10"/>
      <c r="B184" s="137" t="s">
        <v>148</v>
      </c>
      <c r="C184" s="138"/>
      <c r="D184" s="138"/>
      <c r="E184" s="138"/>
      <c r="F184" s="138"/>
      <c r="G184" s="138"/>
      <c r="H184" s="139"/>
      <c r="I184" s="20">
        <f>$G$86*I176</f>
        <v>6256.6447379680585</v>
      </c>
      <c r="J184" s="30">
        <f t="shared" si="3"/>
        <v>0.01</v>
      </c>
      <c r="K184" s="10"/>
    </row>
    <row r="185" spans="1:11" x14ac:dyDescent="0.3">
      <c r="A185" s="10"/>
      <c r="B185" s="137" t="s">
        <v>150</v>
      </c>
      <c r="C185" s="138"/>
      <c r="D185" s="138"/>
      <c r="E185" s="138"/>
      <c r="F185" s="138"/>
      <c r="G185" s="138"/>
      <c r="H185" s="139"/>
      <c r="I185" s="20">
        <f>$G$87*I176</f>
        <v>9384.9671069520864</v>
      </c>
      <c r="J185" s="30">
        <f t="shared" si="3"/>
        <v>1.4999999999999998E-2</v>
      </c>
      <c r="K185" s="10"/>
    </row>
    <row r="186" spans="1:11" x14ac:dyDescent="0.3">
      <c r="A186" s="10"/>
      <c r="B186" s="137" t="s">
        <v>153</v>
      </c>
      <c r="C186" s="138"/>
      <c r="D186" s="138"/>
      <c r="E186" s="138"/>
      <c r="F186" s="138"/>
      <c r="G186" s="138"/>
      <c r="H186" s="139"/>
      <c r="I186" s="20">
        <f>$G$88*I176</f>
        <v>6256.6447379680585</v>
      </c>
      <c r="J186" s="30">
        <f t="shared" si="3"/>
        <v>0.01</v>
      </c>
      <c r="K186" s="10"/>
    </row>
    <row r="187" spans="1:11" x14ac:dyDescent="0.3">
      <c r="A187" s="10"/>
      <c r="B187" s="137" t="s">
        <v>151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3.8359218087543785E-2</v>
      </c>
      <c r="K187" s="10"/>
    </row>
    <row r="188" spans="1:11" x14ac:dyDescent="0.3">
      <c r="A188" s="10"/>
      <c r="B188" s="137" t="s">
        <v>149</v>
      </c>
      <c r="C188" s="138"/>
      <c r="D188" s="138"/>
      <c r="E188" s="138"/>
      <c r="F188" s="138"/>
      <c r="G188" s="138"/>
      <c r="H188" s="139"/>
      <c r="I188" s="20">
        <f>$G$90*I176</f>
        <v>6256.6447379680585</v>
      </c>
      <c r="J188" s="30">
        <f t="shared" si="3"/>
        <v>0.01</v>
      </c>
      <c r="K188" s="10"/>
    </row>
    <row r="189" spans="1:11" x14ac:dyDescent="0.3">
      <c r="A189" s="10"/>
      <c r="B189" s="137" t="s">
        <v>144</v>
      </c>
      <c r="C189" s="138"/>
      <c r="D189" s="138"/>
      <c r="E189" s="138"/>
      <c r="F189" s="138"/>
      <c r="G189" s="138"/>
      <c r="H189" s="139"/>
      <c r="I189" s="20">
        <f>$G$91*I176</f>
        <v>50053.157903744468</v>
      </c>
      <c r="J189" s="30">
        <f t="shared" si="3"/>
        <v>0.08</v>
      </c>
      <c r="K189" s="10"/>
    </row>
    <row r="190" spans="1:11" x14ac:dyDescent="0.3">
      <c r="A190" s="10"/>
      <c r="B190" s="103" t="s">
        <v>154</v>
      </c>
      <c r="C190" s="103"/>
      <c r="D190" s="103"/>
      <c r="E190" s="103"/>
      <c r="F190" s="103"/>
      <c r="G190" s="103"/>
      <c r="H190" s="103"/>
      <c r="I190" s="20">
        <f>SUM(I178:I189)</f>
        <v>345456.27570600336</v>
      </c>
      <c r="J190" s="30">
        <f t="shared" si="3"/>
        <v>0.55214302581321828</v>
      </c>
      <c r="K190" s="10"/>
    </row>
    <row r="191" spans="1:11" x14ac:dyDescent="0.3">
      <c r="A191" s="10"/>
      <c r="B191" s="115" t="s">
        <v>159</v>
      </c>
      <c r="C191" s="115"/>
      <c r="D191" s="115"/>
      <c r="E191" s="115"/>
      <c r="F191" s="115"/>
      <c r="G191" s="115"/>
      <c r="H191" s="115"/>
      <c r="I191" s="24">
        <f>I176-I190</f>
        <v>280208.19809080247</v>
      </c>
      <c r="J191" s="30">
        <f t="shared" si="3"/>
        <v>0.44785697418678178</v>
      </c>
      <c r="K191" s="10"/>
    </row>
    <row r="192" spans="1:11" ht="18" x14ac:dyDescent="0.35">
      <c r="A192" s="10"/>
      <c r="B192" s="136" t="s">
        <v>171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172</v>
      </c>
      <c r="C193" s="138"/>
      <c r="D193" s="138"/>
      <c r="E193" s="138"/>
      <c r="F193" s="138"/>
      <c r="G193" s="138"/>
      <c r="H193" s="139"/>
      <c r="I193" s="20">
        <f>$I$130*12</f>
        <v>181980.04524017728</v>
      </c>
      <c r="J193" s="30">
        <f t="shared" si="3"/>
        <v>0.29085884345621021</v>
      </c>
      <c r="K193" s="10"/>
    </row>
    <row r="194" spans="1:11" x14ac:dyDescent="0.3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173</v>
      </c>
      <c r="C195" s="103"/>
      <c r="D195" s="103"/>
      <c r="E195" s="103"/>
      <c r="F195" s="103"/>
      <c r="G195" s="103"/>
      <c r="H195" s="103"/>
      <c r="I195" s="20">
        <f>I193+I194</f>
        <v>181980.04524017728</v>
      </c>
      <c r="J195" s="30">
        <f t="shared" si="3"/>
        <v>0.29085884345621021</v>
      </c>
      <c r="K195" s="10"/>
    </row>
    <row r="196" spans="1:11" x14ac:dyDescent="0.3">
      <c r="A196" s="10"/>
      <c r="B196" s="115" t="s">
        <v>195</v>
      </c>
      <c r="C196" s="115"/>
      <c r="D196" s="115"/>
      <c r="E196" s="115"/>
      <c r="F196" s="115"/>
      <c r="G196" s="115"/>
      <c r="H196" s="115"/>
      <c r="I196" s="24">
        <f>I191-I195</f>
        <v>98228.152850625193</v>
      </c>
      <c r="J196" s="30">
        <f t="shared" si="3"/>
        <v>0.15699813073057156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188</v>
      </c>
      <c r="D208" s="115"/>
      <c r="E208" s="116" t="str">
        <f>CustomerName</f>
        <v>Roger Beck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189</v>
      </c>
      <c r="D209" s="135"/>
      <c r="E209" s="116" t="str">
        <f>CompanyName</f>
        <v>Magic Tunnel Car Wash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130</v>
      </c>
      <c r="D210" s="120"/>
      <c r="E210" s="125" t="str">
        <f>AddressLine1</f>
        <v>1601 S Main St.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Bellefontaine, OH 43311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07" t="s">
        <v>191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169</v>
      </c>
      <c r="C216" s="136"/>
      <c r="D216" s="136"/>
      <c r="E216" s="136"/>
      <c r="F216" s="136"/>
      <c r="G216" s="136"/>
      <c r="H216" s="136"/>
      <c r="I216" s="17" t="s">
        <v>174</v>
      </c>
      <c r="J216" s="143" t="s">
        <v>170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56062.4156902174</v>
      </c>
      <c r="J217" s="143"/>
      <c r="K217" s="10"/>
    </row>
    <row r="218" spans="1:11" ht="18" x14ac:dyDescent="0.35">
      <c r="A218" s="10"/>
      <c r="B218" s="136" t="s">
        <v>157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7.6" x14ac:dyDescent="0.3">
      <c r="A219" s="10"/>
      <c r="B219" s="142" t="s">
        <v>137</v>
      </c>
      <c r="C219" s="142"/>
      <c r="D219" s="142"/>
      <c r="E219" s="142"/>
      <c r="F219" s="29" t="s">
        <v>136</v>
      </c>
      <c r="G219" s="143" t="s">
        <v>135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0</v>
      </c>
      <c r="G220" s="140">
        <f>'Input Form'!$D$19</f>
        <v>0</v>
      </c>
      <c r="H220" s="141"/>
      <c r="I220" s="20">
        <f>I$217*F220*G220</f>
        <v>0</v>
      </c>
      <c r="J220" s="30">
        <f>IFERROR((I220/I$225),0)</f>
        <v>0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0.25</v>
      </c>
      <c r="H221" s="141"/>
      <c r="I221" s="20">
        <f>I$217*F221*G221</f>
        <v>140156.0392255435</v>
      </c>
      <c r="J221" s="30">
        <f t="shared" ref="J221:J227" si="4">IFERROR((I221/I$225),0)</f>
        <v>0.16666666666666666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15</v>
      </c>
      <c r="G222" s="140">
        <f>'Input Form'!$D$21</f>
        <v>0.5</v>
      </c>
      <c r="H222" s="141"/>
      <c r="I222" s="20">
        <f>I$217*F222*G222</f>
        <v>420468.1176766305</v>
      </c>
      <c r="J222" s="30">
        <f t="shared" si="4"/>
        <v>0.5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20</v>
      </c>
      <c r="G223" s="140">
        <f>'Input Form'!$D$22</f>
        <v>0.25</v>
      </c>
      <c r="H223" s="141"/>
      <c r="I223" s="20">
        <f>I$217*F223*G223</f>
        <v>280312.078451087</v>
      </c>
      <c r="J223" s="30">
        <f t="shared" si="4"/>
        <v>0.33333333333333331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3">
      <c r="A225" s="10"/>
      <c r="B225" s="103" t="s">
        <v>138</v>
      </c>
      <c r="C225" s="103"/>
      <c r="D225" s="103"/>
      <c r="E225" s="103"/>
      <c r="F225" s="103"/>
      <c r="G225" s="103"/>
      <c r="H225" s="103"/>
      <c r="I225" s="20">
        <f>SUM(I220:I224)</f>
        <v>840936.235353261</v>
      </c>
      <c r="J225" s="30">
        <f t="shared" si="4"/>
        <v>1</v>
      </c>
      <c r="K225" s="10"/>
    </row>
    <row r="226" spans="1:11" x14ac:dyDescent="0.3">
      <c r="A226" s="10"/>
      <c r="B226" s="103" t="s">
        <v>139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-15136.852236358698</v>
      </c>
      <c r="J226" s="30">
        <f t="shared" si="4"/>
        <v>-1.7999999999999999E-2</v>
      </c>
      <c r="K226" s="10"/>
    </row>
    <row r="227" spans="1:11" x14ac:dyDescent="0.3">
      <c r="A227" s="10"/>
      <c r="B227" s="103" t="s">
        <v>140</v>
      </c>
      <c r="C227" s="103"/>
      <c r="D227" s="103"/>
      <c r="E227" s="103"/>
      <c r="F227" s="103"/>
      <c r="G227" s="103"/>
      <c r="H227" s="103"/>
      <c r="I227" s="20">
        <f>I225+I226</f>
        <v>825799.38311690232</v>
      </c>
      <c r="J227" s="30">
        <f t="shared" si="4"/>
        <v>0.98199999999999998</v>
      </c>
      <c r="K227" s="10"/>
    </row>
    <row r="228" spans="1:11" ht="18" x14ac:dyDescent="0.35">
      <c r="A228" s="10"/>
      <c r="B228" s="136" t="s">
        <v>158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145</v>
      </c>
      <c r="C229" s="138"/>
      <c r="D229" s="138"/>
      <c r="E229" s="138"/>
      <c r="F229" s="138"/>
      <c r="G229" s="138"/>
      <c r="H229" s="139"/>
      <c r="I229" s="20">
        <f>$G$80*I227</f>
        <v>24773.981493507068</v>
      </c>
      <c r="J229" s="30">
        <f>IFERROR((I229/I$227),0)</f>
        <v>0.03</v>
      </c>
      <c r="K229" s="10"/>
    </row>
    <row r="230" spans="1:11" x14ac:dyDescent="0.3">
      <c r="A230" s="10"/>
      <c r="B230" s="137" t="s">
        <v>143</v>
      </c>
      <c r="C230" s="138"/>
      <c r="D230" s="138"/>
      <c r="E230" s="138"/>
      <c r="F230" s="138"/>
      <c r="G230" s="138"/>
      <c r="H230" s="139"/>
      <c r="I230" s="20">
        <f>$G$81*I227</f>
        <v>47486.217193832279</v>
      </c>
      <c r="J230" s="30">
        <f t="shared" ref="J230:J247" si="5">IFERROR((I230/I$227),0)</f>
        <v>5.7503333333333344E-2</v>
      </c>
      <c r="K230" s="10"/>
    </row>
    <row r="231" spans="1:11" x14ac:dyDescent="0.3">
      <c r="A231" s="10"/>
      <c r="B231" s="137" t="s">
        <v>146</v>
      </c>
      <c r="C231" s="138"/>
      <c r="D231" s="138"/>
      <c r="E231" s="138"/>
      <c r="F231" s="138"/>
      <c r="G231" s="138"/>
      <c r="H231" s="139"/>
      <c r="I231" s="20">
        <f>$G$82*I227</f>
        <v>8257.9938311690239</v>
      </c>
      <c r="J231" s="30">
        <f t="shared" si="5"/>
        <v>0.01</v>
      </c>
      <c r="K231" s="10"/>
    </row>
    <row r="232" spans="1:11" x14ac:dyDescent="0.3">
      <c r="A232" s="10"/>
      <c r="B232" s="137" t="s">
        <v>152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1.4531374381398936E-2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0.19857994974644533</v>
      </c>
      <c r="K233" s="10"/>
    </row>
    <row r="234" spans="1:11" x14ac:dyDescent="0.3">
      <c r="A234" s="10"/>
      <c r="B234" s="137" t="s">
        <v>147</v>
      </c>
      <c r="C234" s="138"/>
      <c r="D234" s="138"/>
      <c r="E234" s="138"/>
      <c r="F234" s="138"/>
      <c r="G234" s="138"/>
      <c r="H234" s="139"/>
      <c r="I234" s="20">
        <f>$G$85*I227</f>
        <v>8257.9938311690239</v>
      </c>
      <c r="J234" s="30">
        <f t="shared" si="5"/>
        <v>0.01</v>
      </c>
      <c r="K234" s="10"/>
    </row>
    <row r="235" spans="1:11" x14ac:dyDescent="0.3">
      <c r="A235" s="10"/>
      <c r="B235" s="137" t="s">
        <v>148</v>
      </c>
      <c r="C235" s="138"/>
      <c r="D235" s="138"/>
      <c r="E235" s="138"/>
      <c r="F235" s="138"/>
      <c r="G235" s="138"/>
      <c r="H235" s="139"/>
      <c r="I235" s="20">
        <f>$G$86*I227</f>
        <v>8257.9938311690239</v>
      </c>
      <c r="J235" s="30">
        <f t="shared" si="5"/>
        <v>0.01</v>
      </c>
      <c r="K235" s="10"/>
    </row>
    <row r="236" spans="1:11" x14ac:dyDescent="0.3">
      <c r="A236" s="10"/>
      <c r="B236" s="137" t="s">
        <v>150</v>
      </c>
      <c r="C236" s="138"/>
      <c r="D236" s="138"/>
      <c r="E236" s="138"/>
      <c r="F236" s="138"/>
      <c r="G236" s="138"/>
      <c r="H236" s="139"/>
      <c r="I236" s="20">
        <f>$G$87*I227</f>
        <v>12386.990746753534</v>
      </c>
      <c r="J236" s="30">
        <f t="shared" si="5"/>
        <v>1.4999999999999999E-2</v>
      </c>
      <c r="K236" s="10"/>
    </row>
    <row r="237" spans="1:11" x14ac:dyDescent="0.3">
      <c r="A237" s="10"/>
      <c r="B237" s="137" t="s">
        <v>153</v>
      </c>
      <c r="C237" s="138"/>
      <c r="D237" s="138"/>
      <c r="E237" s="138"/>
      <c r="F237" s="138"/>
      <c r="G237" s="138"/>
      <c r="H237" s="139"/>
      <c r="I237" s="20">
        <f>$G$88*I227</f>
        <v>8257.9938311690239</v>
      </c>
      <c r="J237" s="30">
        <f t="shared" si="5"/>
        <v>0.01</v>
      </c>
      <c r="K237" s="10"/>
    </row>
    <row r="238" spans="1:11" x14ac:dyDescent="0.3">
      <c r="A238" s="10"/>
      <c r="B238" s="137" t="s">
        <v>151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2.9062748762797873E-2</v>
      </c>
      <c r="K238" s="10"/>
    </row>
    <row r="239" spans="1:11" x14ac:dyDescent="0.3">
      <c r="A239" s="10"/>
      <c r="B239" s="137" t="s">
        <v>149</v>
      </c>
      <c r="C239" s="138"/>
      <c r="D239" s="138"/>
      <c r="E239" s="138"/>
      <c r="F239" s="138"/>
      <c r="G239" s="138"/>
      <c r="H239" s="139"/>
      <c r="I239" s="20">
        <f>$G$90*I227</f>
        <v>8257.9938311690239</v>
      </c>
      <c r="J239" s="30">
        <f t="shared" si="5"/>
        <v>0.01</v>
      </c>
      <c r="K239" s="10"/>
    </row>
    <row r="240" spans="1:11" x14ac:dyDescent="0.3">
      <c r="A240" s="10"/>
      <c r="B240" s="137" t="s">
        <v>144</v>
      </c>
      <c r="C240" s="138"/>
      <c r="D240" s="138"/>
      <c r="E240" s="138"/>
      <c r="F240" s="138"/>
      <c r="G240" s="138"/>
      <c r="H240" s="139"/>
      <c r="I240" s="20">
        <f>$G$91*I227</f>
        <v>66063.950649352191</v>
      </c>
      <c r="J240" s="30">
        <f t="shared" si="5"/>
        <v>0.08</v>
      </c>
      <c r="K240" s="10"/>
    </row>
    <row r="241" spans="1:11" x14ac:dyDescent="0.3">
      <c r="A241" s="10"/>
      <c r="B241" s="103" t="s">
        <v>154</v>
      </c>
      <c r="C241" s="103"/>
      <c r="D241" s="103"/>
      <c r="E241" s="103"/>
      <c r="F241" s="103"/>
      <c r="G241" s="103"/>
      <c r="H241" s="103"/>
      <c r="I241" s="20">
        <f>SUM(I229:I240)</f>
        <v>391988.30923929019</v>
      </c>
      <c r="J241" s="30">
        <f t="shared" si="5"/>
        <v>0.47467740622397547</v>
      </c>
      <c r="K241" s="10"/>
    </row>
    <row r="242" spans="1:11" x14ac:dyDescent="0.3">
      <c r="A242" s="10"/>
      <c r="B242" s="115" t="s">
        <v>159</v>
      </c>
      <c r="C242" s="115"/>
      <c r="D242" s="115"/>
      <c r="E242" s="115"/>
      <c r="F242" s="115"/>
      <c r="G242" s="115"/>
      <c r="H242" s="115"/>
      <c r="I242" s="24">
        <f>I227-I241</f>
        <v>433811.07387761213</v>
      </c>
      <c r="J242" s="30">
        <f t="shared" si="5"/>
        <v>0.52532259377602453</v>
      </c>
      <c r="K242" s="10"/>
    </row>
    <row r="243" spans="1:11" ht="18" x14ac:dyDescent="0.35">
      <c r="A243" s="10"/>
      <c r="B243" s="136" t="s">
        <v>171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172</v>
      </c>
      <c r="C244" s="138"/>
      <c r="D244" s="138"/>
      <c r="E244" s="138"/>
      <c r="F244" s="138"/>
      <c r="G244" s="138"/>
      <c r="H244" s="139"/>
      <c r="I244" s="20">
        <f>$I$130*12</f>
        <v>181980.04524017728</v>
      </c>
      <c r="J244" s="30">
        <f t="shared" si="5"/>
        <v>0.22036834727741098</v>
      </c>
      <c r="K244" s="10"/>
    </row>
    <row r="245" spans="1:11" x14ac:dyDescent="0.3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173</v>
      </c>
      <c r="C246" s="103"/>
      <c r="D246" s="103"/>
      <c r="E246" s="103"/>
      <c r="F246" s="103"/>
      <c r="G246" s="103"/>
      <c r="H246" s="103"/>
      <c r="I246" s="20">
        <f>I244+I245</f>
        <v>181980.04524017728</v>
      </c>
      <c r="J246" s="30">
        <f t="shared" si="5"/>
        <v>0.22036834727741098</v>
      </c>
      <c r="K246" s="10"/>
    </row>
    <row r="247" spans="1:11" x14ac:dyDescent="0.3">
      <c r="A247" s="10"/>
      <c r="B247" s="115" t="s">
        <v>195</v>
      </c>
      <c r="C247" s="115"/>
      <c r="D247" s="115"/>
      <c r="E247" s="115"/>
      <c r="F247" s="115"/>
      <c r="G247" s="115"/>
      <c r="H247" s="115"/>
      <c r="I247" s="24">
        <f>I242-I246</f>
        <v>251831.02863743485</v>
      </c>
      <c r="J247" s="30">
        <f t="shared" si="5"/>
        <v>0.30495424649861358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188</v>
      </c>
      <c r="D259" s="115"/>
      <c r="E259" s="116" t="str">
        <f>CustomerName</f>
        <v>Roger Beck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189</v>
      </c>
      <c r="D260" s="135"/>
      <c r="E260" s="116" t="str">
        <f>CompanyName</f>
        <v>Magic Tunnel Car Wash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130</v>
      </c>
      <c r="D261" s="120"/>
      <c r="E261" s="125" t="str">
        <f>AddressLine1</f>
        <v>1601 S Main St.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Bellefontaine, OH 43311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07" t="s">
        <v>192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169</v>
      </c>
      <c r="C267" s="136"/>
      <c r="D267" s="136"/>
      <c r="E267" s="136"/>
      <c r="F267" s="136"/>
      <c r="G267" s="136"/>
      <c r="H267" s="136"/>
      <c r="I267" s="17" t="s">
        <v>175</v>
      </c>
      <c r="J267" s="143" t="s">
        <v>170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60679.320511764708</v>
      </c>
      <c r="J268" s="143"/>
      <c r="K268" s="10"/>
    </row>
    <row r="269" spans="1:11" ht="18" x14ac:dyDescent="0.35">
      <c r="A269" s="10"/>
      <c r="B269" s="136" t="s">
        <v>157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7.6" x14ac:dyDescent="0.3">
      <c r="A270" s="10"/>
      <c r="B270" s="142" t="s">
        <v>137</v>
      </c>
      <c r="C270" s="142"/>
      <c r="D270" s="142"/>
      <c r="E270" s="142"/>
      <c r="F270" s="29" t="s">
        <v>136</v>
      </c>
      <c r="G270" s="143" t="s">
        <v>135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0</v>
      </c>
      <c r="G271" s="140">
        <f>'Input Form'!$D$19</f>
        <v>0</v>
      </c>
      <c r="H271" s="141"/>
      <c r="I271" s="20">
        <f>I$268*F271*G271</f>
        <v>0</v>
      </c>
      <c r="J271" s="30">
        <f>IFERROR((I271/I$276),0)</f>
        <v>0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0.25</v>
      </c>
      <c r="H272" s="141"/>
      <c r="I272" s="20">
        <f t="shared" ref="I272:I275" si="6">I$268*F272*G272</f>
        <v>151698.30127941177</v>
      </c>
      <c r="J272" s="30">
        <f t="shared" ref="J272:J278" si="7">IFERROR((I272/I$276),0)</f>
        <v>0.16666666666666666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15</v>
      </c>
      <c r="G273" s="140">
        <f>'Input Form'!$D$21</f>
        <v>0.5</v>
      </c>
      <c r="H273" s="141"/>
      <c r="I273" s="20">
        <f t="shared" si="6"/>
        <v>455094.9038382353</v>
      </c>
      <c r="J273" s="30">
        <f t="shared" si="7"/>
        <v>0.5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20</v>
      </c>
      <c r="G274" s="140">
        <f>'Input Form'!$D$22</f>
        <v>0.25</v>
      </c>
      <c r="H274" s="141"/>
      <c r="I274" s="20">
        <f t="shared" si="6"/>
        <v>303396.60255882354</v>
      </c>
      <c r="J274" s="30">
        <f t="shared" si="7"/>
        <v>0.33333333333333331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3">
      <c r="A276" s="10"/>
      <c r="B276" s="103" t="s">
        <v>138</v>
      </c>
      <c r="C276" s="103"/>
      <c r="D276" s="103"/>
      <c r="E276" s="103"/>
      <c r="F276" s="103"/>
      <c r="G276" s="103"/>
      <c r="H276" s="103"/>
      <c r="I276" s="20">
        <f>SUM(I271:I275)</f>
        <v>910189.80767647061</v>
      </c>
      <c r="J276" s="30">
        <f t="shared" si="7"/>
        <v>1</v>
      </c>
      <c r="K276" s="10"/>
    </row>
    <row r="277" spans="1:11" x14ac:dyDescent="0.3">
      <c r="A277" s="10"/>
      <c r="B277" s="103" t="s">
        <v>139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-16383.416538176469</v>
      </c>
      <c r="J277" s="30">
        <f t="shared" si="7"/>
        <v>-1.7999999999999999E-2</v>
      </c>
      <c r="K277" s="10"/>
    </row>
    <row r="278" spans="1:11" x14ac:dyDescent="0.3">
      <c r="A278" s="10"/>
      <c r="B278" s="103" t="s">
        <v>140</v>
      </c>
      <c r="C278" s="103"/>
      <c r="D278" s="103"/>
      <c r="E278" s="103"/>
      <c r="F278" s="103"/>
      <c r="G278" s="103"/>
      <c r="H278" s="103"/>
      <c r="I278" s="20">
        <f>I276+I277</f>
        <v>893806.39113829413</v>
      </c>
      <c r="J278" s="30">
        <f t="shared" si="7"/>
        <v>0.98199999999999998</v>
      </c>
      <c r="K278" s="10"/>
    </row>
    <row r="279" spans="1:11" ht="18" x14ac:dyDescent="0.35">
      <c r="A279" s="10"/>
      <c r="B279" s="136" t="s">
        <v>158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145</v>
      </c>
      <c r="C280" s="138"/>
      <c r="D280" s="138"/>
      <c r="E280" s="138"/>
      <c r="F280" s="138"/>
      <c r="G280" s="138"/>
      <c r="H280" s="139"/>
      <c r="I280" s="20">
        <f>$G$80*I278</f>
        <v>26814.191734148822</v>
      </c>
      <c r="J280" s="30">
        <f>IFERROR((I280/I$278),0)</f>
        <v>0.03</v>
      </c>
      <c r="K280" s="10"/>
    </row>
    <row r="281" spans="1:11" x14ac:dyDescent="0.3">
      <c r="A281" s="10"/>
      <c r="B281" s="137" t="s">
        <v>143</v>
      </c>
      <c r="C281" s="138"/>
      <c r="D281" s="138"/>
      <c r="E281" s="138"/>
      <c r="F281" s="138"/>
      <c r="G281" s="138"/>
      <c r="H281" s="139"/>
      <c r="I281" s="20">
        <f>$G$81*I278</f>
        <v>51396.84684508905</v>
      </c>
      <c r="J281" s="30">
        <f t="shared" ref="J281:J298" si="8">IFERROR((I281/I$278),0)</f>
        <v>5.7503333333333344E-2</v>
      </c>
      <c r="K281" s="10"/>
    </row>
    <row r="282" spans="1:11" x14ac:dyDescent="0.3">
      <c r="A282" s="10"/>
      <c r="B282" s="137" t="s">
        <v>146</v>
      </c>
      <c r="C282" s="138"/>
      <c r="D282" s="138"/>
      <c r="E282" s="138"/>
      <c r="F282" s="138"/>
      <c r="G282" s="138"/>
      <c r="H282" s="139"/>
      <c r="I282" s="20">
        <f>$G$82*I278</f>
        <v>8938.063911382942</v>
      </c>
      <c r="J282" s="30">
        <f t="shared" si="8"/>
        <v>0.01</v>
      </c>
      <c r="K282" s="10"/>
    </row>
    <row r="283" spans="1:11" x14ac:dyDescent="0.3">
      <c r="A283" s="10"/>
      <c r="B283" s="137" t="s">
        <v>152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1.3425726330640325E-2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0.18347060574399843</v>
      </c>
      <c r="K284" s="10"/>
    </row>
    <row r="285" spans="1:11" x14ac:dyDescent="0.3">
      <c r="A285" s="10"/>
      <c r="B285" s="137" t="s">
        <v>147</v>
      </c>
      <c r="C285" s="138"/>
      <c r="D285" s="138"/>
      <c r="E285" s="138"/>
      <c r="F285" s="138"/>
      <c r="G285" s="138"/>
      <c r="H285" s="139"/>
      <c r="I285" s="20">
        <f>$G$85*I278</f>
        <v>8938.063911382942</v>
      </c>
      <c r="J285" s="30">
        <f t="shared" si="8"/>
        <v>0.01</v>
      </c>
      <c r="K285" s="10"/>
    </row>
    <row r="286" spans="1:11" x14ac:dyDescent="0.3">
      <c r="A286" s="10"/>
      <c r="B286" s="137" t="s">
        <v>148</v>
      </c>
      <c r="C286" s="138"/>
      <c r="D286" s="138"/>
      <c r="E286" s="138"/>
      <c r="F286" s="138"/>
      <c r="G286" s="138"/>
      <c r="H286" s="139"/>
      <c r="I286" s="20">
        <f>$G$86*I278</f>
        <v>8938.063911382942</v>
      </c>
      <c r="J286" s="30">
        <f t="shared" si="8"/>
        <v>0.01</v>
      </c>
      <c r="K286" s="10"/>
    </row>
    <row r="287" spans="1:11" x14ac:dyDescent="0.3">
      <c r="A287" s="10"/>
      <c r="B287" s="137" t="s">
        <v>150</v>
      </c>
      <c r="C287" s="138"/>
      <c r="D287" s="138"/>
      <c r="E287" s="138"/>
      <c r="F287" s="138"/>
      <c r="G287" s="138"/>
      <c r="H287" s="139"/>
      <c r="I287" s="20">
        <f>$G$87*I278</f>
        <v>13407.095867074411</v>
      </c>
      <c r="J287" s="30">
        <f t="shared" si="8"/>
        <v>1.4999999999999999E-2</v>
      </c>
      <c r="K287" s="10"/>
    </row>
    <row r="288" spans="1:11" x14ac:dyDescent="0.3">
      <c r="A288" s="10"/>
      <c r="B288" s="137" t="s">
        <v>153</v>
      </c>
      <c r="C288" s="138"/>
      <c r="D288" s="138"/>
      <c r="E288" s="138"/>
      <c r="F288" s="138"/>
      <c r="G288" s="138"/>
      <c r="H288" s="139"/>
      <c r="I288" s="20">
        <f>$G$88*I278</f>
        <v>8938.063911382942</v>
      </c>
      <c r="J288" s="30">
        <f t="shared" si="8"/>
        <v>0.01</v>
      </c>
      <c r="K288" s="10"/>
    </row>
    <row r="289" spans="1:11" x14ac:dyDescent="0.3">
      <c r="A289" s="10"/>
      <c r="B289" s="137" t="s">
        <v>151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2.685145266128065E-2</v>
      </c>
      <c r="K289" s="10"/>
    </row>
    <row r="290" spans="1:11" x14ac:dyDescent="0.3">
      <c r="A290" s="10"/>
      <c r="B290" s="137" t="s">
        <v>149</v>
      </c>
      <c r="C290" s="138"/>
      <c r="D290" s="138"/>
      <c r="E290" s="138"/>
      <c r="F290" s="138"/>
      <c r="G290" s="138"/>
      <c r="H290" s="139"/>
      <c r="I290" s="20">
        <f>$G$90*I278</f>
        <v>8938.063911382942</v>
      </c>
      <c r="J290" s="30">
        <f t="shared" si="8"/>
        <v>0.01</v>
      </c>
      <c r="K290" s="10"/>
    </row>
    <row r="291" spans="1:11" x14ac:dyDescent="0.3">
      <c r="A291" s="10"/>
      <c r="B291" s="137" t="s">
        <v>144</v>
      </c>
      <c r="C291" s="138"/>
      <c r="D291" s="138"/>
      <c r="E291" s="138"/>
      <c r="F291" s="138"/>
      <c r="G291" s="138"/>
      <c r="H291" s="139"/>
      <c r="I291" s="20">
        <f>$G$91*I278</f>
        <v>71504.511291063536</v>
      </c>
      <c r="J291" s="30">
        <f t="shared" si="8"/>
        <v>0.08</v>
      </c>
      <c r="K291" s="10"/>
    </row>
    <row r="292" spans="1:11" x14ac:dyDescent="0.3">
      <c r="A292" s="10"/>
      <c r="B292" s="103" t="s">
        <v>154</v>
      </c>
      <c r="C292" s="103"/>
      <c r="D292" s="103"/>
      <c r="E292" s="103"/>
      <c r="F292" s="103"/>
      <c r="G292" s="103"/>
      <c r="H292" s="103"/>
      <c r="I292" s="20">
        <f>SUM(I280:I291)</f>
        <v>407800.1652942904</v>
      </c>
      <c r="J292" s="30">
        <f t="shared" si="8"/>
        <v>0.45625111806925261</v>
      </c>
      <c r="K292" s="10"/>
    </row>
    <row r="293" spans="1:11" x14ac:dyDescent="0.3">
      <c r="A293" s="10"/>
      <c r="B293" s="115" t="s">
        <v>159</v>
      </c>
      <c r="C293" s="115"/>
      <c r="D293" s="115"/>
      <c r="E293" s="115"/>
      <c r="F293" s="115"/>
      <c r="G293" s="115"/>
      <c r="H293" s="115"/>
      <c r="I293" s="24">
        <f>I278-I292</f>
        <v>486006.22584400373</v>
      </c>
      <c r="J293" s="30">
        <f t="shared" si="8"/>
        <v>0.54374888193074744</v>
      </c>
      <c r="K293" s="10"/>
    </row>
    <row r="294" spans="1:11" ht="18" x14ac:dyDescent="0.35">
      <c r="A294" s="10"/>
      <c r="B294" s="136" t="s">
        <v>171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172</v>
      </c>
      <c r="C295" s="138"/>
      <c r="D295" s="138"/>
      <c r="E295" s="138"/>
      <c r="F295" s="138"/>
      <c r="G295" s="138"/>
      <c r="H295" s="139"/>
      <c r="I295" s="20">
        <f>$I$130*12</f>
        <v>181980.04524017728</v>
      </c>
      <c r="J295" s="30">
        <f t="shared" si="8"/>
        <v>0.20360119041934713</v>
      </c>
      <c r="K295" s="10"/>
    </row>
    <row r="296" spans="1:11" x14ac:dyDescent="0.3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173</v>
      </c>
      <c r="C297" s="103"/>
      <c r="D297" s="103"/>
      <c r="E297" s="103"/>
      <c r="F297" s="103"/>
      <c r="G297" s="103"/>
      <c r="H297" s="103"/>
      <c r="I297" s="20">
        <f>I295+I296</f>
        <v>181980.04524017728</v>
      </c>
      <c r="J297" s="30">
        <f t="shared" si="8"/>
        <v>0.20360119041934713</v>
      </c>
      <c r="K297" s="10"/>
    </row>
    <row r="298" spans="1:11" x14ac:dyDescent="0.3">
      <c r="A298" s="10"/>
      <c r="B298" s="115" t="s">
        <v>195</v>
      </c>
      <c r="C298" s="115"/>
      <c r="D298" s="115"/>
      <c r="E298" s="115"/>
      <c r="F298" s="115"/>
      <c r="G298" s="115"/>
      <c r="H298" s="115"/>
      <c r="I298" s="24">
        <f>I293-I297</f>
        <v>304026.18060382642</v>
      </c>
      <c r="J298" s="30">
        <f t="shared" si="8"/>
        <v>0.34014769151140023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188</v>
      </c>
      <c r="D310" s="115"/>
      <c r="E310" s="116" t="str">
        <f>CustomerName</f>
        <v>Roger Beck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189</v>
      </c>
      <c r="D311" s="135"/>
      <c r="E311" s="116" t="str">
        <f>CompanyName</f>
        <v>Magic Tunnel Car Wash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130</v>
      </c>
      <c r="D312" s="120"/>
      <c r="E312" s="125" t="str">
        <f>AddressLine1</f>
        <v>1601 S Main St.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Bellefontaine, OH 43311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07" t="s">
        <v>193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169</v>
      </c>
      <c r="C318" s="136"/>
      <c r="D318" s="136"/>
      <c r="E318" s="136"/>
      <c r="F318" s="136"/>
      <c r="G318" s="136"/>
      <c r="H318" s="136"/>
      <c r="I318" s="17" t="s">
        <v>176</v>
      </c>
      <c r="J318" s="143" t="s">
        <v>170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62899.295652439025</v>
      </c>
      <c r="J319" s="143"/>
      <c r="K319" s="10"/>
    </row>
    <row r="320" spans="1:11" ht="18" x14ac:dyDescent="0.35">
      <c r="A320" s="10"/>
      <c r="B320" s="136" t="s">
        <v>157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7.6" x14ac:dyDescent="0.3">
      <c r="A321" s="10"/>
      <c r="B321" s="142" t="s">
        <v>137</v>
      </c>
      <c r="C321" s="142"/>
      <c r="D321" s="142"/>
      <c r="E321" s="142"/>
      <c r="F321" s="29" t="s">
        <v>136</v>
      </c>
      <c r="G321" s="143" t="s">
        <v>135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0</v>
      </c>
      <c r="G322" s="140">
        <f>'Input Form'!$D$19</f>
        <v>0</v>
      </c>
      <c r="H322" s="141"/>
      <c r="I322" s="20">
        <f>I$319*F322*G322</f>
        <v>0</v>
      </c>
      <c r="J322" s="30">
        <f>IFERROR((I322/I$327),0)</f>
        <v>0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0.25</v>
      </c>
      <c r="H323" s="141"/>
      <c r="I323" s="20">
        <f>I$319*F323*G323</f>
        <v>157248.23913109757</v>
      </c>
      <c r="J323" s="30">
        <f t="shared" ref="J323:J329" si="9">IFERROR((I323/I$327),0)</f>
        <v>0.16666666666666666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15</v>
      </c>
      <c r="G324" s="140">
        <f>'Input Form'!$D$21</f>
        <v>0.5</v>
      </c>
      <c r="H324" s="141"/>
      <c r="I324" s="20">
        <f>I$319*F324*G324</f>
        <v>471744.7173932927</v>
      </c>
      <c r="J324" s="30">
        <f t="shared" si="9"/>
        <v>0.5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20</v>
      </c>
      <c r="G325" s="140">
        <f>'Input Form'!$D$22</f>
        <v>0.25</v>
      </c>
      <c r="H325" s="141"/>
      <c r="I325" s="20">
        <f>I$319*F325*G325</f>
        <v>314496.47826219513</v>
      </c>
      <c r="J325" s="30">
        <f t="shared" si="9"/>
        <v>0.33333333333333331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3">
      <c r="A327" s="10"/>
      <c r="B327" s="103" t="s">
        <v>138</v>
      </c>
      <c r="C327" s="103"/>
      <c r="D327" s="103"/>
      <c r="E327" s="103"/>
      <c r="F327" s="103"/>
      <c r="G327" s="103"/>
      <c r="H327" s="103"/>
      <c r="I327" s="20">
        <f>SUM(I322:I326)</f>
        <v>943489.43478658539</v>
      </c>
      <c r="J327" s="30">
        <f t="shared" si="9"/>
        <v>1</v>
      </c>
      <c r="K327" s="10"/>
    </row>
    <row r="328" spans="1:11" x14ac:dyDescent="0.3">
      <c r="A328" s="10"/>
      <c r="B328" s="103" t="s">
        <v>139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-16982.809826158536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140</v>
      </c>
      <c r="C329" s="103"/>
      <c r="D329" s="103"/>
      <c r="E329" s="103"/>
      <c r="F329" s="103"/>
      <c r="G329" s="103"/>
      <c r="H329" s="103"/>
      <c r="I329" s="20">
        <f>I327+I328</f>
        <v>926506.62496042682</v>
      </c>
      <c r="J329" s="30">
        <f t="shared" si="9"/>
        <v>0.98199999999999998</v>
      </c>
      <c r="K329" s="10"/>
    </row>
    <row r="330" spans="1:11" ht="18" x14ac:dyDescent="0.35">
      <c r="A330" s="10"/>
      <c r="B330" s="136" t="s">
        <v>158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145</v>
      </c>
      <c r="C331" s="138"/>
      <c r="D331" s="138"/>
      <c r="E331" s="138"/>
      <c r="F331" s="138"/>
      <c r="G331" s="138"/>
      <c r="H331" s="139"/>
      <c r="I331" s="20">
        <f>$G$80*I329</f>
        <v>27795.198748812803</v>
      </c>
      <c r="J331" s="30">
        <f>IFERROR((I331/I$329),0)</f>
        <v>0.03</v>
      </c>
      <c r="K331" s="10"/>
    </row>
    <row r="332" spans="1:11" x14ac:dyDescent="0.3">
      <c r="A332" s="10"/>
      <c r="B332" s="137" t="s">
        <v>143</v>
      </c>
      <c r="C332" s="138"/>
      <c r="D332" s="138"/>
      <c r="E332" s="138"/>
      <c r="F332" s="138"/>
      <c r="G332" s="138"/>
      <c r="H332" s="139"/>
      <c r="I332" s="20">
        <f>$G$81*I329</f>
        <v>53277.219290641086</v>
      </c>
      <c r="J332" s="30">
        <f t="shared" ref="J332:J344" si="10">IFERROR((I332/I$329),0)</f>
        <v>5.7503333333333344E-2</v>
      </c>
      <c r="K332" s="10"/>
    </row>
    <row r="333" spans="1:11" x14ac:dyDescent="0.3">
      <c r="A333" s="10"/>
      <c r="B333" s="137" t="s">
        <v>146</v>
      </c>
      <c r="C333" s="138"/>
      <c r="D333" s="138"/>
      <c r="E333" s="138"/>
      <c r="F333" s="138"/>
      <c r="G333" s="138"/>
      <c r="H333" s="139"/>
      <c r="I333" s="20">
        <f>$G$82*I329</f>
        <v>9265.0662496042678</v>
      </c>
      <c r="J333" s="30">
        <f t="shared" si="10"/>
        <v>0.01</v>
      </c>
      <c r="K333" s="10"/>
    </row>
    <row r="334" spans="1:11" x14ac:dyDescent="0.3">
      <c r="A334" s="10"/>
      <c r="B334" s="137" t="s">
        <v>152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1.2951877166029489E-2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0.17699517260009259</v>
      </c>
      <c r="K335" s="10"/>
    </row>
    <row r="336" spans="1:11" x14ac:dyDescent="0.3">
      <c r="A336" s="10"/>
      <c r="B336" s="137" t="s">
        <v>147</v>
      </c>
      <c r="C336" s="138"/>
      <c r="D336" s="138"/>
      <c r="E336" s="138"/>
      <c r="F336" s="138"/>
      <c r="G336" s="138"/>
      <c r="H336" s="139"/>
      <c r="I336" s="20">
        <f>$G$85*I329</f>
        <v>9265.0662496042678</v>
      </c>
      <c r="J336" s="30">
        <f t="shared" si="10"/>
        <v>0.01</v>
      </c>
      <c r="K336" s="10"/>
    </row>
    <row r="337" spans="1:11" x14ac:dyDescent="0.3">
      <c r="A337" s="10"/>
      <c r="B337" s="137" t="s">
        <v>148</v>
      </c>
      <c r="C337" s="138"/>
      <c r="D337" s="138"/>
      <c r="E337" s="138"/>
      <c r="F337" s="138"/>
      <c r="G337" s="138"/>
      <c r="H337" s="139"/>
      <c r="I337" s="20">
        <f>$G$86*I329</f>
        <v>9265.0662496042678</v>
      </c>
      <c r="J337" s="30">
        <f t="shared" si="10"/>
        <v>0.01</v>
      </c>
      <c r="K337" s="10"/>
    </row>
    <row r="338" spans="1:11" x14ac:dyDescent="0.3">
      <c r="A338" s="10"/>
      <c r="B338" s="137" t="s">
        <v>150</v>
      </c>
      <c r="C338" s="138"/>
      <c r="D338" s="138"/>
      <c r="E338" s="138"/>
      <c r="F338" s="138"/>
      <c r="G338" s="138"/>
      <c r="H338" s="139"/>
      <c r="I338" s="20">
        <f>$G$87*I329</f>
        <v>13897.599374406402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153</v>
      </c>
      <c r="C339" s="138"/>
      <c r="D339" s="138"/>
      <c r="E339" s="138"/>
      <c r="F339" s="138"/>
      <c r="G339" s="138"/>
      <c r="H339" s="139"/>
      <c r="I339" s="20">
        <f>$G$88*I329</f>
        <v>9265.0662496042678</v>
      </c>
      <c r="J339" s="30">
        <f t="shared" si="10"/>
        <v>0.01</v>
      </c>
      <c r="K339" s="10"/>
    </row>
    <row r="340" spans="1:11" x14ac:dyDescent="0.3">
      <c r="A340" s="10"/>
      <c r="B340" s="137" t="s">
        <v>151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2.5903754332058979E-2</v>
      </c>
      <c r="K340" s="10"/>
    </row>
    <row r="341" spans="1:11" x14ac:dyDescent="0.3">
      <c r="A341" s="10"/>
      <c r="B341" s="137" t="s">
        <v>149</v>
      </c>
      <c r="C341" s="138"/>
      <c r="D341" s="138"/>
      <c r="E341" s="138"/>
      <c r="F341" s="138"/>
      <c r="G341" s="138"/>
      <c r="H341" s="139"/>
      <c r="I341" s="20">
        <f>$G$90*I329</f>
        <v>9265.0662496042678</v>
      </c>
      <c r="J341" s="30">
        <f t="shared" si="10"/>
        <v>0.01</v>
      </c>
      <c r="K341" s="10"/>
    </row>
    <row r="342" spans="1:11" x14ac:dyDescent="0.3">
      <c r="A342" s="10"/>
      <c r="B342" s="137" t="s">
        <v>144</v>
      </c>
      <c r="C342" s="138"/>
      <c r="D342" s="138"/>
      <c r="E342" s="138"/>
      <c r="F342" s="138"/>
      <c r="G342" s="138"/>
      <c r="H342" s="139"/>
      <c r="I342" s="20">
        <f>$G$91*I329</f>
        <v>74120.529996834142</v>
      </c>
      <c r="J342" s="30">
        <f t="shared" si="10"/>
        <v>0.08</v>
      </c>
      <c r="K342" s="10"/>
    </row>
    <row r="343" spans="1:11" x14ac:dyDescent="0.3">
      <c r="A343" s="10"/>
      <c r="B343" s="103" t="s">
        <v>154</v>
      </c>
      <c r="C343" s="103"/>
      <c r="D343" s="103"/>
      <c r="E343" s="103"/>
      <c r="F343" s="103"/>
      <c r="G343" s="103"/>
      <c r="H343" s="103"/>
      <c r="I343" s="20">
        <f>SUM(I331:I342)</f>
        <v>415403.07865871582</v>
      </c>
      <c r="J343" s="30">
        <f t="shared" si="10"/>
        <v>0.44835413743151442</v>
      </c>
      <c r="K343" s="10"/>
    </row>
    <row r="344" spans="1:11" x14ac:dyDescent="0.3">
      <c r="A344" s="10"/>
      <c r="B344" s="115" t="s">
        <v>159</v>
      </c>
      <c r="C344" s="115"/>
      <c r="D344" s="115"/>
      <c r="E344" s="115"/>
      <c r="F344" s="115"/>
      <c r="G344" s="115"/>
      <c r="H344" s="115"/>
      <c r="I344" s="24">
        <f>I329-I343</f>
        <v>511103.546301711</v>
      </c>
      <c r="J344" s="30">
        <f t="shared" si="10"/>
        <v>0.55164586256848558</v>
      </c>
      <c r="K344" s="10"/>
    </row>
    <row r="345" spans="1:11" ht="18" x14ac:dyDescent="0.35">
      <c r="A345" s="10"/>
      <c r="B345" s="136" t="s">
        <v>171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172</v>
      </c>
      <c r="C346" s="138"/>
      <c r="D346" s="138"/>
      <c r="E346" s="138"/>
      <c r="F346" s="138"/>
      <c r="G346" s="138"/>
      <c r="H346" s="139"/>
      <c r="I346" s="20">
        <f>$I$130*12</f>
        <v>181980.04524017728</v>
      </c>
      <c r="J346" s="30">
        <f t="shared" ref="J346:J349" si="11">IFERROR((I346/I$329),0)</f>
        <v>0.19641526605160547</v>
      </c>
      <c r="K346" s="10"/>
    </row>
    <row r="347" spans="1:11" x14ac:dyDescent="0.3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173</v>
      </c>
      <c r="C348" s="103"/>
      <c r="D348" s="103"/>
      <c r="E348" s="103"/>
      <c r="F348" s="103"/>
      <c r="G348" s="103"/>
      <c r="H348" s="103"/>
      <c r="I348" s="20">
        <f>I346+I347</f>
        <v>181980.04524017728</v>
      </c>
      <c r="J348" s="30">
        <f t="shared" si="11"/>
        <v>0.19641526605160547</v>
      </c>
      <c r="K348" s="10"/>
    </row>
    <row r="349" spans="1:11" x14ac:dyDescent="0.3">
      <c r="A349" s="10"/>
      <c r="B349" s="115" t="s">
        <v>195</v>
      </c>
      <c r="C349" s="115"/>
      <c r="D349" s="115"/>
      <c r="E349" s="115"/>
      <c r="F349" s="115"/>
      <c r="G349" s="115"/>
      <c r="H349" s="115"/>
      <c r="I349" s="24">
        <f>I344-I348</f>
        <v>329123.50106153369</v>
      </c>
      <c r="J349" s="30">
        <f t="shared" si="11"/>
        <v>0.35523059651688005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188</v>
      </c>
      <c r="D361" s="115"/>
      <c r="E361" s="116" t="str">
        <f>CustomerName</f>
        <v>Roger Beck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189</v>
      </c>
      <c r="D362" s="135"/>
      <c r="E362" s="116" t="str">
        <f>CompanyName</f>
        <v>Magic Tunnel Car Wash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130</v>
      </c>
      <c r="D363" s="120"/>
      <c r="E363" s="125" t="str">
        <f>AddressLine1</f>
        <v>1601 S Main St.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Bellefontaine, OH 43311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07" t="s">
        <v>194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169</v>
      </c>
      <c r="C369" s="136"/>
      <c r="D369" s="136"/>
      <c r="E369" s="136"/>
      <c r="F369" s="136"/>
      <c r="G369" s="136"/>
      <c r="H369" s="136"/>
      <c r="I369" s="17" t="s">
        <v>177</v>
      </c>
      <c r="J369" s="143" t="s">
        <v>170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67865.029519736854</v>
      </c>
      <c r="J370" s="143"/>
      <c r="K370" s="10"/>
    </row>
    <row r="371" spans="1:11" ht="18" x14ac:dyDescent="0.35">
      <c r="A371" s="10"/>
      <c r="B371" s="136" t="s">
        <v>157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7.6" x14ac:dyDescent="0.3">
      <c r="A372" s="10"/>
      <c r="B372" s="142" t="s">
        <v>137</v>
      </c>
      <c r="C372" s="142"/>
      <c r="D372" s="142"/>
      <c r="E372" s="142"/>
      <c r="F372" s="29" t="s">
        <v>136</v>
      </c>
      <c r="G372" s="143" t="s">
        <v>135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0</v>
      </c>
      <c r="G373" s="140">
        <f>'Input Form'!$D$19</f>
        <v>0</v>
      </c>
      <c r="H373" s="141"/>
      <c r="I373" s="20">
        <f>I$370*F373*G373</f>
        <v>0</v>
      </c>
      <c r="J373" s="30">
        <f>IFERROR((I373/I$378),0)</f>
        <v>0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0.25</v>
      </c>
      <c r="H374" s="141"/>
      <c r="I374" s="20">
        <f t="shared" ref="I374:I377" si="12">I$370*F374*G374</f>
        <v>169662.57379934215</v>
      </c>
      <c r="J374" s="30">
        <f t="shared" ref="J374:J380" si="13">IFERROR((I374/I$378),0)</f>
        <v>0.16666666666666666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15</v>
      </c>
      <c r="G375" s="140">
        <f>'Input Form'!$D$21</f>
        <v>0.5</v>
      </c>
      <c r="H375" s="141"/>
      <c r="I375" s="20">
        <f t="shared" si="12"/>
        <v>508987.72139802639</v>
      </c>
      <c r="J375" s="30">
        <f t="shared" si="13"/>
        <v>0.49999999999999994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20</v>
      </c>
      <c r="G376" s="140">
        <f>'Input Form'!$D$22</f>
        <v>0.25</v>
      </c>
      <c r="H376" s="141"/>
      <c r="I376" s="20">
        <f t="shared" si="12"/>
        <v>339325.1475986843</v>
      </c>
      <c r="J376" s="30">
        <f t="shared" si="13"/>
        <v>0.33333333333333331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3">
      <c r="A378" s="10"/>
      <c r="B378" s="103" t="s">
        <v>138</v>
      </c>
      <c r="C378" s="103"/>
      <c r="D378" s="103"/>
      <c r="E378" s="103"/>
      <c r="F378" s="103"/>
      <c r="G378" s="103"/>
      <c r="H378" s="103"/>
      <c r="I378" s="20">
        <f>SUM(I373:I377)</f>
        <v>1017975.4427960529</v>
      </c>
      <c r="J378" s="30">
        <f t="shared" si="13"/>
        <v>1</v>
      </c>
      <c r="K378" s="10"/>
    </row>
    <row r="379" spans="1:11" x14ac:dyDescent="0.3">
      <c r="A379" s="10"/>
      <c r="B379" s="103" t="s">
        <v>139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-18323.557970328951</v>
      </c>
      <c r="J379" s="30">
        <f t="shared" si="13"/>
        <v>-1.7999999999999999E-2</v>
      </c>
      <c r="K379" s="10"/>
    </row>
    <row r="380" spans="1:11" x14ac:dyDescent="0.3">
      <c r="A380" s="10"/>
      <c r="B380" s="103" t="s">
        <v>140</v>
      </c>
      <c r="C380" s="103"/>
      <c r="D380" s="103"/>
      <c r="E380" s="103"/>
      <c r="F380" s="103"/>
      <c r="G380" s="103"/>
      <c r="H380" s="103"/>
      <c r="I380" s="20">
        <f>I378+I379</f>
        <v>999651.88482572394</v>
      </c>
      <c r="J380" s="30">
        <f t="shared" si="13"/>
        <v>0.98199999999999998</v>
      </c>
      <c r="K380" s="10"/>
    </row>
    <row r="381" spans="1:11" ht="18" x14ac:dyDescent="0.35">
      <c r="A381" s="10"/>
      <c r="B381" s="136" t="s">
        <v>158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145</v>
      </c>
      <c r="C382" s="138"/>
      <c r="D382" s="138"/>
      <c r="E382" s="138"/>
      <c r="F382" s="138"/>
      <c r="G382" s="138"/>
      <c r="H382" s="139"/>
      <c r="I382" s="20">
        <f>$G$80*I380</f>
        <v>29989.556544771716</v>
      </c>
      <c r="J382" s="30">
        <f>IFERROR((I382/I$380),0)</f>
        <v>0.03</v>
      </c>
      <c r="K382" s="10"/>
    </row>
    <row r="383" spans="1:11" x14ac:dyDescent="0.3">
      <c r="A383" s="10"/>
      <c r="B383" s="137" t="s">
        <v>143</v>
      </c>
      <c r="C383" s="138"/>
      <c r="D383" s="138"/>
      <c r="E383" s="138"/>
      <c r="F383" s="138"/>
      <c r="G383" s="138"/>
      <c r="H383" s="139"/>
      <c r="I383" s="20">
        <f>$G$81*I380</f>
        <v>57483.315550428553</v>
      </c>
      <c r="J383" s="30">
        <f t="shared" ref="J383:J395" si="14">IFERROR((I383/I$380),0)</f>
        <v>5.7503333333333344E-2</v>
      </c>
      <c r="K383" s="10"/>
    </row>
    <row r="384" spans="1:11" x14ac:dyDescent="0.3">
      <c r="A384" s="10"/>
      <c r="B384" s="137" t="s">
        <v>146</v>
      </c>
      <c r="C384" s="138"/>
      <c r="D384" s="138"/>
      <c r="E384" s="138"/>
      <c r="F384" s="138"/>
      <c r="G384" s="138"/>
      <c r="H384" s="139"/>
      <c r="I384" s="20">
        <f>$G$82*I380</f>
        <v>9996.5188482572394</v>
      </c>
      <c r="J384" s="30">
        <f t="shared" si="14"/>
        <v>0.01</v>
      </c>
      <c r="K384" s="10"/>
    </row>
    <row r="385" spans="1:11" x14ac:dyDescent="0.3">
      <c r="A385" s="10"/>
      <c r="B385" s="137" t="s">
        <v>152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1.2004178836807817E-2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0.1640443063122809</v>
      </c>
      <c r="K386" s="10"/>
    </row>
    <row r="387" spans="1:11" x14ac:dyDescent="0.3">
      <c r="A387" s="10"/>
      <c r="B387" s="137" t="s">
        <v>147</v>
      </c>
      <c r="C387" s="138"/>
      <c r="D387" s="138"/>
      <c r="E387" s="138"/>
      <c r="F387" s="138"/>
      <c r="G387" s="138"/>
      <c r="H387" s="139"/>
      <c r="I387" s="20">
        <f>$G$85*I380</f>
        <v>9996.5188482572394</v>
      </c>
      <c r="J387" s="30">
        <f t="shared" si="14"/>
        <v>0.01</v>
      </c>
      <c r="K387" s="10"/>
    </row>
    <row r="388" spans="1:11" x14ac:dyDescent="0.3">
      <c r="A388" s="10"/>
      <c r="B388" s="137" t="s">
        <v>148</v>
      </c>
      <c r="C388" s="138"/>
      <c r="D388" s="138"/>
      <c r="E388" s="138"/>
      <c r="F388" s="138"/>
      <c r="G388" s="138"/>
      <c r="H388" s="139"/>
      <c r="I388" s="20">
        <f>$G$86*I380</f>
        <v>9996.5188482572394</v>
      </c>
      <c r="J388" s="30">
        <f t="shared" si="14"/>
        <v>0.01</v>
      </c>
      <c r="K388" s="10"/>
    </row>
    <row r="389" spans="1:11" x14ac:dyDescent="0.3">
      <c r="A389" s="10"/>
      <c r="B389" s="137" t="s">
        <v>150</v>
      </c>
      <c r="C389" s="138"/>
      <c r="D389" s="138"/>
      <c r="E389" s="138"/>
      <c r="F389" s="138"/>
      <c r="G389" s="138"/>
      <c r="H389" s="139"/>
      <c r="I389" s="20">
        <f>$G$87*I380</f>
        <v>14994.778272385858</v>
      </c>
      <c r="J389" s="30">
        <f t="shared" si="14"/>
        <v>1.4999999999999999E-2</v>
      </c>
      <c r="K389" s="10"/>
    </row>
    <row r="390" spans="1:11" x14ac:dyDescent="0.3">
      <c r="A390" s="10"/>
      <c r="B390" s="137" t="s">
        <v>153</v>
      </c>
      <c r="C390" s="138"/>
      <c r="D390" s="138"/>
      <c r="E390" s="138"/>
      <c r="F390" s="138"/>
      <c r="G390" s="138"/>
      <c r="H390" s="139"/>
      <c r="I390" s="20">
        <f>$G$88*I380</f>
        <v>9996.5188482572394</v>
      </c>
      <c r="J390" s="30">
        <f t="shared" si="14"/>
        <v>0.01</v>
      </c>
      <c r="K390" s="10"/>
    </row>
    <row r="391" spans="1:11" x14ac:dyDescent="0.3">
      <c r="A391" s="10"/>
      <c r="B391" s="137" t="s">
        <v>151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2.4008357673615633E-2</v>
      </c>
      <c r="K391" s="10"/>
    </row>
    <row r="392" spans="1:11" x14ac:dyDescent="0.3">
      <c r="A392" s="10"/>
      <c r="B392" s="137" t="s">
        <v>149</v>
      </c>
      <c r="C392" s="138"/>
      <c r="D392" s="138"/>
      <c r="E392" s="138"/>
      <c r="F392" s="138"/>
      <c r="G392" s="138"/>
      <c r="H392" s="139"/>
      <c r="I392" s="20">
        <f>$G$90*I380</f>
        <v>9996.5188482572394</v>
      </c>
      <c r="J392" s="30">
        <f t="shared" si="14"/>
        <v>0.01</v>
      </c>
      <c r="K392" s="10"/>
    </row>
    <row r="393" spans="1:11" x14ac:dyDescent="0.3">
      <c r="A393" s="10"/>
      <c r="B393" s="137" t="s">
        <v>144</v>
      </c>
      <c r="C393" s="138"/>
      <c r="D393" s="138"/>
      <c r="E393" s="138"/>
      <c r="F393" s="138"/>
      <c r="G393" s="138"/>
      <c r="H393" s="139"/>
      <c r="I393" s="20">
        <f>$G$91*I380</f>
        <v>79972.150786057915</v>
      </c>
      <c r="J393" s="30">
        <f t="shared" si="14"/>
        <v>0.08</v>
      </c>
      <c r="K393" s="10"/>
    </row>
    <row r="394" spans="1:11" x14ac:dyDescent="0.3">
      <c r="A394" s="10"/>
      <c r="B394" s="103" t="s">
        <v>154</v>
      </c>
      <c r="C394" s="103"/>
      <c r="D394" s="103"/>
      <c r="E394" s="103"/>
      <c r="F394" s="103"/>
      <c r="G394" s="103"/>
      <c r="H394" s="103"/>
      <c r="I394" s="20">
        <f>SUM(I382:I393)</f>
        <v>432409.59539493034</v>
      </c>
      <c r="J394" s="30">
        <f t="shared" si="14"/>
        <v>0.43256017615603776</v>
      </c>
      <c r="K394" s="10"/>
    </row>
    <row r="395" spans="1:11" x14ac:dyDescent="0.3">
      <c r="A395" s="10"/>
      <c r="B395" s="115" t="s">
        <v>159</v>
      </c>
      <c r="C395" s="115"/>
      <c r="D395" s="115"/>
      <c r="E395" s="115"/>
      <c r="F395" s="115"/>
      <c r="G395" s="115"/>
      <c r="H395" s="115"/>
      <c r="I395" s="24">
        <f>I380-I394</f>
        <v>567242.28943079361</v>
      </c>
      <c r="J395" s="30">
        <f t="shared" si="14"/>
        <v>0.56743982384396219</v>
      </c>
      <c r="K395" s="10"/>
    </row>
    <row r="396" spans="1:11" ht="18" x14ac:dyDescent="0.35">
      <c r="A396" s="10"/>
      <c r="B396" s="136" t="s">
        <v>171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172</v>
      </c>
      <c r="C397" s="138"/>
      <c r="D397" s="138"/>
      <c r="E397" s="138"/>
      <c r="F397" s="138"/>
      <c r="G397" s="138"/>
      <c r="H397" s="139"/>
      <c r="I397" s="20">
        <f>$I$130*12</f>
        <v>181980.04524017728</v>
      </c>
      <c r="J397" s="30">
        <f t="shared" ref="J397:J400" si="15">IFERROR((I397/I$380),0)</f>
        <v>0.18204341731612209</v>
      </c>
      <c r="K397" s="10"/>
    </row>
    <row r="398" spans="1:11" x14ac:dyDescent="0.3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173</v>
      </c>
      <c r="C399" s="103"/>
      <c r="D399" s="103"/>
      <c r="E399" s="103"/>
      <c r="F399" s="103"/>
      <c r="G399" s="103"/>
      <c r="H399" s="103"/>
      <c r="I399" s="20">
        <f>I397+I398</f>
        <v>181980.04524017728</v>
      </c>
      <c r="J399" s="30">
        <f t="shared" si="15"/>
        <v>0.18204341731612209</v>
      </c>
      <c r="K399" s="10"/>
    </row>
    <row r="400" spans="1:11" x14ac:dyDescent="0.3">
      <c r="A400" s="10"/>
      <c r="B400" s="115" t="s">
        <v>195</v>
      </c>
      <c r="C400" s="115"/>
      <c r="D400" s="115"/>
      <c r="E400" s="115"/>
      <c r="F400" s="115"/>
      <c r="G400" s="115"/>
      <c r="H400" s="115"/>
      <c r="I400" s="24">
        <f>I395-I399</f>
        <v>385262.2441906163</v>
      </c>
      <c r="J400" s="30">
        <f t="shared" si="15"/>
        <v>0.38539640652784013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188</v>
      </c>
      <c r="D412" s="115"/>
      <c r="E412" s="116" t="str">
        <f>CustomerName</f>
        <v>Roger Beck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189</v>
      </c>
      <c r="D413" s="135"/>
      <c r="E413" s="116" t="str">
        <f>CompanyName</f>
        <v>Magic Tunnel Car Wash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130</v>
      </c>
      <c r="D414" s="120"/>
      <c r="E414" s="125" t="str">
        <f>AddressLine1</f>
        <v>1601 S Main St.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Bellefontaine, OH 43311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07" t="s">
        <v>178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179</v>
      </c>
      <c r="C420" s="103"/>
      <c r="D420" s="103"/>
      <c r="E420" s="103"/>
      <c r="F420" s="103"/>
      <c r="G420" s="103"/>
      <c r="H420" s="103"/>
      <c r="I420" s="104">
        <f>'Input Form'!E86</f>
        <v>540000</v>
      </c>
      <c r="J420" s="105"/>
      <c r="K420" s="10"/>
    </row>
    <row r="421" spans="1:11" x14ac:dyDescent="0.3">
      <c r="A421" s="10"/>
      <c r="B421" s="103" t="s">
        <v>180</v>
      </c>
      <c r="C421" s="103"/>
      <c r="D421" s="103"/>
      <c r="E421" s="103"/>
      <c r="F421" s="103"/>
      <c r="G421" s="103"/>
      <c r="H421" s="103"/>
      <c r="I421" s="110">
        <f>IFERROR((I196/I420),0)</f>
        <v>0.18190398676041702</v>
      </c>
      <c r="J421" s="111"/>
      <c r="K421" s="10"/>
    </row>
    <row r="422" spans="1:11" x14ac:dyDescent="0.3">
      <c r="A422" s="10"/>
      <c r="B422" s="103" t="s">
        <v>181</v>
      </c>
      <c r="C422" s="103"/>
      <c r="D422" s="103"/>
      <c r="E422" s="103"/>
      <c r="F422" s="103"/>
      <c r="G422" s="103"/>
      <c r="H422" s="103"/>
      <c r="I422" s="106">
        <f>IFERROR((I247/I420),0)</f>
        <v>0.46635375673599044</v>
      </c>
      <c r="J422" s="106"/>
      <c r="K422" s="10"/>
    </row>
    <row r="423" spans="1:11" x14ac:dyDescent="0.3">
      <c r="A423" s="10"/>
      <c r="B423" s="103" t="s">
        <v>182</v>
      </c>
      <c r="C423" s="103"/>
      <c r="D423" s="103"/>
      <c r="E423" s="103"/>
      <c r="F423" s="103"/>
      <c r="G423" s="103"/>
      <c r="H423" s="103"/>
      <c r="I423" s="106">
        <f>IFERROR((I298/I420),0)</f>
        <v>0.56301144556264149</v>
      </c>
      <c r="J423" s="106"/>
      <c r="K423" s="10"/>
    </row>
    <row r="424" spans="1:11" x14ac:dyDescent="0.3">
      <c r="A424" s="10"/>
      <c r="B424" s="103" t="s">
        <v>183</v>
      </c>
      <c r="C424" s="103"/>
      <c r="D424" s="103"/>
      <c r="E424" s="103"/>
      <c r="F424" s="103"/>
      <c r="G424" s="103"/>
      <c r="H424" s="103"/>
      <c r="I424" s="106">
        <f>IFERROR((I349/I420),0)</f>
        <v>0.60948796492876611</v>
      </c>
      <c r="J424" s="106"/>
      <c r="K424" s="10"/>
    </row>
    <row r="425" spans="1:11" x14ac:dyDescent="0.3">
      <c r="A425" s="10"/>
      <c r="B425" s="103" t="s">
        <v>184</v>
      </c>
      <c r="C425" s="103"/>
      <c r="D425" s="103"/>
      <c r="E425" s="103"/>
      <c r="F425" s="103"/>
      <c r="G425" s="103"/>
      <c r="H425" s="103"/>
      <c r="I425" s="106">
        <f>IFERROR((I400/I420),0)</f>
        <v>0.71344860035299318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4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185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5.7500000000000002E-2</v>
      </c>
      <c r="J428" s="108"/>
      <c r="K428" s="10"/>
    </row>
    <row r="429" spans="1:11" x14ac:dyDescent="0.3">
      <c r="A429" s="10"/>
      <c r="B429" s="103" t="s">
        <v>186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187</v>
      </c>
      <c r="C430" s="103"/>
      <c r="D430" s="103"/>
      <c r="E430" s="103"/>
      <c r="F430" s="103"/>
      <c r="G430" s="103"/>
      <c r="H430" s="103"/>
      <c r="I430" s="104">
        <f>'Input Form'!B86</f>
        <v>2700000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2019-01-17T18:11:15Z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