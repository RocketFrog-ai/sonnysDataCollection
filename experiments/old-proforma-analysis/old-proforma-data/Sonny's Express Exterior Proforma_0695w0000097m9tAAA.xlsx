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Rob Gallaher\2019\"/>
    </mc:Choice>
  </mc:AlternateContent>
  <xr:revisionPtr revIDLastSave="0" documentId="13_ncr:1_{80E9E9EE-FA4D-4F8D-ABC3-A84B040FD1F3}" xr6:coauthVersionLast="45" xr6:coauthVersionMax="45" xr10:uidLastSave="{00000000-0000-0000-0000-000000000000}"/>
  <workbookProtection workbookPassword="FB8D" lockStructure="1"/>
  <bookViews>
    <workbookView xWindow="574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<sst xmlns="http://schemas.openxmlformats.org/spreadsheetml/2006/main" count="434" uniqueCount="202">
  <si>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</si>
  <si>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</si>
  <si>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</si>
  <si>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</si>
  <si>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</si>
  <si>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</si>
  <si>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</si>
  <si>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</si>
  <si>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</si>
  <si>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</si>
  <si>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</si>
  <si>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</si>
  <si>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</si>
  <si>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</si>
  <si>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</si>
  <si>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</si>
  <si>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</si>
  <si>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</si>
  <si>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</si>
  <si>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</si>
  <si>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</si>
  <si>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</si>
  <si>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</si>
  <si>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</si>
  <si>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</si>
  <si>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</si>
  <si>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</si>
  <si>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</si>
  <si>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</si>
  <si>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</si>
  <si>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</si>
  <si>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</si>
  <si>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</si>
  <si>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</si>
  <si>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</si>
  <si>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</si>
  <si>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</si>
  <si>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</si>
  <si>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</si>
  <si>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</si>
  <si>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</si>
  <si>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</si>
  <si>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</si>
  <si>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</si>
  <si>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</si>
  <si>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</si>
  <si>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</si>
  <si>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</si>
  <si>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</si>
  <si>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</si>
  <si>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</si>
  <si>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</si>
  <si>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</si>
  <si>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</si>
  <si>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</si>
  <si>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</si>
  <si>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</si>
  <si>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</si>
  <si>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</si>
  <si>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</si>
  <si>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</si>
  <si>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</si>
  <si>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</si>
  <si>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</si>
  <si>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</si>
  <si>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</si>
  <si>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</si>
  <si>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</si>
  <si>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</si>
  <si>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</si>
  <si>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</si>
  <si>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</si>
  <si>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</si>
  <si>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</si>
  <si>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</si>
  <si>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</si>
  <si>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</si>
  <si>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</si>
  <si>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</si>
  <si>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</si>
  <si>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</si>
  <si>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</si>
  <si>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</si>
  <si>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</si>
  <si>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</si>
  <si>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</si>
  <si>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</si>
  <si>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</si>
  <si>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</si>
  <si>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</si>
  <si>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</si>
  <si>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</si>
  <si>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</si>
  <si>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</si>
  <si>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</si>
  <si>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</si>
  <si>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</si>
  <si>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</si>
  <si>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</si>
  <si>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</si>
  <si>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</si>
  <si>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</si>
  <si>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</si>
  <si>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</si>
  <si>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</si>
  <si>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</si>
  <si>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</si>
  <si>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</si>
  <si>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</si>
  <si>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</si>
  <si>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</si>
  <si>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</si>
  <si>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</si>
  <si>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</si>
  <si>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</si>
  <si>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</si>
  <si>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</si>
  <si>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</si>
  <si>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</si>
  <si>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</si>
  <si>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</si>
  <si>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</si>
  <si>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</si>
  <si>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</si>
  <si>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</si>
  <si>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</si>
  <si>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</si>
  <si>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</si>
  <si>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</si>
  <si>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</si>
  <si>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</si>
  <si>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</si>
  <si>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</si>
  <si>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</si>
  <si>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</si>
  <si>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</si>
  <si>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</si>
  <si>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</si>
  <si>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</si>
  <si>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</si>
  <si>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</si>
  <si>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</si>
  <si>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</si>
  <si>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</si>
  <si>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</si>
  <si>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</si>
  <si>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</si>
  <si>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</si>
  <si>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</si>
  <si>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</si>
  <si>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</si>
  <si>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</si>
  <si>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</si>
  <si>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</si>
  <si>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</si>
  <si>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</si>
  <si>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</si>
  <si>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</si>
  <si>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</si>
  <si>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</si>
  <si>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</si>
  <si>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</si>
  <si>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</si>
  <si>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</si>
  <si>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</si>
  <si>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</si>
  <si>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</si>
  <si>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</si>
  <si>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</si>
  <si>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</si>
  <si>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</si>
  <si>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</si>
  <si>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</si>
  <si>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</si>
  <si>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</si>
  <si>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</si>
  <si>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</si>
  <si>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</si>
  <si>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</si>
  <si>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</si>
  <si>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</si>
  <si>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</si>
  <si>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</si>
  <si>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</si>
  <si>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</si>
  <si>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</si>
  <si>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</si>
  <si>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</si>
  <si>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</si>
  <si>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</si>
  <si>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</si>
  <si>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</si>
  <si>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</si>
  <si>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</si>
  <si>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</si>
  <si>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</si>
  <si>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</si>
  <si>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</si>
  <si>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Rob Gallaher</t>
  </si>
  <si>
    <t>Extreme Express Car Wash</t>
  </si>
  <si>
    <t>655 W San Carlos St.</t>
  </si>
  <si>
    <t>San Jose, CA 95126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</si>
</sst>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8</xdr:col>
      <xdr:colOff>307730</xdr:colOff>
      <xdr:row>38</xdr:row>
      <xdr:rowOff>85891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B45D59-7E76-4E61-BBA7-D298F1FCA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4" y="5876192"/>
          <a:ext cx="3663461" cy="891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2" zoomScaleNormal="100" workbookViewId="0">
      <selection activeCell="H51" sqref="H5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0</v>
      </c>
      <c r="C19" s="48">
        <v>0.309</v>
      </c>
      <c r="D19" s="45">
        <v>0</v>
      </c>
      <c r="E19" s="34"/>
      <c r="F19" s="34"/>
    </row>
    <row r="20" spans="1:8" ht="15.75" x14ac:dyDescent="0.25">
      <c r="A20" s="43" t="s">
        <v>28</v>
      </c>
      <c r="B20" s="47">
        <v>12</v>
      </c>
      <c r="C20" s="48">
        <v>0.60519999999999996</v>
      </c>
      <c r="D20" s="45">
        <v>0.5</v>
      </c>
      <c r="E20" s="34"/>
      <c r="F20" s="34"/>
    </row>
    <row r="21" spans="1:8" ht="15.75" x14ac:dyDescent="0.25">
      <c r="A21" s="43" t="s">
        <v>29</v>
      </c>
      <c r="B21" s="47">
        <v>18</v>
      </c>
      <c r="C21" s="48">
        <v>0.74399999999999999</v>
      </c>
      <c r="D21" s="45">
        <v>0.25</v>
      </c>
      <c r="E21" s="34"/>
      <c r="F21" s="34"/>
    </row>
    <row r="22" spans="1:8" ht="15.75" x14ac:dyDescent="0.25">
      <c r="A22" s="43" t="s">
        <v>30</v>
      </c>
      <c r="B22" s="47">
        <v>25</v>
      </c>
      <c r="C22" s="48">
        <v>1.357</v>
      </c>
      <c r="D22" s="45">
        <v>0.25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28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29</v>
      </c>
      <c r="B29" s="47">
        <v>18</v>
      </c>
      <c r="C29" s="47">
        <v>18</v>
      </c>
      <c r="D29" s="47">
        <v>18</v>
      </c>
      <c r="E29" s="47">
        <v>18</v>
      </c>
      <c r="F29" s="34"/>
    </row>
    <row r="30" spans="1:8" ht="15.75" x14ac:dyDescent="0.25">
      <c r="A30" s="43" t="s">
        <v>30</v>
      </c>
      <c r="B30" s="47">
        <v>25</v>
      </c>
      <c r="C30" s="47">
        <v>25</v>
      </c>
      <c r="D30" s="47">
        <v>25</v>
      </c>
      <c r="E30" s="47">
        <v>25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/>
      <c r="D45" s="50">
        <v>1</v>
      </c>
      <c r="E45" s="50">
        <v>1</v>
      </c>
      <c r="F45" s="51">
        <f>IF(B45=1,0.15,IF(C45=1,0.125,IF(D45=1,0.075,IF(E45=1,0.05,0))))</f>
        <v>7.4999999999999997E-2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1.1000000000000001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0.53800000000000003</v>
      </c>
      <c r="F58" s="61">
        <f>-0.3*(0.55-E58)</f>
        <v>-3.6000000000000029E-3</v>
      </c>
    </row>
    <row r="59" spans="1:8" ht="15.75" x14ac:dyDescent="0.25">
      <c r="A59" s="83" t="s">
        <v>3</v>
      </c>
      <c r="B59" s="84"/>
      <c r="C59" s="84"/>
      <c r="D59" s="85"/>
      <c r="E59" s="45">
        <v>0.78100000000000003</v>
      </c>
      <c r="F59" s="61">
        <f>-0.75*(0.5-E59)</f>
        <v>0.21075000000000002</v>
      </c>
    </row>
    <row r="60" spans="1:8" ht="15.75" x14ac:dyDescent="0.25">
      <c r="A60" s="83" t="s">
        <v>4</v>
      </c>
      <c r="B60" s="84"/>
      <c r="C60" s="84"/>
      <c r="D60" s="85"/>
      <c r="E60" s="47">
        <v>12</v>
      </c>
      <c r="F60" s="62">
        <f>IF(E60&lt;5.01,0.5*(5-E60),-0.075*(E60-5))</f>
        <v>-0.52500000000000002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-7.9462499999999991E-2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8.3389867647058833E-3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1.1006426630434784E-2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1.332356907894737E-2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34673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86741.306427794116</v>
      </c>
      <c r="C74" s="68">
        <f>F65*A70*300</f>
        <v>114487.74916711959</v>
      </c>
      <c r="D74" s="68">
        <f>($F$54*(1+$F$61))/85*($A$70*(1+B$70))*300</f>
        <v>125155.31356010295</v>
      </c>
      <c r="E74" s="68">
        <f>($F$54*(1+$F$61))/82*($A$70*(1+C$70))*300</f>
        <v>129734.16649522868</v>
      </c>
      <c r="F74" s="68">
        <f>F66*(A70*(1+D70)*300)</f>
        <v>139976.33753432569</v>
      </c>
    </row>
    <row r="75" spans="1:6" ht="15.75" x14ac:dyDescent="0.25">
      <c r="A75" s="35" t="s">
        <v>106</v>
      </c>
      <c r="B75" s="68">
        <f>B74/12</f>
        <v>7228.442202316176</v>
      </c>
      <c r="C75" s="68">
        <f>C74/12</f>
        <v>9540.6457639266318</v>
      </c>
      <c r="D75" s="68">
        <f t="shared" ref="D75:F75" si="0">D74/12</f>
        <v>10429.609463341912</v>
      </c>
      <c r="E75" s="68">
        <f t="shared" si="0"/>
        <v>10811.180541269057</v>
      </c>
      <c r="F75" s="68">
        <f t="shared" si="0"/>
        <v>11664.69479452714</v>
      </c>
    </row>
    <row r="76" spans="1:6" ht="15.75" x14ac:dyDescent="0.25">
      <c r="A76" s="35" t="s">
        <v>107</v>
      </c>
      <c r="B76" s="68">
        <f>B75/4.5/7*3</f>
        <v>688.42306688725489</v>
      </c>
      <c r="C76" s="68">
        <f t="shared" ref="C76:F76" si="1">C75/4.5/7*3</f>
        <v>908.63292989777437</v>
      </c>
      <c r="D76" s="68">
        <f t="shared" si="1"/>
        <v>993.29613936589647</v>
      </c>
      <c r="E76" s="68">
        <f t="shared" si="1"/>
        <v>1029.6362420256246</v>
      </c>
      <c r="F76" s="68">
        <f t="shared" si="1"/>
        <v>1110.9233137644896</v>
      </c>
    </row>
    <row r="77" spans="1:6" ht="15.75" x14ac:dyDescent="0.25">
      <c r="A77" s="35" t="s">
        <v>108</v>
      </c>
      <c r="B77" s="68">
        <f>IFERROR((B76/$B9*1.3),0)</f>
        <v>74.579165579452606</v>
      </c>
      <c r="C77" s="68">
        <f t="shared" ref="C77:F77" si="2">IFERROR((C76/$B9*1.3),0)</f>
        <v>98.435234072258893</v>
      </c>
      <c r="D77" s="68">
        <f t="shared" si="2"/>
        <v>107.60708176463879</v>
      </c>
      <c r="E77" s="68">
        <f t="shared" si="2"/>
        <v>111.54392621944267</v>
      </c>
      <c r="F77" s="68">
        <f t="shared" si="2"/>
        <v>120.35002565781973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25" zoomScale="130" zoomScaleNormal="100" zoomScalePageLayoutView="130" workbookViewId="0">
      <selection activeCell="D34" sqref="D34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Rob Gallaher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Extreme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655 W San Carlos St.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San Jose, CA 95126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Rob Gallaher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Extreme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655 W San Carlos St.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San Jose, CA 95126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1323.4461554453248</v>
      </c>
      <c r="J65" s="18">
        <f>'Input Form'!B75</f>
        <v>7228.442202316176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12</v>
      </c>
      <c r="G70" s="139">
        <f>'Input Form'!D20</f>
        <v>0.5</v>
      </c>
      <c r="H70" s="140"/>
      <c r="I70" s="20">
        <f>IFERROR((I$65*G70*F70),0)</f>
        <v>7940.6769326719495</v>
      </c>
      <c r="J70" s="20">
        <f t="shared" ref="J70:J73" si="0">J$65*F70*G70</f>
        <v>43370.653213897058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18</v>
      </c>
      <c r="G71" s="139">
        <f>'Input Form'!D21</f>
        <v>0.25</v>
      </c>
      <c r="H71" s="140"/>
      <c r="I71" s="20">
        <f>IFERROR((I$65*G71*F71),0)</f>
        <v>5955.5076995039617</v>
      </c>
      <c r="J71" s="20">
        <f t="shared" si="0"/>
        <v>32527.989910422792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25</v>
      </c>
      <c r="G72" s="139">
        <f>'Input Form'!D22</f>
        <v>0.25</v>
      </c>
      <c r="H72" s="140"/>
      <c r="I72" s="20">
        <f t="shared" ref="I72:I73" si="1">I$65*G72*F72</f>
        <v>8271.5384715332802</v>
      </c>
      <c r="J72" s="20">
        <f t="shared" si="0"/>
        <v>45177.763764476098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22167.723103709191</v>
      </c>
      <c r="J74" s="20">
        <f>SUM(J69:J73)</f>
        <v>121076.40688879594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-399.01901586676541</v>
      </c>
      <c r="J75" s="20">
        <f>-(J74*$F75*$G75)</f>
        <v>-2179.3753239983266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21768.704087842427</v>
      </c>
      <c r="J76" s="20">
        <f>SUM(J74:J75)</f>
        <v>118897.03156479762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16.448499999999999</v>
      </c>
      <c r="J77" s="22">
        <f>J76/(J65+0.000000001)</f>
        <v>16.448499999997725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653.0611226352728</v>
      </c>
      <c r="J80" s="20">
        <f>$G80*J76</f>
        <v>3566.9109469439286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4.9423880597014927E-2</v>
      </c>
      <c r="H81" s="131"/>
      <c r="I81" s="20">
        <f>G81*I76</f>
        <v>1075.8938315892749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5984.0658771874459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217.68704087842428</v>
      </c>
      <c r="J82" s="20">
        <f>$G82*J76</f>
        <v>1188.9703156479763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4.5110632035667932E-2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0.61646385314662366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217.68704087842428</v>
      </c>
      <c r="J85" s="20">
        <f>$G85*J76</f>
        <v>1188.9703156479763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217.68704087842428</v>
      </c>
      <c r="J86" s="20">
        <f>$G86*J76</f>
        <v>1188.9703156479763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326.5305613176364</v>
      </c>
      <c r="J87" s="20">
        <f>$G87*J76</f>
        <v>1783.4554734719643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217.68704087842428</v>
      </c>
      <c r="J88" s="20">
        <f>$G88*J76</f>
        <v>1188.9703156479763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9.0221264071335863E-2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217.68704087842428</v>
      </c>
      <c r="J90" s="20">
        <f>$G90*J76</f>
        <v>1188.9703156479763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1959.1833679058184</v>
      </c>
      <c r="J91" s="20">
        <f>$G91*J76</f>
        <v>10700.732840831786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21768.70408784012</v>
      </c>
      <c r="J92" s="20">
        <f>SUM(J80:J91)</f>
        <v>44645.616716675009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2.306478563696146E-9</v>
      </c>
      <c r="J93" s="24">
        <f>J76-J92</f>
        <v>74251.414848122615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Rob Gallaher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Extreme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655 W San Carlos St.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San Jose, CA 95126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21768.704087842427</v>
      </c>
      <c r="H138" s="169"/>
      <c r="I138" s="169">
        <f>J76</f>
        <v>118897.03156479762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21768.70408784012</v>
      </c>
      <c r="H139" s="169"/>
      <c r="I139" s="169">
        <f>J92</f>
        <v>44645.616716675009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2.306478563696146E-9</v>
      </c>
      <c r="H140" s="169"/>
      <c r="I140" s="169">
        <f>J93</f>
        <v>74251.414848122615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2.306478563696146E-9</v>
      </c>
      <c r="H143" s="169"/>
      <c r="I143" s="169">
        <f>I140-I141-I142</f>
        <v>74251.414848122615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Rob Gallaher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Extreme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655 W San Carlos St.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San Jose, CA 95126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86741.306427794116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12</v>
      </c>
      <c r="G170" s="139">
        <f>'Input Form'!$D$20</f>
        <v>0.5</v>
      </c>
      <c r="H170" s="140"/>
      <c r="I170" s="20">
        <f>I$166*F170*G170</f>
        <v>520447.83856676472</v>
      </c>
      <c r="J170" s="30">
        <f t="shared" ref="J170:J176" si="2">IFERROR((I170/I$174),0)</f>
        <v>0.35820895522388058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18</v>
      </c>
      <c r="G171" s="139">
        <f>'Input Form'!$D$21</f>
        <v>0.25</v>
      </c>
      <c r="H171" s="140"/>
      <c r="I171" s="20">
        <f>I$166*F171*G171</f>
        <v>390335.87892507354</v>
      </c>
      <c r="J171" s="30">
        <f t="shared" si="2"/>
        <v>0.26865671641791045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25</v>
      </c>
      <c r="G172" s="139">
        <f>'Input Form'!$D$22</f>
        <v>0.25</v>
      </c>
      <c r="H172" s="140"/>
      <c r="I172" s="20">
        <f>I$166*F172*G172</f>
        <v>542133.16517371323</v>
      </c>
      <c r="J172" s="30">
        <f t="shared" si="2"/>
        <v>0.37313432835820892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1452916.8826655515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-26152.503887979925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1426764.3787775715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42802.931363327145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70516.23229677687</v>
      </c>
      <c r="J179" s="30">
        <f t="shared" ref="J179:J196" si="3">IFERROR((I179/I$176),0)</f>
        <v>4.9423880597014927E-2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14267.643787775714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8.4106389103163655E-3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0.11493642709281933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14267.643787775714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14267.643787775714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21401.465681663572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14267.643787775714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1.6821277820632731E-2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14267.643787775714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128408.79408998143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534454.84237062768</v>
      </c>
      <c r="J190" s="30">
        <f t="shared" si="3"/>
        <v>0.37459222442078338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892309.53640694381</v>
      </c>
      <c r="J191" s="30">
        <f t="shared" si="3"/>
        <v>0.62540777557921656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892309.53640694381</v>
      </c>
      <c r="J196" s="30">
        <f t="shared" si="3"/>
        <v>0.62540777557921656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Rob Gallaher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Extreme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655 W San Carlos St.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San Jose, CA 95126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114487.74916711959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12</v>
      </c>
      <c r="G221" s="139">
        <f>'Input Form'!$D$20</f>
        <v>0.5</v>
      </c>
      <c r="H221" s="140"/>
      <c r="I221" s="20">
        <f>I$217*F221*G221</f>
        <v>686926.49500271748</v>
      </c>
      <c r="J221" s="30">
        <f t="shared" ref="J221:J227" si="4">IFERROR((I221/I$225),0)</f>
        <v>0.35820895522388058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18</v>
      </c>
      <c r="G222" s="139">
        <f>'Input Form'!$D$21</f>
        <v>0.25</v>
      </c>
      <c r="H222" s="140"/>
      <c r="I222" s="20">
        <f>I$217*F222*G222</f>
        <v>515194.87125203817</v>
      </c>
      <c r="J222" s="30">
        <f t="shared" si="4"/>
        <v>0.26865671641791045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25</v>
      </c>
      <c r="G223" s="139">
        <f>'Input Form'!$D$22</f>
        <v>0.25</v>
      </c>
      <c r="H223" s="140"/>
      <c r="I223" s="20">
        <f>I$217*F223*G223</f>
        <v>715548.43229449738</v>
      </c>
      <c r="J223" s="30">
        <f t="shared" si="4"/>
        <v>0.37313432835820892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1917669.798549253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-34518.056373886553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1883151.7421753665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56494.552265260994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93072.666851335947</v>
      </c>
      <c r="J230" s="30">
        <f t="shared" ref="J230:J247" si="5">IFERROR((I230/I$227),0)</f>
        <v>4.9423880597014927E-2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18831.517421753666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6.3722958332279277E-3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8.7081245938559565E-2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18831.517421753666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18831.517421753666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28247.276132630497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18831.517421753666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1.2744591666455855E-2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18831.517421753666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169483.65679578297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641442.93915377883</v>
      </c>
      <c r="J241" s="30">
        <f t="shared" si="5"/>
        <v>0.34062201403525832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1241708.8030215877</v>
      </c>
      <c r="J242" s="30">
        <f t="shared" si="5"/>
        <v>0.65937798596474173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1241708.8030215877</v>
      </c>
      <c r="J247" s="30">
        <f t="shared" si="5"/>
        <v>0.65937798596474173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Rob Gallaher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Extreme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655 W San Carlos St.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San Jose, CA 95126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125155.31356010295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12</v>
      </c>
      <c r="G272" s="139">
        <f>'Input Form'!$D$20</f>
        <v>0.5</v>
      </c>
      <c r="H272" s="140"/>
      <c r="I272" s="20">
        <f t="shared" ref="I272:I275" si="6">I$268*F272*G272</f>
        <v>750931.8813606177</v>
      </c>
      <c r="J272" s="30">
        <f t="shared" ref="J272:J278" si="7">IFERROR((I272/I$276),0)</f>
        <v>0.35820895522388058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18</v>
      </c>
      <c r="G273" s="139">
        <f>'Input Form'!$D$21</f>
        <v>0.25</v>
      </c>
      <c r="H273" s="140"/>
      <c r="I273" s="20">
        <f t="shared" si="6"/>
        <v>563198.91102046333</v>
      </c>
      <c r="J273" s="30">
        <f t="shared" si="7"/>
        <v>0.26865671641791045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25</v>
      </c>
      <c r="G274" s="139">
        <f>'Input Form'!$D$22</f>
        <v>0.25</v>
      </c>
      <c r="H274" s="140"/>
      <c r="I274" s="20">
        <f t="shared" si="6"/>
        <v>782220.70975064347</v>
      </c>
      <c r="J274" s="30">
        <f t="shared" si="7"/>
        <v>0.37313432835820898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2096351.5021317245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-37734.327038371033</v>
      </c>
      <c r="J277" s="30">
        <f t="shared" si="7"/>
        <v>-1.7999999999999995E-2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2058617.1750933535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61758.5152528006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101744.84945677807</v>
      </c>
      <c r="J281" s="30">
        <f t="shared" ref="J281:J298" si="8">IFERROR((I281/I$278),0)</f>
        <v>4.9423880597014927E-2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20586.171750933536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5.8291556804172823E-3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7.9658909866310412E-2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20586.171750933536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20586.171750933536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30879.2576264003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20586.171750933536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1.1658311360834565E-2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20586.171750933536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185275.5457584018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682576.2268490484</v>
      </c>
      <c r="J292" s="30">
        <f t="shared" si="8"/>
        <v>0.33157025750457714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1376040.9482443051</v>
      </c>
      <c r="J293" s="30">
        <f t="shared" si="8"/>
        <v>0.66842974249542286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1376040.9482443051</v>
      </c>
      <c r="J298" s="30">
        <f t="shared" si="8"/>
        <v>0.66842974249542286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Rob Gallaher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Extreme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655 W San Carlos St.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San Jose, CA 95126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129734.16649522868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12</v>
      </c>
      <c r="G323" s="139">
        <f>'Input Form'!$D$20</f>
        <v>0.5</v>
      </c>
      <c r="H323" s="140"/>
      <c r="I323" s="20">
        <f>I$319*F323*G323</f>
        <v>778404.99897137214</v>
      </c>
      <c r="J323" s="30">
        <f t="shared" ref="J323:J329" si="9">IFERROR((I323/I$327),0)</f>
        <v>0.35820895522388063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18</v>
      </c>
      <c r="G324" s="139">
        <f>'Input Form'!$D$21</f>
        <v>0.25</v>
      </c>
      <c r="H324" s="140"/>
      <c r="I324" s="20">
        <f>I$319*F324*G324</f>
        <v>583803.74922852905</v>
      </c>
      <c r="J324" s="30">
        <f t="shared" si="9"/>
        <v>0.26865671641791045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25</v>
      </c>
      <c r="G325" s="139">
        <f>'Input Form'!$D$22</f>
        <v>0.25</v>
      </c>
      <c r="H325" s="140"/>
      <c r="I325" s="20">
        <f>I$319*F325*G325</f>
        <v>810838.54059517931</v>
      </c>
      <c r="J325" s="30">
        <f t="shared" si="9"/>
        <v>0.37313432835820898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2173047.2887950805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-39114.851198311444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2133932.4375967691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64017.973127903068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105467.22199787972</v>
      </c>
      <c r="J332" s="30">
        <f t="shared" ref="J332:J344" si="10">IFERROR((I332/I$329),0)</f>
        <v>4.9423880597014927E-2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21339.324375967692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5.6234207740496131E-3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7.684741892985239E-2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21339.324375967692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21339.324375967692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32008.986563951534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21339.324375967692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1.1246841548099226E-2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21339.324375967692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192053.9193837092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700231.92295328202</v>
      </c>
      <c r="J343" s="30">
        <f t="shared" si="10"/>
        <v>0.32814156184901616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1433700.5146434871</v>
      </c>
      <c r="J344" s="30">
        <f t="shared" si="10"/>
        <v>0.67185843815098389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1433700.5146434871</v>
      </c>
      <c r="J349" s="30">
        <f t="shared" si="11"/>
        <v>0.67185843815098389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Rob Gallaher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Extreme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655 W San Carlos St.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San Jose, CA 95126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139976.33753432569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12</v>
      </c>
      <c r="G374" s="139">
        <f>'Input Form'!$D$20</f>
        <v>0.5</v>
      </c>
      <c r="H374" s="140"/>
      <c r="I374" s="20">
        <f t="shared" ref="I374:I377" si="12">I$370*F374*G374</f>
        <v>839858.02520595421</v>
      </c>
      <c r="J374" s="30">
        <f t="shared" ref="J374:J380" si="13">IFERROR((I374/I$378),0)</f>
        <v>0.35820895522388063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18</v>
      </c>
      <c r="G375" s="139">
        <f>'Input Form'!$D$21</f>
        <v>0.25</v>
      </c>
      <c r="H375" s="140"/>
      <c r="I375" s="20">
        <f t="shared" si="12"/>
        <v>629893.5189044656</v>
      </c>
      <c r="J375" s="30">
        <f t="shared" si="13"/>
        <v>0.26865671641791045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25</v>
      </c>
      <c r="G376" s="139">
        <f>'Input Form'!$D$22</f>
        <v>0.25</v>
      </c>
      <c r="H376" s="140"/>
      <c r="I376" s="20">
        <f t="shared" si="12"/>
        <v>874852.10958953563</v>
      </c>
      <c r="J376" s="30">
        <f t="shared" si="13"/>
        <v>0.37313432835820898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2344603.6536999554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-42202.865766599192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2302400.7879333561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69072.023638000683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113793.58162929128</v>
      </c>
      <c r="J383" s="30">
        <f t="shared" ref="J383:J395" si="14">IFERROR((I383/I$380),0)</f>
        <v>4.9423880597014927E-2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23024.007879333563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5.2119509613142755E-3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7.122443705693636E-2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23024.007879333563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23024.007879333563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34536.011819000341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23024.007879333563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1.0423901922628551E-2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23024.007879333563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207216.07091400205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739724.92739696219</v>
      </c>
      <c r="J394" s="30">
        <f t="shared" si="14"/>
        <v>0.3212841705378941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1562675.8605363939</v>
      </c>
      <c r="J395" s="30">
        <f t="shared" si="14"/>
        <v>0.67871582946210585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1562675.8605363939</v>
      </c>
      <c r="J400" s="30">
        <f t="shared" si="15"/>
        <v>0.67871582946210585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Rob Gallaher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Extreme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655 W San Carlos St.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San Jose, CA 95126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PP9xlK6rBgWKx/brWcPkt8nqRiRIhaDDcUSMNv6YHyszsGQjOZmDNK/wbPOk8K25IX6nTj6BdEAaaMQHsKEWog==" saltValue="tGPjhTARfpdig3ZxVhNx2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2020-02-04T13:46:20Z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