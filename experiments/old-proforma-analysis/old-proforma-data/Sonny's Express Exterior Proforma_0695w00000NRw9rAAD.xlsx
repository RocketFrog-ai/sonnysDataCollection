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Josh Kingsley\FL\1555 Dunn Ave., Jacksonville\"/>
    </mc:Choice>
  </mc:AlternateContent>
  <xr:revisionPtr revIDLastSave="0" documentId="8_{E4DACC0D-9BAA-4D09-9C82-6094913C9EAB}" xr6:coauthVersionLast="47" xr6:coauthVersionMax="47" xr10:uidLastSave="{00000000-0000-0000-0000-000000000000}"/>
  <workbookProtection workbookPassword="FB8D" lockStructure="1"/>
  <bookViews>
    <workbookView xWindow="-26250" yWindow="2910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<sst xmlns="http://schemas.openxmlformats.org/spreadsheetml/2006/main" count="430" uniqueCount="197">
  <si>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</si>
  <si>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</si>
  <si>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</si>
  <si>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</si>
  <si>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</si>
  <si>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</si>
  <si>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</si>
  <si>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</si>
  <si>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</si>
  <si>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</si>
  <si>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</si>
  <si>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</si>
  <si>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</si>
  <si>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</si>
  <si>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</si>
  <si>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</si>
  <si>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</si>
  <si>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</si>
  <si>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</si>
  <si>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</si>
  <si>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</si>
  <si>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</si>
  <si>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</si>
  <si>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</si>
  <si>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</si>
  <si>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</si>
  <si>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</si>
  <si>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</si>
  <si>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</si>
  <si>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</si>
  <si>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</si>
  <si>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</si>
  <si>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</si>
  <si>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</si>
  <si>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</si>
  <si>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</si>
  <si>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</si>
  <si>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</si>
  <si>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</si>
  <si>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</si>
  <si>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</si>
  <si>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</si>
  <si>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</si>
  <si>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</si>
  <si>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</si>
  <si>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</si>
  <si>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</si>
  <si>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</si>
  <si>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</si>
  <si>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</si>
  <si>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</si>
  <si>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</si>
  <si>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</si>
  <si>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</si>
  <si>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</si>
  <si>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</si>
  <si>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</si>
  <si>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</si>
  <si>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</si>
  <si>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</si>
  <si>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</si>
  <si>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</si>
  <si>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</si>
  <si>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</si>
  <si>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</si>
  <si>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</si>
  <si>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</si>
  <si>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</si>
  <si>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</si>
  <si>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</si>
  <si>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</si>
  <si>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</si>
  <si>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</si>
  <si>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</si>
  <si>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</si>
  <si>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</si>
  <si>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</si>
  <si>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</si>
  <si>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</si>
  <si>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</si>
  <si>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</si>
  <si>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</si>
  <si>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</si>
  <si>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</si>
  <si>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</si>
  <si>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</si>
  <si>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</si>
  <si>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</si>
  <si>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</si>
  <si>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</si>
  <si>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</si>
  <si>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</si>
  <si>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</si>
  <si>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</si>
  <si>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</si>
  <si>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</si>
  <si>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</si>
  <si>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</si>
  <si>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</si>
  <si>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</si>
  <si>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</si>
  <si>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</si>
  <si>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</si>
  <si>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</si>
  <si>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</si>
  <si>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</si>
  <si>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</si>
  <si>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</si>
  <si>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</si>
  <si>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</si>
  <si>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</si>
  <si>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</si>
  <si>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</si>
  <si>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</si>
  <si>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</si>
  <si>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</si>
  <si>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</si>
  <si>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</si>
  <si>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</si>
  <si>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</si>
  <si>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</si>
  <si>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</si>
  <si>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</si>
  <si>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</si>
  <si>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</si>
  <si>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</si>
  <si>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</si>
  <si>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</si>
  <si>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</si>
  <si>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</si>
  <si>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</si>
  <si>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</si>
  <si>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</si>
  <si>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</si>
  <si>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</si>
  <si>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</si>
  <si>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</si>
  <si>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</si>
  <si>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</si>
  <si>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</si>
  <si>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</si>
  <si>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</si>
  <si>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</si>
  <si>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</si>
  <si>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</si>
  <si>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</si>
  <si>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</si>
  <si>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</si>
  <si>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</si>
  <si>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</si>
  <si>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</si>
  <si>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</si>
  <si>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</si>
  <si>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</si>
  <si>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</si>
  <si>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</si>
  <si>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</si>
  <si>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</si>
  <si>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</si>
  <si>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</si>
  <si>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</si>
  <si>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</si>
  <si>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</si>
  <si>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</si>
  <si>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</si>
  <si>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</si>
  <si>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</si>
  <si>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</si>
  <si>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</si>
  <si>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</si>
  <si>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</si>
  <si>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</si>
  <si>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</si>
  <si>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</si>
  <si>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</si>
  <si>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</si>
  <si>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</si>
  <si>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</si>
  <si>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</si>
  <si>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</si>
  <si>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</si>
  <si>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</si>
  <si>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</si>
  <si>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</si>
  <si>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</si>
  <si>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</si>
  <si>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</si>
  <si>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</si>
  <si>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</si>
  <si>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</si>
  <si>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</si>
  <si>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</si>
  <si>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 xml:space="preserve"> </t>
    </r>
  </si>
  <si>
    <t>Josh Kingsley</t>
  </si>
  <si>
    <t>LUV Car Wash</t>
  </si>
  <si>
    <t>1555 Dunn Ave.</t>
  </si>
  <si>
    <t>Jacksonville, FL 32218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</si>
</sst>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514350</xdr:colOff>
      <xdr:row>32</xdr:row>
      <xdr:rowOff>190500</xdr:rowOff>
    </xdr:from>
    <xdr:to>
      <xdr:col>5</xdr:col>
      <xdr:colOff>714376</xdr:colOff>
      <xdr:row>39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835AB2-5552-492D-A8A8-2F95EED81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5895975"/>
          <a:ext cx="1000126" cy="1000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8" zoomScaleNormal="100" workbookViewId="0">
      <selection activeCell="H75" sqref="H75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40</v>
      </c>
      <c r="B1" s="90"/>
      <c r="C1" s="90"/>
      <c r="D1" s="90"/>
      <c r="E1" s="34"/>
      <c r="F1" s="34"/>
    </row>
    <row r="2" spans="1:9" ht="15.75" x14ac:dyDescent="0.25">
      <c r="A2" s="35" t="s">
        <v>11</v>
      </c>
      <c r="B2" s="86" t="s">
        <v>193</v>
      </c>
      <c r="C2" s="87"/>
      <c r="D2" s="88"/>
      <c r="E2" s="34"/>
      <c r="F2" s="34"/>
    </row>
    <row r="3" spans="1:9" ht="15.75" x14ac:dyDescent="0.25">
      <c r="A3" s="35" t="s">
        <v>14</v>
      </c>
      <c r="B3" s="86" t="s">
        <v>194</v>
      </c>
      <c r="C3" s="87"/>
      <c r="D3" s="88"/>
      <c r="E3" s="34"/>
      <c r="F3" s="34"/>
    </row>
    <row r="4" spans="1:9" ht="15.75" x14ac:dyDescent="0.25">
      <c r="A4" s="35" t="s">
        <v>12</v>
      </c>
      <c r="B4" s="86"/>
      <c r="C4" s="87"/>
      <c r="D4" s="88"/>
      <c r="E4" s="34"/>
      <c r="F4" s="34"/>
    </row>
    <row r="5" spans="1:9" ht="15.75" x14ac:dyDescent="0.25">
      <c r="A5" s="35" t="s">
        <v>13</v>
      </c>
      <c r="B5" s="86" t="s">
        <v>195</v>
      </c>
      <c r="C5" s="87"/>
      <c r="D5" s="88"/>
      <c r="E5" s="34"/>
      <c r="F5" s="34"/>
    </row>
    <row r="6" spans="1:9" ht="15.75" x14ac:dyDescent="0.25">
      <c r="A6" s="35" t="s">
        <v>15</v>
      </c>
      <c r="B6" s="86" t="s">
        <v>196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39</v>
      </c>
      <c r="B11" s="89"/>
      <c r="C11" s="89"/>
      <c r="D11" s="89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45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38</v>
      </c>
      <c r="B17" s="80"/>
      <c r="C17" s="80"/>
      <c r="D17" s="81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0</v>
      </c>
      <c r="C19" s="48">
        <v>0.45</v>
      </c>
      <c r="D19" s="45">
        <v>0</v>
      </c>
      <c r="E19" s="34"/>
      <c r="F19" s="34"/>
    </row>
    <row r="20" spans="1:8" ht="15.75" x14ac:dyDescent="0.25">
      <c r="A20" s="43" t="s">
        <v>27</v>
      </c>
      <c r="B20" s="47">
        <v>10</v>
      </c>
      <c r="C20" s="48">
        <v>0.88600000000000001</v>
      </c>
      <c r="D20" s="45">
        <v>0.4</v>
      </c>
      <c r="E20" s="34"/>
      <c r="F20" s="34"/>
    </row>
    <row r="21" spans="1:8" ht="15.75" x14ac:dyDescent="0.25">
      <c r="A21" s="43" t="s">
        <v>28</v>
      </c>
      <c r="B21" s="47">
        <v>16</v>
      </c>
      <c r="C21" s="48">
        <v>1.054</v>
      </c>
      <c r="D21" s="45">
        <v>0.3</v>
      </c>
      <c r="E21" s="34"/>
      <c r="F21" s="34"/>
    </row>
    <row r="22" spans="1:8" ht="15.75" x14ac:dyDescent="0.25">
      <c r="A22" s="43" t="s">
        <v>29</v>
      </c>
      <c r="B22" s="47">
        <v>0</v>
      </c>
      <c r="C22" s="48">
        <v>1.873</v>
      </c>
      <c r="D22" s="45">
        <v>0</v>
      </c>
      <c r="E22" s="34"/>
      <c r="F22" s="34"/>
    </row>
    <row r="23" spans="1:8" ht="15.75" x14ac:dyDescent="0.25">
      <c r="A23" s="43" t="s">
        <v>30</v>
      </c>
      <c r="B23" s="47">
        <v>22</v>
      </c>
      <c r="C23" s="48">
        <v>2.121</v>
      </c>
      <c r="D23" s="45">
        <v>0.3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43</v>
      </c>
      <c r="B25" s="80"/>
      <c r="C25" s="80"/>
      <c r="D25" s="80"/>
      <c r="E25" s="81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0</v>
      </c>
      <c r="C27" s="47">
        <v>0</v>
      </c>
      <c r="D27" s="47">
        <v>0</v>
      </c>
      <c r="E27" s="47">
        <v>0</v>
      </c>
      <c r="F27" s="34"/>
    </row>
    <row r="28" spans="1:8" ht="15.75" x14ac:dyDescent="0.2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28</v>
      </c>
      <c r="B29" s="47">
        <v>16</v>
      </c>
      <c r="C29" s="47">
        <v>16</v>
      </c>
      <c r="D29" s="47">
        <v>16</v>
      </c>
      <c r="E29" s="47">
        <v>16</v>
      </c>
      <c r="F29" s="34"/>
    </row>
    <row r="30" spans="1:8" ht="15.75" x14ac:dyDescent="0.25">
      <c r="A30" s="43" t="s">
        <v>29</v>
      </c>
      <c r="B30" s="47">
        <v>0</v>
      </c>
      <c r="C30" s="47">
        <v>0</v>
      </c>
      <c r="D30" s="47">
        <v>0</v>
      </c>
      <c r="E30" s="47">
        <v>0</v>
      </c>
      <c r="F30" s="34"/>
    </row>
    <row r="31" spans="1:8" ht="15.75" x14ac:dyDescent="0.25">
      <c r="A31" s="43" t="s">
        <v>30</v>
      </c>
      <c r="B31" s="47">
        <v>22</v>
      </c>
      <c r="C31" s="47">
        <v>22</v>
      </c>
      <c r="D31" s="47">
        <v>22</v>
      </c>
      <c r="E31" s="47">
        <v>22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58</v>
      </c>
      <c r="B33" s="80"/>
      <c r="C33" s="80"/>
      <c r="D33" s="80"/>
      <c r="E33" s="80"/>
      <c r="F33" s="81"/>
    </row>
    <row r="34" spans="1:6" ht="15.75" x14ac:dyDescent="0.2">
      <c r="A34" s="8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8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82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8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82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47.25" x14ac:dyDescent="0.2">
      <c r="A42" s="8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82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5" x14ac:dyDescent="0.2">
      <c r="A44" s="8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8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8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82"/>
      <c r="B47" s="50">
        <v>1</v>
      </c>
      <c r="C47" s="50"/>
      <c r="D47" s="50"/>
      <c r="E47" s="50"/>
      <c r="F47" s="51">
        <f>IF(B47=1,0.15,IF(C47=1,0.1,IF(D47=1,0.05,IF(E47=1,-0.25,0))))</f>
        <v>0.15</v>
      </c>
    </row>
    <row r="48" spans="1:6" ht="15.75" x14ac:dyDescent="0.2">
      <c r="A48" s="8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82"/>
      <c r="B49" s="54">
        <v>1</v>
      </c>
      <c r="C49" s="54"/>
      <c r="D49" s="54"/>
      <c r="E49" s="54"/>
      <c r="F49" s="51">
        <f>IF(B49=1,0.15,IF(C49=1,0.1,IF(D49=1,0.05,IF(E49=1,0,0))))</f>
        <v>0.15</v>
      </c>
    </row>
    <row r="50" spans="1:8" ht="47.25" x14ac:dyDescent="0.2">
      <c r="A50" s="8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82"/>
      <c r="B51" s="50"/>
      <c r="C51" s="50"/>
      <c r="D51" s="50"/>
      <c r="E51" s="50">
        <v>1</v>
      </c>
      <c r="F51" s="51">
        <f>IF(B51=1,0.15,IF(C51=1,0.1,IF(D51=1,0.05,IF(E51=1,0,0))))</f>
        <v>0</v>
      </c>
    </row>
    <row r="52" spans="1:8" ht="31.5" x14ac:dyDescent="0.2">
      <c r="A52" s="8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8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1.175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92</v>
      </c>
      <c r="B57" s="84"/>
      <c r="C57" s="84"/>
      <c r="D57" s="85"/>
      <c r="E57" s="59">
        <v>2.6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93</v>
      </c>
      <c r="B58" s="84"/>
      <c r="C58" s="84"/>
      <c r="D58" s="85"/>
      <c r="E58" s="45">
        <v>0.499</v>
      </c>
      <c r="F58" s="61">
        <f>-0.3*(0.55-E58)</f>
        <v>-1.5300000000000013E-2</v>
      </c>
    </row>
    <row r="59" spans="1:8" ht="15.75" x14ac:dyDescent="0.25">
      <c r="A59" s="83" t="s">
        <v>3</v>
      </c>
      <c r="B59" s="84"/>
      <c r="C59" s="84"/>
      <c r="D59" s="85"/>
      <c r="E59" s="45">
        <v>0.63200000000000001</v>
      </c>
      <c r="F59" s="61">
        <f>-0.75*(0.5-E59)</f>
        <v>9.9000000000000005E-2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94</v>
      </c>
      <c r="B61" s="84"/>
      <c r="C61" s="84"/>
      <c r="D61" s="84"/>
      <c r="E61" s="85"/>
      <c r="F61" s="61">
        <f>SUM(F57:F60)/4</f>
        <v>2.0924999999999999E-2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97</v>
      </c>
      <c r="B63" s="91"/>
      <c r="C63" s="91"/>
      <c r="D63" s="91"/>
      <c r="E63" s="91"/>
      <c r="F63" s="91"/>
    </row>
    <row r="64" spans="1:8" ht="15.75" x14ac:dyDescent="0.25">
      <c r="A64" s="83" t="s">
        <v>95</v>
      </c>
      <c r="B64" s="84"/>
      <c r="C64" s="84"/>
      <c r="D64" s="84"/>
      <c r="E64" s="85"/>
      <c r="F64" s="64">
        <f>(F54*0.7)*(1+F61)/85</f>
        <v>9.8789507352941199E-3</v>
      </c>
    </row>
    <row r="65" spans="1:6" ht="15.75" x14ac:dyDescent="0.25">
      <c r="A65" s="83" t="s">
        <v>96</v>
      </c>
      <c r="B65" s="84"/>
      <c r="C65" s="84"/>
      <c r="D65" s="84"/>
      <c r="E65" s="85"/>
      <c r="F65" s="64">
        <f>$F$54*(1+$F$61)/92</f>
        <v>1.3038987771739131E-2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1.578403782894737E-2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102</v>
      </c>
      <c r="B68" s="80"/>
      <c r="C68" s="80"/>
      <c r="D68" s="81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78">
        <v>32005</v>
      </c>
      <c r="B70" s="66">
        <v>0.01</v>
      </c>
      <c r="C70" s="66">
        <v>0.01</v>
      </c>
      <c r="D70" s="66">
        <v>0.01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103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F64*A70*300</f>
        <v>94852.74548492649</v>
      </c>
      <c r="C74" s="68">
        <f>F65*A70*300</f>
        <v>125193.84109035326</v>
      </c>
      <c r="D74" s="68">
        <f>($F$54*(1+$F$61))/85*($A$70*(1+B$70))*300</f>
        <v>136858.96134253676</v>
      </c>
      <c r="E74" s="68">
        <f>($F$54*(1+$F$61))/82*($A$70*(1+C$70))*300</f>
        <v>141865.99651360521</v>
      </c>
      <c r="F74" s="68">
        <f>F66*(A70*(1+D70)*300)</f>
        <v>153065.94360678457</v>
      </c>
    </row>
    <row r="75" spans="1:6" ht="15.75" x14ac:dyDescent="0.25">
      <c r="A75" s="35" t="s">
        <v>105</v>
      </c>
      <c r="B75" s="68">
        <f>B74/12</f>
        <v>7904.3954570772075</v>
      </c>
      <c r="C75" s="68">
        <f>C74/12</f>
        <v>10432.820090862771</v>
      </c>
      <c r="D75" s="68">
        <f t="shared" ref="D75:F75" si="0">D74/12</f>
        <v>11404.913445211396</v>
      </c>
      <c r="E75" s="68">
        <f t="shared" si="0"/>
        <v>11822.166376133768</v>
      </c>
      <c r="F75" s="68">
        <f t="shared" si="0"/>
        <v>12755.495300565381</v>
      </c>
    </row>
    <row r="76" spans="1:6" ht="15.75" x14ac:dyDescent="0.25">
      <c r="A76" s="35" t="s">
        <v>106</v>
      </c>
      <c r="B76" s="68">
        <f>B75/4.5/7*3</f>
        <v>752.79956734068651</v>
      </c>
      <c r="C76" s="68">
        <f t="shared" ref="C76:F76" si="1">C75/4.5/7*3</f>
        <v>993.60191341550194</v>
      </c>
      <c r="D76" s="68">
        <f t="shared" si="1"/>
        <v>1086.1822328772757</v>
      </c>
      <c r="E76" s="68">
        <f t="shared" si="1"/>
        <v>1125.920607250835</v>
      </c>
      <c r="F76" s="68">
        <f t="shared" si="1"/>
        <v>1214.8090762443221</v>
      </c>
    </row>
    <row r="77" spans="1:6" ht="15.75" x14ac:dyDescent="0.25">
      <c r="A77" s="35" t="s">
        <v>107</v>
      </c>
      <c r="B77" s="68">
        <f>IFERROR((B76/$B9*1.3),0)</f>
        <v>81.553286461907717</v>
      </c>
      <c r="C77" s="68">
        <f t="shared" ref="C77:F77" si="2">IFERROR((C76/$B9*1.3),0)</f>
        <v>107.64020728667938</v>
      </c>
      <c r="D77" s="68">
        <f t="shared" si="2"/>
        <v>117.6697418950382</v>
      </c>
      <c r="E77" s="68">
        <f t="shared" si="2"/>
        <v>121.9747324521738</v>
      </c>
      <c r="F77" s="68">
        <f t="shared" si="2"/>
        <v>131.60431659313488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119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116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120</v>
      </c>
      <c r="B87" s="80"/>
      <c r="C87" s="80"/>
      <c r="D87" s="80"/>
      <c r="E87" s="80"/>
      <c r="F87" s="81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122</v>
      </c>
      <c r="B95" s="80"/>
      <c r="C95" s="80"/>
      <c r="D95" s="80"/>
      <c r="E95" s="80"/>
      <c r="F95" s="81"/>
    </row>
    <row r="96" spans="1:6" ht="15.75" x14ac:dyDescent="0.25">
      <c r="A96" s="92" t="s">
        <v>123</v>
      </c>
      <c r="B96" s="93"/>
      <c r="C96" s="93"/>
      <c r="D96" s="94"/>
      <c r="E96" s="98" t="s">
        <v>125</v>
      </c>
      <c r="F96" s="99"/>
    </row>
    <row r="97" spans="1:8" ht="15.75" x14ac:dyDescent="0.25">
      <c r="A97" s="95" t="s">
        <v>116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117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119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124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25" zoomScaleNormal="100" workbookViewId="0">
      <selection activeCell="N34" sqref="N34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18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Josh Kingsley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LUV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1555 Dunn Ave.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Jacksonville, FL 32218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192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16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183</v>
      </c>
      <c r="D56" s="119"/>
      <c r="E56" s="153" t="str">
        <f>CustomerName</f>
        <v>Josh Kingsley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184</v>
      </c>
      <c r="D57" s="121"/>
      <c r="E57" s="153" t="str">
        <f>CompanyName</f>
        <v>LUV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128</v>
      </c>
      <c r="D58" s="123"/>
      <c r="E58" s="158">
        <f>AddressLine1</f>
        <v>0</v>
      </c>
      <c r="F58" s="159"/>
      <c r="G58" s="159"/>
      <c r="H58" s="159"/>
      <c r="I58" s="160"/>
      <c r="J58" s="13"/>
      <c r="K58" s="10"/>
    </row>
    <row r="59" spans="1:11" x14ac:dyDescent="0.2">
      <c r="A59" s="10"/>
      <c r="B59" s="10"/>
      <c r="C59" s="124"/>
      <c r="D59" s="125"/>
      <c r="E59" s="161" t="str">
        <f>AddressLine2</f>
        <v>1555 Dunn Ave.</v>
      </c>
      <c r="F59" s="162"/>
      <c r="G59" s="162"/>
      <c r="H59" s="162"/>
      <c r="I59" s="163"/>
      <c r="J59" s="10"/>
      <c r="K59" s="10"/>
    </row>
    <row r="60" spans="1:11" x14ac:dyDescent="0.2">
      <c r="A60" s="10"/>
      <c r="B60" s="10"/>
      <c r="C60" s="126"/>
      <c r="D60" s="127"/>
      <c r="E60" s="164" t="str">
        <f>AddressLine3</f>
        <v>Jacksonville, FL 32218</v>
      </c>
      <c r="F60" s="165"/>
      <c r="G60" s="165"/>
      <c r="H60" s="165"/>
      <c r="I60" s="166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129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154</v>
      </c>
      <c r="C64" s="110"/>
      <c r="D64" s="110"/>
      <c r="E64" s="110"/>
      <c r="F64" s="110"/>
      <c r="G64" s="110"/>
      <c r="H64" s="110"/>
      <c r="I64" s="17" t="s">
        <v>130</v>
      </c>
      <c r="J64" s="17" t="s">
        <v>166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2120.9619200905531</v>
      </c>
      <c r="J65" s="18">
        <f>'Input Form'!B75</f>
        <v>7904.3954570772075</v>
      </c>
      <c r="K65" s="10"/>
    </row>
    <row r="66" spans="1:15" ht="18.75" x14ac:dyDescent="0.3">
      <c r="A66" s="10"/>
      <c r="B66" s="112" t="s">
        <v>155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135</v>
      </c>
      <c r="C67" s="118"/>
      <c r="D67" s="118"/>
      <c r="E67" s="118"/>
      <c r="F67" s="137" t="s">
        <v>134</v>
      </c>
      <c r="G67" s="114" t="s">
        <v>133</v>
      </c>
      <c r="H67" s="115"/>
      <c r="I67" s="113" t="s">
        <v>132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130</v>
      </c>
      <c r="J68" s="17" t="s">
        <v>166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0</v>
      </c>
      <c r="G69" s="139">
        <f>'Input Form'!D19</f>
        <v>0</v>
      </c>
      <c r="H69" s="140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0.4</v>
      </c>
      <c r="H70" s="140"/>
      <c r="I70" s="20">
        <f>IFERROR((I$65*G70*F70),0)</f>
        <v>8483.8476803622125</v>
      </c>
      <c r="J70" s="20">
        <f t="shared" ref="J70:J73" si="0">J$65*F70*G70</f>
        <v>31617.58182830883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16</v>
      </c>
      <c r="G71" s="139">
        <f>'Input Form'!D21</f>
        <v>0.3</v>
      </c>
      <c r="H71" s="140"/>
      <c r="I71" s="20">
        <f>IFERROR((I$65*G71*F71),0)</f>
        <v>10180.617216434655</v>
      </c>
      <c r="J71" s="20">
        <f t="shared" si="0"/>
        <v>37941.098193970596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0</v>
      </c>
      <c r="G72" s="139">
        <f>'Input Form'!D22</f>
        <v>0</v>
      </c>
      <c r="H72" s="140"/>
      <c r="I72" s="20">
        <f t="shared" ref="I72:I73" si="1">I$65*G72*F72</f>
        <v>0</v>
      </c>
      <c r="J72" s="20">
        <f t="shared" si="0"/>
        <v>0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22</v>
      </c>
      <c r="G73" s="139">
        <f>'Input Form'!D23</f>
        <v>0.3</v>
      </c>
      <c r="H73" s="140"/>
      <c r="I73" s="20">
        <f t="shared" si="1"/>
        <v>13998.348672597651</v>
      </c>
      <c r="J73" s="20">
        <f t="shared" si="0"/>
        <v>52169.010016709573</v>
      </c>
      <c r="K73" s="10"/>
    </row>
    <row r="74" spans="1:15" x14ac:dyDescent="0.2">
      <c r="A74" s="10"/>
      <c r="B74" s="135" t="s">
        <v>136</v>
      </c>
      <c r="C74" s="135"/>
      <c r="D74" s="135"/>
      <c r="E74" s="135"/>
      <c r="F74" s="135"/>
      <c r="G74" s="135"/>
      <c r="H74" s="135"/>
      <c r="I74" s="20">
        <f>SUM(I69:I73)</f>
        <v>32662.813569394519</v>
      </c>
      <c r="J74" s="20">
        <f>SUM(J69:J73)</f>
        <v>121727.69003898901</v>
      </c>
      <c r="K74" s="10"/>
      <c r="O74" s="5"/>
    </row>
    <row r="75" spans="1:15" x14ac:dyDescent="0.2">
      <c r="A75" s="10"/>
      <c r="B75" s="132" t="s">
        <v>137</v>
      </c>
      <c r="C75" s="133"/>
      <c r="D75" s="133"/>
      <c r="E75" s="133"/>
      <c r="F75" s="21">
        <v>0.03</v>
      </c>
      <c r="G75" s="136">
        <v>0.75</v>
      </c>
      <c r="H75" s="136"/>
      <c r="I75" s="20">
        <f>-(I74*$F75*$G75)</f>
        <v>-734.91330531137669</v>
      </c>
      <c r="J75" s="20">
        <f>-(J74*$F75*$G75)</f>
        <v>-2738.8730258772525</v>
      </c>
      <c r="K75" s="10"/>
      <c r="L75" s="7"/>
    </row>
    <row r="76" spans="1:15" x14ac:dyDescent="0.2">
      <c r="A76" s="10"/>
      <c r="B76" s="135" t="s">
        <v>138</v>
      </c>
      <c r="C76" s="135"/>
      <c r="D76" s="135"/>
      <c r="E76" s="135"/>
      <c r="F76" s="135"/>
      <c r="G76" s="135"/>
      <c r="H76" s="135"/>
      <c r="I76" s="20">
        <f>SUM(I74:I75)</f>
        <v>31927.900264083142</v>
      </c>
      <c r="J76" s="20">
        <f>SUM(J74:J75)</f>
        <v>118988.81701311175</v>
      </c>
      <c r="K76" s="10"/>
      <c r="L76" s="5"/>
      <c r="N76" s="8"/>
    </row>
    <row r="77" spans="1:15" x14ac:dyDescent="0.2">
      <c r="A77" s="10"/>
      <c r="B77" s="135" t="s">
        <v>153</v>
      </c>
      <c r="C77" s="135"/>
      <c r="D77" s="135"/>
      <c r="E77" s="135"/>
      <c r="F77" s="135"/>
      <c r="G77" s="135"/>
      <c r="H77" s="135"/>
      <c r="I77" s="20">
        <f>IFERROR((I76/I65),0)</f>
        <v>15.0535</v>
      </c>
      <c r="J77" s="22">
        <f>J76/(J65+0.000000001)</f>
        <v>15.053499999998095</v>
      </c>
      <c r="K77" s="10"/>
      <c r="M77" s="5"/>
      <c r="N77" s="7"/>
    </row>
    <row r="78" spans="1:15" ht="18.75" x14ac:dyDescent="0.3">
      <c r="A78" s="10"/>
      <c r="B78" s="112" t="s">
        <v>156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139</v>
      </c>
      <c r="C79" s="119"/>
      <c r="D79" s="119"/>
      <c r="E79" s="119"/>
      <c r="F79" s="119"/>
      <c r="G79" s="113" t="s">
        <v>140</v>
      </c>
      <c r="H79" s="113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2" t="s">
        <v>143</v>
      </c>
      <c r="C80" s="133"/>
      <c r="D80" s="133"/>
      <c r="E80" s="133"/>
      <c r="F80" s="134"/>
      <c r="G80" s="128">
        <v>0.03</v>
      </c>
      <c r="H80" s="129"/>
      <c r="I80" s="20">
        <f>$G80*I76</f>
        <v>957.83700792249419</v>
      </c>
      <c r="J80" s="20">
        <f>$G80*J76</f>
        <v>3569.6645103933524</v>
      </c>
      <c r="K80" s="10"/>
    </row>
    <row r="81" spans="1:12" x14ac:dyDescent="0.2">
      <c r="A81" s="10"/>
      <c r="B81" s="132" t="s">
        <v>141</v>
      </c>
      <c r="C81" s="133"/>
      <c r="D81" s="133"/>
      <c r="E81" s="133"/>
      <c r="F81" s="134"/>
      <c r="G81" s="130">
        <f>IFERROR((J81/J74),0)</f>
        <v>8.4863636363636363E-2</v>
      </c>
      <c r="H81" s="131"/>
      <c r="I81" s="20">
        <f>G81*I76</f>
        <v>2709.5177178656013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10330.254422854203</v>
      </c>
      <c r="K81" s="10"/>
    </row>
    <row r="82" spans="1:12" x14ac:dyDescent="0.2">
      <c r="A82" s="10"/>
      <c r="B82" s="132" t="s">
        <v>144</v>
      </c>
      <c r="C82" s="133"/>
      <c r="D82" s="133"/>
      <c r="E82" s="133"/>
      <c r="F82" s="134"/>
      <c r="G82" s="128">
        <v>0.01</v>
      </c>
      <c r="H82" s="129"/>
      <c r="I82" s="20">
        <f>$G82*I76</f>
        <v>319.27900264083144</v>
      </c>
      <c r="J82" s="20">
        <f>$G82*J76</f>
        <v>1189.8881701311175</v>
      </c>
      <c r="K82" s="10"/>
    </row>
    <row r="83" spans="1:12" x14ac:dyDescent="0.2">
      <c r="A83" s="10"/>
      <c r="B83" s="132" t="s">
        <v>150</v>
      </c>
      <c r="C83" s="133"/>
      <c r="D83" s="133"/>
      <c r="E83" s="133"/>
      <c r="F83" s="134"/>
      <c r="G83" s="130">
        <f>IFERROR((I83/I74),0)</f>
        <v>3.0615856098110697E-2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23</v>
      </c>
      <c r="C84" s="133"/>
      <c r="D84" s="133"/>
      <c r="E84" s="133"/>
      <c r="F84" s="134"/>
      <c r="G84" s="130">
        <f>IFERROR((I84/I74),0)</f>
        <v>0.63163572716012184</v>
      </c>
      <c r="H84" s="131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32" t="s">
        <v>145</v>
      </c>
      <c r="C85" s="133"/>
      <c r="D85" s="133"/>
      <c r="E85" s="133"/>
      <c r="F85" s="134"/>
      <c r="G85" s="128">
        <v>0.01</v>
      </c>
      <c r="H85" s="129"/>
      <c r="I85" s="20">
        <f>$G85*I76</f>
        <v>319.27900264083144</v>
      </c>
      <c r="J85" s="20">
        <f>$G85*J76</f>
        <v>1189.8881701311175</v>
      </c>
      <c r="K85" s="10"/>
    </row>
    <row r="86" spans="1:12" x14ac:dyDescent="0.2">
      <c r="A86" s="10"/>
      <c r="B86" s="132" t="s">
        <v>146</v>
      </c>
      <c r="C86" s="133"/>
      <c r="D86" s="133"/>
      <c r="E86" s="133"/>
      <c r="F86" s="134"/>
      <c r="G86" s="128">
        <v>0.01</v>
      </c>
      <c r="H86" s="129"/>
      <c r="I86" s="20">
        <f>$G86*I76</f>
        <v>319.27900264083144</v>
      </c>
      <c r="J86" s="20">
        <f>$G86*J76</f>
        <v>1189.8881701311175</v>
      </c>
      <c r="K86" s="10"/>
    </row>
    <row r="87" spans="1:12" x14ac:dyDescent="0.2">
      <c r="A87" s="10"/>
      <c r="B87" s="132" t="s">
        <v>148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478.9185039612471</v>
      </c>
      <c r="J87" s="20">
        <f>$G87*J76</f>
        <v>1784.8322551966762</v>
      </c>
      <c r="K87" s="10"/>
    </row>
    <row r="88" spans="1:12" x14ac:dyDescent="0.2">
      <c r="A88" s="10"/>
      <c r="B88" s="132" t="s">
        <v>151</v>
      </c>
      <c r="C88" s="133"/>
      <c r="D88" s="133"/>
      <c r="E88" s="133"/>
      <c r="F88" s="134"/>
      <c r="G88" s="128">
        <v>0.01</v>
      </c>
      <c r="H88" s="129"/>
      <c r="I88" s="20">
        <f>$G88*I76</f>
        <v>319.27900264083144</v>
      </c>
      <c r="J88" s="20">
        <f>$G88*J76</f>
        <v>1189.8881701311175</v>
      </c>
      <c r="K88" s="10"/>
    </row>
    <row r="89" spans="1:12" x14ac:dyDescent="0.2">
      <c r="A89" s="10"/>
      <c r="B89" s="132" t="s">
        <v>149</v>
      </c>
      <c r="C89" s="133"/>
      <c r="D89" s="133"/>
      <c r="E89" s="133"/>
      <c r="F89" s="134"/>
      <c r="G89" s="130">
        <f>IFERROR((I89/I74),0)</f>
        <v>6.1231712196221394E-2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147</v>
      </c>
      <c r="C90" s="133"/>
      <c r="D90" s="133"/>
      <c r="E90" s="133"/>
      <c r="F90" s="134"/>
      <c r="G90" s="128">
        <v>0.01</v>
      </c>
      <c r="H90" s="129"/>
      <c r="I90" s="20">
        <f>$G90*I76</f>
        <v>319.27900264083144</v>
      </c>
      <c r="J90" s="20">
        <f>$G90*J76</f>
        <v>1189.8881701311175</v>
      </c>
      <c r="K90" s="10"/>
      <c r="L90" s="5"/>
    </row>
    <row r="91" spans="1:12" x14ac:dyDescent="0.2">
      <c r="A91" s="10"/>
      <c r="B91" s="132" t="s">
        <v>142</v>
      </c>
      <c r="C91" s="133"/>
      <c r="D91" s="133"/>
      <c r="E91" s="133"/>
      <c r="F91" s="134"/>
      <c r="G91" s="128">
        <v>0.08</v>
      </c>
      <c r="H91" s="129"/>
      <c r="I91" s="20">
        <f>$G91*I76</f>
        <v>2554.2320211266515</v>
      </c>
      <c r="J91" s="20">
        <f>$G91*J76</f>
        <v>9519.1053610489398</v>
      </c>
      <c r="K91" s="10"/>
      <c r="L91" s="5"/>
    </row>
    <row r="92" spans="1:12" x14ac:dyDescent="0.2">
      <c r="A92" s="10"/>
      <c r="B92" s="135" t="s">
        <v>152</v>
      </c>
      <c r="C92" s="135"/>
      <c r="D92" s="135"/>
      <c r="E92" s="135"/>
      <c r="F92" s="135"/>
      <c r="G92" s="135"/>
      <c r="H92" s="135"/>
      <c r="I92" s="20">
        <f>SUM(I80:I91)</f>
        <v>31927.900264080155</v>
      </c>
      <c r="J92" s="20">
        <f>SUM(J80:J91)</f>
        <v>54784.29740014876</v>
      </c>
      <c r="K92" s="10"/>
    </row>
    <row r="93" spans="1:12" x14ac:dyDescent="0.2">
      <c r="A93" s="10"/>
      <c r="B93" s="119" t="s">
        <v>191</v>
      </c>
      <c r="C93" s="119"/>
      <c r="D93" s="119"/>
      <c r="E93" s="119"/>
      <c r="F93" s="119"/>
      <c r="G93" s="119"/>
      <c r="H93" s="119"/>
      <c r="I93" s="24">
        <f>I76-I92</f>
        <v>2.9867806006222963E-9</v>
      </c>
      <c r="J93" s="24">
        <f>J76-J92</f>
        <v>64204.519612962991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16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183</v>
      </c>
      <c r="D108" s="119"/>
      <c r="E108" s="153" t="str">
        <f>CustomerName</f>
        <v>Josh Kingsley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184</v>
      </c>
      <c r="D109" s="121"/>
      <c r="E109" s="153" t="str">
        <f>CompanyName</f>
        <v>LUV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128</v>
      </c>
      <c r="D110" s="123"/>
      <c r="E110" s="158">
        <f>AddressLine1</f>
        <v>0</v>
      </c>
      <c r="F110" s="159"/>
      <c r="G110" s="159"/>
      <c r="H110" s="159"/>
      <c r="I110" s="160"/>
      <c r="J110" s="10"/>
      <c r="K110" s="10"/>
    </row>
    <row r="111" spans="1:11" x14ac:dyDescent="0.2">
      <c r="A111" s="10"/>
      <c r="B111" s="10"/>
      <c r="C111" s="124"/>
      <c r="D111" s="125"/>
      <c r="E111" s="161" t="str">
        <f>AddressLine2</f>
        <v>1555 Dunn Ave.</v>
      </c>
      <c r="F111" s="162"/>
      <c r="G111" s="162"/>
      <c r="H111" s="162"/>
      <c r="I111" s="163"/>
      <c r="J111" s="10"/>
      <c r="K111" s="10"/>
    </row>
    <row r="112" spans="1:11" x14ac:dyDescent="0.2">
      <c r="A112" s="10"/>
      <c r="B112" s="10"/>
      <c r="C112" s="126"/>
      <c r="D112" s="127"/>
      <c r="E112" s="164" t="str">
        <f>AddressLine3</f>
        <v>Jacksonville, FL 32218</v>
      </c>
      <c r="F112" s="165"/>
      <c r="G112" s="165"/>
      <c r="H112" s="165"/>
      <c r="I112" s="166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129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110</v>
      </c>
      <c r="C116" s="157" t="s">
        <v>111</v>
      </c>
      <c r="D116" s="157"/>
      <c r="E116" s="26" t="s">
        <v>112</v>
      </c>
      <c r="F116" s="26" t="s">
        <v>113</v>
      </c>
      <c r="G116" s="157" t="s">
        <v>114</v>
      </c>
      <c r="H116" s="157"/>
      <c r="I116" s="157" t="s">
        <v>115</v>
      </c>
      <c r="J116" s="157"/>
      <c r="K116" s="10"/>
    </row>
    <row r="117" spans="1:11" x14ac:dyDescent="0.2">
      <c r="A117" s="10"/>
      <c r="B117" s="27" t="s">
        <v>117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6">
        <f>'Input Form'!E81</f>
        <v>0</v>
      </c>
      <c r="H117" s="140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119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6">
        <f>'Input Form'!E82</f>
        <v>0</v>
      </c>
      <c r="H118" s="140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116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6">
        <f>'Input Form'!E83</f>
        <v>0</v>
      </c>
      <c r="H119" s="140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118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6">
        <f>'Input Form'!E84</f>
        <v>0</v>
      </c>
      <c r="H120" s="140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158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6">
        <f>'Input Form'!E85</f>
        <v>0</v>
      </c>
      <c r="H121" s="140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159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6">
        <f>'Input Form'!E86</f>
        <v>0</v>
      </c>
      <c r="H122" s="140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110</v>
      </c>
      <c r="C124" s="157" t="s">
        <v>115</v>
      </c>
      <c r="D124" s="157"/>
      <c r="E124" s="168" t="s">
        <v>126</v>
      </c>
      <c r="F124" s="169"/>
      <c r="G124" s="157" t="s">
        <v>160</v>
      </c>
      <c r="H124" s="157"/>
      <c r="I124" s="157" t="s">
        <v>125</v>
      </c>
      <c r="J124" s="157"/>
      <c r="K124" s="10"/>
    </row>
    <row r="125" spans="1:11" x14ac:dyDescent="0.2">
      <c r="A125" s="10"/>
      <c r="B125" s="27" t="s">
        <v>117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300</v>
      </c>
      <c r="H125" s="140"/>
      <c r="I125" s="167">
        <f>'Input Form'!F89</f>
        <v>0</v>
      </c>
      <c r="J125" s="167"/>
      <c r="K125" s="10"/>
    </row>
    <row r="126" spans="1:11" x14ac:dyDescent="0.2">
      <c r="A126" s="10"/>
      <c r="B126" s="27" t="s">
        <v>119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300</v>
      </c>
      <c r="H126" s="140"/>
      <c r="I126" s="167">
        <f>'Input Form'!F90</f>
        <v>0</v>
      </c>
      <c r="J126" s="167"/>
      <c r="K126" s="10"/>
    </row>
    <row r="127" spans="1:11" x14ac:dyDescent="0.2">
      <c r="A127" s="10"/>
      <c r="B127" s="27" t="s">
        <v>116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300</v>
      </c>
      <c r="H127" s="140"/>
      <c r="I127" s="167">
        <f>'Input Form'!F91</f>
        <v>0</v>
      </c>
      <c r="J127" s="167"/>
      <c r="K127" s="10"/>
    </row>
    <row r="128" spans="1:11" x14ac:dyDescent="0.2">
      <c r="A128" s="10"/>
      <c r="B128" s="27" t="s">
        <v>118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300</v>
      </c>
      <c r="H128" s="140"/>
      <c r="I128" s="167">
        <f>'Input Form'!F92</f>
        <v>0</v>
      </c>
      <c r="J128" s="167"/>
      <c r="K128" s="10"/>
    </row>
    <row r="129" spans="1:11" x14ac:dyDescent="0.2">
      <c r="A129" s="10"/>
      <c r="B129" s="27" t="s">
        <v>158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300</v>
      </c>
      <c r="H129" s="140"/>
      <c r="I129" s="167">
        <f>'Input Form'!F93</f>
        <v>0</v>
      </c>
      <c r="J129" s="167"/>
      <c r="K129" s="10"/>
    </row>
    <row r="130" spans="1:11" x14ac:dyDescent="0.2">
      <c r="A130" s="10"/>
      <c r="B130" s="27" t="s">
        <v>121</v>
      </c>
      <c r="C130" s="156">
        <f>'Input Form'!B94</f>
        <v>0</v>
      </c>
      <c r="D130" s="140"/>
      <c r="E130" s="170"/>
      <c r="F130" s="171"/>
      <c r="G130" s="171"/>
      <c r="H130" s="172"/>
      <c r="I130" s="167">
        <f>'Input Form'!F94</f>
        <v>0</v>
      </c>
      <c r="J130" s="167"/>
      <c r="K130" s="10"/>
    </row>
    <row r="131" spans="1:11" ht="18.75" x14ac:dyDescent="0.3">
      <c r="A131" s="10"/>
      <c r="B131" s="112" t="s">
        <v>122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123</v>
      </c>
      <c r="C132" s="119"/>
      <c r="D132" s="119"/>
      <c r="E132" s="119"/>
      <c r="F132" s="119"/>
      <c r="G132" s="119"/>
      <c r="H132" s="119"/>
      <c r="I132" s="113" t="s">
        <v>125</v>
      </c>
      <c r="J132" s="113"/>
      <c r="K132" s="10"/>
    </row>
    <row r="133" spans="1:11" x14ac:dyDescent="0.2">
      <c r="A133" s="10"/>
      <c r="B133" s="135" t="s">
        <v>117</v>
      </c>
      <c r="C133" s="135"/>
      <c r="D133" s="135"/>
      <c r="E133" s="135"/>
      <c r="F133" s="135"/>
      <c r="G133" s="135"/>
      <c r="H133" s="135"/>
      <c r="I133" s="167">
        <f>'Input Form'!E97</f>
        <v>0</v>
      </c>
      <c r="J133" s="167"/>
      <c r="K133" s="10"/>
    </row>
    <row r="134" spans="1:11" x14ac:dyDescent="0.2">
      <c r="A134" s="10"/>
      <c r="B134" s="135" t="s">
        <v>119</v>
      </c>
      <c r="C134" s="135"/>
      <c r="D134" s="135"/>
      <c r="E134" s="135"/>
      <c r="F134" s="135"/>
      <c r="G134" s="135"/>
      <c r="H134" s="135"/>
      <c r="I134" s="167">
        <f>'Input Form'!E98</f>
        <v>0</v>
      </c>
      <c r="J134" s="167"/>
      <c r="K134" s="10"/>
    </row>
    <row r="135" spans="1:11" x14ac:dyDescent="0.2">
      <c r="A135" s="10"/>
      <c r="B135" s="135" t="s">
        <v>116</v>
      </c>
      <c r="C135" s="135"/>
      <c r="D135" s="135"/>
      <c r="E135" s="135"/>
      <c r="F135" s="135"/>
      <c r="G135" s="135"/>
      <c r="H135" s="135"/>
      <c r="I135" s="167">
        <f>'Input Form'!E99</f>
        <v>0</v>
      </c>
      <c r="J135" s="167"/>
      <c r="K135" s="10"/>
    </row>
    <row r="136" spans="1:11" x14ac:dyDescent="0.2">
      <c r="A136" s="10"/>
      <c r="B136" s="135" t="s">
        <v>124</v>
      </c>
      <c r="C136" s="135"/>
      <c r="D136" s="135"/>
      <c r="E136" s="135"/>
      <c r="F136" s="135"/>
      <c r="G136" s="135"/>
      <c r="H136" s="135"/>
      <c r="I136" s="167">
        <f>'Input Form'!E100</f>
        <v>0</v>
      </c>
      <c r="J136" s="167"/>
      <c r="K136" s="10"/>
    </row>
    <row r="137" spans="1:11" ht="18.75" x14ac:dyDescent="0.3">
      <c r="A137" s="10"/>
      <c r="B137" s="175" t="s">
        <v>161</v>
      </c>
      <c r="C137" s="176"/>
      <c r="D137" s="176"/>
      <c r="E137" s="176"/>
      <c r="F137" s="176"/>
      <c r="G137" s="173" t="s">
        <v>130</v>
      </c>
      <c r="H137" s="173"/>
      <c r="I137" s="173" t="s">
        <v>166</v>
      </c>
      <c r="J137" s="174"/>
      <c r="K137" s="10"/>
    </row>
    <row r="138" spans="1:11" x14ac:dyDescent="0.2">
      <c r="A138" s="10"/>
      <c r="B138" s="135" t="s">
        <v>138</v>
      </c>
      <c r="C138" s="135"/>
      <c r="D138" s="135"/>
      <c r="E138" s="135"/>
      <c r="F138" s="135"/>
      <c r="G138" s="167">
        <f>I76</f>
        <v>31927.900264083142</v>
      </c>
      <c r="H138" s="167"/>
      <c r="I138" s="167">
        <f>J76</f>
        <v>118988.81701311175</v>
      </c>
      <c r="J138" s="167"/>
      <c r="K138" s="10"/>
    </row>
    <row r="139" spans="1:11" x14ac:dyDescent="0.2">
      <c r="A139" s="10"/>
      <c r="B139" s="135" t="s">
        <v>162</v>
      </c>
      <c r="C139" s="135"/>
      <c r="D139" s="135"/>
      <c r="E139" s="135"/>
      <c r="F139" s="135"/>
      <c r="G139" s="167">
        <f>I92</f>
        <v>31927.900264080155</v>
      </c>
      <c r="H139" s="167"/>
      <c r="I139" s="167">
        <f>J92</f>
        <v>54784.29740014876</v>
      </c>
      <c r="J139" s="167"/>
      <c r="K139" s="10"/>
    </row>
    <row r="140" spans="1:11" x14ac:dyDescent="0.2">
      <c r="A140" s="10"/>
      <c r="B140" s="135" t="s">
        <v>157</v>
      </c>
      <c r="C140" s="135"/>
      <c r="D140" s="135"/>
      <c r="E140" s="135"/>
      <c r="F140" s="135"/>
      <c r="G140" s="167">
        <f>G138-G139</f>
        <v>2.9867806006222963E-9</v>
      </c>
      <c r="H140" s="167"/>
      <c r="I140" s="167">
        <f>J93</f>
        <v>64204.519612962991</v>
      </c>
      <c r="J140" s="167"/>
      <c r="K140" s="10"/>
    </row>
    <row r="141" spans="1:11" x14ac:dyDescent="0.2">
      <c r="A141" s="10"/>
      <c r="B141" s="135" t="s">
        <v>163</v>
      </c>
      <c r="C141" s="135"/>
      <c r="D141" s="135"/>
      <c r="E141" s="135"/>
      <c r="F141" s="135"/>
      <c r="G141" s="167">
        <f>I130</f>
        <v>0</v>
      </c>
      <c r="H141" s="167"/>
      <c r="I141" s="167">
        <f>I130</f>
        <v>0</v>
      </c>
      <c r="J141" s="167"/>
      <c r="K141" s="10"/>
    </row>
    <row r="142" spans="1:11" x14ac:dyDescent="0.2">
      <c r="A142" s="10"/>
      <c r="B142" s="135" t="s">
        <v>164</v>
      </c>
      <c r="C142" s="135"/>
      <c r="D142" s="135"/>
      <c r="E142" s="135"/>
      <c r="F142" s="135"/>
      <c r="G142" s="167">
        <f>I136</f>
        <v>0</v>
      </c>
      <c r="H142" s="167"/>
      <c r="I142" s="167">
        <f>I136</f>
        <v>0</v>
      </c>
      <c r="J142" s="167"/>
      <c r="K142" s="10"/>
    </row>
    <row r="143" spans="1:11" x14ac:dyDescent="0.2">
      <c r="A143" s="10"/>
      <c r="B143" s="135" t="s">
        <v>165</v>
      </c>
      <c r="C143" s="135"/>
      <c r="D143" s="135"/>
      <c r="E143" s="135"/>
      <c r="F143" s="135"/>
      <c r="G143" s="167">
        <f>G140-G141-G142</f>
        <v>2.9867806006222963E-9</v>
      </c>
      <c r="H143" s="167"/>
      <c r="I143" s="167">
        <f>I140-I141-I142</f>
        <v>64204.519612962991</v>
      </c>
      <c r="J143" s="16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16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183</v>
      </c>
      <c r="D157" s="119"/>
      <c r="E157" s="153" t="str">
        <f>CustomerName</f>
        <v>Josh Kingsley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184</v>
      </c>
      <c r="D158" s="121"/>
      <c r="E158" s="153" t="str">
        <f>CompanyName</f>
        <v>LUV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128</v>
      </c>
      <c r="D159" s="123"/>
      <c r="E159" s="158">
        <f>AddressLine1</f>
        <v>0</v>
      </c>
      <c r="F159" s="159"/>
      <c r="G159" s="159"/>
      <c r="H159" s="159"/>
      <c r="I159" s="160"/>
      <c r="J159" s="10"/>
      <c r="K159" s="10"/>
    </row>
    <row r="160" spans="1:11" x14ac:dyDescent="0.2">
      <c r="A160" s="10"/>
      <c r="B160" s="10"/>
      <c r="C160" s="124"/>
      <c r="D160" s="125"/>
      <c r="E160" s="161" t="str">
        <f>AddressLine2</f>
        <v>1555 Dunn Ave.</v>
      </c>
      <c r="F160" s="162"/>
      <c r="G160" s="162"/>
      <c r="H160" s="162"/>
      <c r="I160" s="163"/>
      <c r="J160" s="10"/>
      <c r="K160" s="10"/>
    </row>
    <row r="161" spans="1:11" x14ac:dyDescent="0.2">
      <c r="A161" s="10"/>
      <c r="B161" s="10"/>
      <c r="C161" s="126"/>
      <c r="D161" s="127"/>
      <c r="E161" s="164" t="str">
        <f>AddressLine3</f>
        <v>Jacksonville, FL 32218</v>
      </c>
      <c r="F161" s="165"/>
      <c r="G161" s="165"/>
      <c r="H161" s="165"/>
      <c r="I161" s="166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185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167</v>
      </c>
      <c r="C165" s="112"/>
      <c r="D165" s="112"/>
      <c r="E165" s="112"/>
      <c r="F165" s="112"/>
      <c r="G165" s="112"/>
      <c r="H165" s="112"/>
      <c r="I165" s="17" t="s">
        <v>166</v>
      </c>
      <c r="J165" s="177" t="s">
        <v>168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94852.74548492649</v>
      </c>
      <c r="J166" s="177"/>
      <c r="K166" s="10"/>
    </row>
    <row r="167" spans="1:11" ht="18.75" x14ac:dyDescent="0.3">
      <c r="A167" s="10"/>
      <c r="B167" s="178" t="s">
        <v>155</v>
      </c>
      <c r="C167" s="178"/>
      <c r="D167" s="178"/>
      <c r="E167" s="178"/>
      <c r="F167" s="178"/>
      <c r="G167" s="178"/>
      <c r="H167" s="178"/>
      <c r="I167" s="178"/>
      <c r="J167" s="178"/>
      <c r="K167" s="10"/>
    </row>
    <row r="168" spans="1:11" ht="25.5" customHeight="1" x14ac:dyDescent="0.2">
      <c r="A168" s="10"/>
      <c r="B168" s="113" t="s">
        <v>135</v>
      </c>
      <c r="C168" s="113"/>
      <c r="D168" s="113"/>
      <c r="E168" s="113"/>
      <c r="F168" s="29" t="s">
        <v>134</v>
      </c>
      <c r="G168" s="177" t="s">
        <v>133</v>
      </c>
      <c r="H168" s="177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0</v>
      </c>
      <c r="G169" s="139">
        <f>'Input Form'!$D$19</f>
        <v>0</v>
      </c>
      <c r="H169" s="140"/>
      <c r="I169" s="20">
        <f>I$166*F169*G169</f>
        <v>0</v>
      </c>
      <c r="J169" s="30">
        <f>IFERROR((I169/I$174),0)</f>
        <v>0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0.4</v>
      </c>
      <c r="H170" s="140"/>
      <c r="I170" s="20">
        <f>I$166*F170*G170</f>
        <v>379410.98193970602</v>
      </c>
      <c r="J170" s="30">
        <f t="shared" ref="J170:J176" si="2">IFERROR((I170/I$174),0)</f>
        <v>0.25974025974025977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16</v>
      </c>
      <c r="G171" s="139">
        <f>'Input Form'!$D$21</f>
        <v>0.3</v>
      </c>
      <c r="H171" s="140"/>
      <c r="I171" s="20">
        <f>I$166*F171*G171</f>
        <v>455293.17832764715</v>
      </c>
      <c r="J171" s="30">
        <f t="shared" si="2"/>
        <v>0.31168831168831174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0</v>
      </c>
      <c r="G172" s="139">
        <f>'Input Form'!$D$22</f>
        <v>0</v>
      </c>
      <c r="H172" s="140"/>
      <c r="I172" s="20">
        <f>I$166*F172*G172</f>
        <v>0</v>
      </c>
      <c r="J172" s="30">
        <f t="shared" si="2"/>
        <v>0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22</v>
      </c>
      <c r="G173" s="139">
        <f>'Input Form'!$D$23</f>
        <v>0.3</v>
      </c>
      <c r="H173" s="140"/>
      <c r="I173" s="20">
        <f>I$166*F173*G173</f>
        <v>626028.12020051479</v>
      </c>
      <c r="J173" s="30">
        <f t="shared" si="2"/>
        <v>0.42857142857142855</v>
      </c>
      <c r="K173" s="10"/>
    </row>
    <row r="174" spans="1:11" x14ac:dyDescent="0.2">
      <c r="A174" s="10"/>
      <c r="B174" s="135" t="s">
        <v>136</v>
      </c>
      <c r="C174" s="135"/>
      <c r="D174" s="135"/>
      <c r="E174" s="135"/>
      <c r="F174" s="135"/>
      <c r="G174" s="135"/>
      <c r="H174" s="135"/>
      <c r="I174" s="20">
        <f>SUM(I169:I173)</f>
        <v>1460732.2804678679</v>
      </c>
      <c r="J174" s="30">
        <f t="shared" si="2"/>
        <v>1</v>
      </c>
      <c r="K174" s="10"/>
    </row>
    <row r="175" spans="1:11" x14ac:dyDescent="0.2">
      <c r="A175" s="10"/>
      <c r="B175" s="135" t="s">
        <v>137</v>
      </c>
      <c r="C175" s="135"/>
      <c r="D175" s="135"/>
      <c r="E175" s="135"/>
      <c r="F175" s="31">
        <f>$F$75</f>
        <v>0.03</v>
      </c>
      <c r="G175" s="179">
        <f>$G$75</f>
        <v>0.75</v>
      </c>
      <c r="H175" s="179"/>
      <c r="I175" s="20">
        <f>-(I174*F175*G175)</f>
        <v>-32866.476310527025</v>
      </c>
      <c r="J175" s="30">
        <f t="shared" si="2"/>
        <v>-2.2499999999999999E-2</v>
      </c>
      <c r="K175" s="10"/>
    </row>
    <row r="176" spans="1:11" x14ac:dyDescent="0.2">
      <c r="A176" s="10"/>
      <c r="B176" s="135" t="s">
        <v>138</v>
      </c>
      <c r="C176" s="135"/>
      <c r="D176" s="135"/>
      <c r="E176" s="135"/>
      <c r="F176" s="135"/>
      <c r="G176" s="135"/>
      <c r="H176" s="135"/>
      <c r="I176" s="20">
        <f>I174+I175</f>
        <v>1427865.8041573409</v>
      </c>
      <c r="J176" s="30">
        <f t="shared" si="2"/>
        <v>0.97750000000000004</v>
      </c>
      <c r="K176" s="10"/>
    </row>
    <row r="177" spans="1:11" ht="18.75" x14ac:dyDescent="0.3">
      <c r="A177" s="10"/>
      <c r="B177" s="112" t="s">
        <v>156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143</v>
      </c>
      <c r="C178" s="133"/>
      <c r="D178" s="133"/>
      <c r="E178" s="133"/>
      <c r="F178" s="133"/>
      <c r="G178" s="133"/>
      <c r="H178" s="134"/>
      <c r="I178" s="20">
        <f>$G$80*I176</f>
        <v>42835.974124720226</v>
      </c>
      <c r="J178" s="30">
        <f>IFERROR((I178/I$176),0)</f>
        <v>0.03</v>
      </c>
      <c r="K178" s="10"/>
    </row>
    <row r="179" spans="1:11" x14ac:dyDescent="0.2">
      <c r="A179" s="10"/>
      <c r="B179" s="132" t="s">
        <v>141</v>
      </c>
      <c r="C179" s="133"/>
      <c r="D179" s="133"/>
      <c r="E179" s="133"/>
      <c r="F179" s="133"/>
      <c r="G179" s="133"/>
      <c r="H179" s="134"/>
      <c r="I179" s="20">
        <f>$G$81*I176</f>
        <v>121173.88438007979</v>
      </c>
      <c r="J179" s="30">
        <f t="shared" ref="J179:J196" si="3">IFERROR((I179/I$176),0)</f>
        <v>8.4863636363636363E-2</v>
      </c>
      <c r="K179" s="10"/>
    </row>
    <row r="180" spans="1:11" x14ac:dyDescent="0.2">
      <c r="A180" s="10"/>
      <c r="B180" s="132" t="s">
        <v>144</v>
      </c>
      <c r="C180" s="133"/>
      <c r="D180" s="133"/>
      <c r="E180" s="133"/>
      <c r="F180" s="133"/>
      <c r="G180" s="133"/>
      <c r="H180" s="134"/>
      <c r="I180" s="20">
        <f>$G$82*I176</f>
        <v>14278.65804157341</v>
      </c>
      <c r="J180" s="30">
        <f t="shared" si="3"/>
        <v>0.01</v>
      </c>
      <c r="K180" s="10"/>
    </row>
    <row r="181" spans="1:11" x14ac:dyDescent="0.2">
      <c r="A181" s="10"/>
      <c r="B181" s="132" t="s">
        <v>150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8.4041511219479295E-3</v>
      </c>
      <c r="K181" s="10"/>
    </row>
    <row r="182" spans="1:11" x14ac:dyDescent="0.2">
      <c r="A182" s="10"/>
      <c r="B182" s="132" t="s">
        <v>23</v>
      </c>
      <c r="C182" s="133"/>
      <c r="D182" s="133"/>
      <c r="E182" s="133"/>
      <c r="F182" s="133"/>
      <c r="G182" s="133"/>
      <c r="H182" s="134"/>
      <c r="I182" s="20">
        <f>$I$84*12</f>
        <v>247572</v>
      </c>
      <c r="J182" s="30">
        <f t="shared" si="3"/>
        <v>0.17338604179690775</v>
      </c>
      <c r="K182" s="10"/>
    </row>
    <row r="183" spans="1:11" x14ac:dyDescent="0.2">
      <c r="A183" s="10"/>
      <c r="B183" s="132" t="s">
        <v>145</v>
      </c>
      <c r="C183" s="133"/>
      <c r="D183" s="133"/>
      <c r="E183" s="133"/>
      <c r="F183" s="133"/>
      <c r="G183" s="133"/>
      <c r="H183" s="134"/>
      <c r="I183" s="20">
        <f>$G$85*I176</f>
        <v>14278.65804157341</v>
      </c>
      <c r="J183" s="30">
        <f t="shared" si="3"/>
        <v>0.01</v>
      </c>
      <c r="K183" s="10"/>
    </row>
    <row r="184" spans="1:11" x14ac:dyDescent="0.2">
      <c r="A184" s="10"/>
      <c r="B184" s="132" t="s">
        <v>146</v>
      </c>
      <c r="C184" s="133"/>
      <c r="D184" s="133"/>
      <c r="E184" s="133"/>
      <c r="F184" s="133"/>
      <c r="G184" s="133"/>
      <c r="H184" s="134"/>
      <c r="I184" s="20">
        <f>$G$86*I176</f>
        <v>14278.65804157341</v>
      </c>
      <c r="J184" s="30">
        <f t="shared" si="3"/>
        <v>0.01</v>
      </c>
      <c r="K184" s="10"/>
    </row>
    <row r="185" spans="1:11" x14ac:dyDescent="0.2">
      <c r="A185" s="10"/>
      <c r="B185" s="132" t="s">
        <v>148</v>
      </c>
      <c r="C185" s="133"/>
      <c r="D185" s="133"/>
      <c r="E185" s="133"/>
      <c r="F185" s="133"/>
      <c r="G185" s="133"/>
      <c r="H185" s="134"/>
      <c r="I185" s="20">
        <f>$G$87*I176</f>
        <v>21417.987062360113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151</v>
      </c>
      <c r="C186" s="133"/>
      <c r="D186" s="133"/>
      <c r="E186" s="133"/>
      <c r="F186" s="133"/>
      <c r="G186" s="133"/>
      <c r="H186" s="134"/>
      <c r="I186" s="20">
        <f>$G$88*I176</f>
        <v>14278.65804157341</v>
      </c>
      <c r="J186" s="30">
        <f t="shared" si="3"/>
        <v>0.01</v>
      </c>
      <c r="K186" s="10"/>
    </row>
    <row r="187" spans="1:11" x14ac:dyDescent="0.2">
      <c r="A187" s="10"/>
      <c r="B187" s="132" t="s">
        <v>149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1.6808302243895859E-2</v>
      </c>
      <c r="K187" s="10"/>
    </row>
    <row r="188" spans="1:11" x14ac:dyDescent="0.2">
      <c r="A188" s="10"/>
      <c r="B188" s="132" t="s">
        <v>147</v>
      </c>
      <c r="C188" s="133"/>
      <c r="D188" s="133"/>
      <c r="E188" s="133"/>
      <c r="F188" s="133"/>
      <c r="G188" s="133"/>
      <c r="H188" s="134"/>
      <c r="I188" s="20">
        <f>$G$90*I176</f>
        <v>14278.65804157341</v>
      </c>
      <c r="J188" s="30">
        <f t="shared" si="3"/>
        <v>0.01</v>
      </c>
      <c r="K188" s="10"/>
    </row>
    <row r="189" spans="1:11" x14ac:dyDescent="0.2">
      <c r="A189" s="10"/>
      <c r="B189" s="132" t="s">
        <v>142</v>
      </c>
      <c r="C189" s="133"/>
      <c r="D189" s="133"/>
      <c r="E189" s="133"/>
      <c r="F189" s="133"/>
      <c r="G189" s="133"/>
      <c r="H189" s="134"/>
      <c r="I189" s="20">
        <f>$G$91*I176</f>
        <v>114229.26433258728</v>
      </c>
      <c r="J189" s="30">
        <f t="shared" si="3"/>
        <v>0.08</v>
      </c>
      <c r="K189" s="10"/>
    </row>
    <row r="190" spans="1:11" x14ac:dyDescent="0.2">
      <c r="A190" s="10"/>
      <c r="B190" s="135" t="s">
        <v>152</v>
      </c>
      <c r="C190" s="135"/>
      <c r="D190" s="135"/>
      <c r="E190" s="135"/>
      <c r="F190" s="135"/>
      <c r="G190" s="135"/>
      <c r="H190" s="135"/>
      <c r="I190" s="20">
        <f>SUM(I178:I189)</f>
        <v>654622.40010761435</v>
      </c>
      <c r="J190" s="30">
        <f t="shared" si="3"/>
        <v>0.45846213152638782</v>
      </c>
      <c r="K190" s="10"/>
    </row>
    <row r="191" spans="1:11" x14ac:dyDescent="0.2">
      <c r="A191" s="10"/>
      <c r="B191" s="119" t="s">
        <v>191</v>
      </c>
      <c r="C191" s="119"/>
      <c r="D191" s="119"/>
      <c r="E191" s="119"/>
      <c r="F191" s="119"/>
      <c r="G191" s="119"/>
      <c r="H191" s="119"/>
      <c r="I191" s="24">
        <f>I176-I190</f>
        <v>773243.40404972655</v>
      </c>
      <c r="J191" s="30">
        <f t="shared" si="3"/>
        <v>0.54153786847361218</v>
      </c>
      <c r="K191" s="10"/>
    </row>
    <row r="192" spans="1:11" ht="18.75" x14ac:dyDescent="0.3">
      <c r="A192" s="10"/>
      <c r="B192" s="112" t="s">
        <v>169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170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124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171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190</v>
      </c>
      <c r="C196" s="119"/>
      <c r="D196" s="119"/>
      <c r="E196" s="119"/>
      <c r="F196" s="119"/>
      <c r="G196" s="119"/>
      <c r="H196" s="119"/>
      <c r="I196" s="24">
        <f>I191-I195</f>
        <v>773243.40404972655</v>
      </c>
      <c r="J196" s="30">
        <f t="shared" si="3"/>
        <v>0.54153786847361218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16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183</v>
      </c>
      <c r="D208" s="119"/>
      <c r="E208" s="153" t="str">
        <f>CustomerName</f>
        <v>Josh Kingsley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184</v>
      </c>
      <c r="D209" s="121"/>
      <c r="E209" s="153" t="str">
        <f>CompanyName</f>
        <v>LUV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128</v>
      </c>
      <c r="D210" s="123"/>
      <c r="E210" s="158">
        <f>AddressLine1</f>
        <v>0</v>
      </c>
      <c r="F210" s="159"/>
      <c r="G210" s="159"/>
      <c r="H210" s="159"/>
      <c r="I210" s="160"/>
      <c r="J210" s="10"/>
      <c r="K210" s="10"/>
    </row>
    <row r="211" spans="1:11" x14ac:dyDescent="0.2">
      <c r="A211" s="10"/>
      <c r="B211" s="10"/>
      <c r="C211" s="124"/>
      <c r="D211" s="125"/>
      <c r="E211" s="161" t="str">
        <f>AddressLine2</f>
        <v>1555 Dunn Ave.</v>
      </c>
      <c r="F211" s="162"/>
      <c r="G211" s="162"/>
      <c r="H211" s="162"/>
      <c r="I211" s="163"/>
      <c r="J211" s="10"/>
      <c r="K211" s="10"/>
    </row>
    <row r="212" spans="1:11" x14ac:dyDescent="0.2">
      <c r="A212" s="10"/>
      <c r="B212" s="10"/>
      <c r="C212" s="126"/>
      <c r="D212" s="127"/>
      <c r="E212" s="164" t="str">
        <f>AddressLine3</f>
        <v>Jacksonville, FL 32218</v>
      </c>
      <c r="F212" s="165"/>
      <c r="G212" s="165"/>
      <c r="H212" s="165"/>
      <c r="I212" s="166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186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167</v>
      </c>
      <c r="C216" s="112"/>
      <c r="D216" s="112"/>
      <c r="E216" s="112"/>
      <c r="F216" s="112"/>
      <c r="G216" s="112"/>
      <c r="H216" s="112"/>
      <c r="I216" s="17" t="s">
        <v>172</v>
      </c>
      <c r="J216" s="177" t="s">
        <v>168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125193.84109035326</v>
      </c>
      <c r="J217" s="177"/>
      <c r="K217" s="10"/>
    </row>
    <row r="218" spans="1:11" ht="18.75" x14ac:dyDescent="0.3">
      <c r="A218" s="10"/>
      <c r="B218" s="112" t="s">
        <v>155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135</v>
      </c>
      <c r="C219" s="113"/>
      <c r="D219" s="113"/>
      <c r="E219" s="113"/>
      <c r="F219" s="29" t="s">
        <v>134</v>
      </c>
      <c r="G219" s="177" t="s">
        <v>133</v>
      </c>
      <c r="H219" s="177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0</v>
      </c>
      <c r="G220" s="139">
        <f>'Input Form'!$D$19</f>
        <v>0</v>
      </c>
      <c r="H220" s="140"/>
      <c r="I220" s="20">
        <f>I$217*F220*G220</f>
        <v>0</v>
      </c>
      <c r="J220" s="30">
        <f>IFERROR((I220/I$225),0)</f>
        <v>0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0.4</v>
      </c>
      <c r="H221" s="140"/>
      <c r="I221" s="20">
        <f>I$217*F221*G221</f>
        <v>500775.36436141306</v>
      </c>
      <c r="J221" s="30">
        <f t="shared" ref="J221:J227" si="4">IFERROR((I221/I$225),0)</f>
        <v>0.25974025974025977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16</v>
      </c>
      <c r="G222" s="139">
        <f>'Input Form'!$D$21</f>
        <v>0.3</v>
      </c>
      <c r="H222" s="140"/>
      <c r="I222" s="20">
        <f>I$217*F222*G222</f>
        <v>600930.43723369564</v>
      </c>
      <c r="J222" s="30">
        <f t="shared" si="4"/>
        <v>0.31168831168831174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0</v>
      </c>
      <c r="G223" s="139">
        <f>'Input Form'!$D$22</f>
        <v>0</v>
      </c>
      <c r="H223" s="140"/>
      <c r="I223" s="20">
        <f>I$217*F223*G223</f>
        <v>0</v>
      </c>
      <c r="J223" s="30">
        <f t="shared" si="4"/>
        <v>0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22</v>
      </c>
      <c r="G224" s="139">
        <f>'Input Form'!$D$23</f>
        <v>0.3</v>
      </c>
      <c r="H224" s="140"/>
      <c r="I224" s="20">
        <f>I$217*F224*G224</f>
        <v>826279.35119633155</v>
      </c>
      <c r="J224" s="30">
        <f t="shared" si="4"/>
        <v>0.42857142857142866</v>
      </c>
      <c r="K224" s="10"/>
    </row>
    <row r="225" spans="1:11" x14ac:dyDescent="0.2">
      <c r="A225" s="10"/>
      <c r="B225" s="135" t="s">
        <v>136</v>
      </c>
      <c r="C225" s="135"/>
      <c r="D225" s="135"/>
      <c r="E225" s="135"/>
      <c r="F225" s="135"/>
      <c r="G225" s="135"/>
      <c r="H225" s="135"/>
      <c r="I225" s="20">
        <f>SUM(I220:I224)</f>
        <v>1927985.15279144</v>
      </c>
      <c r="J225" s="30">
        <f t="shared" si="4"/>
        <v>1</v>
      </c>
      <c r="K225" s="10"/>
    </row>
    <row r="226" spans="1:11" x14ac:dyDescent="0.2">
      <c r="A226" s="10"/>
      <c r="B226" s="135" t="s">
        <v>137</v>
      </c>
      <c r="C226" s="135"/>
      <c r="D226" s="135"/>
      <c r="E226" s="135"/>
      <c r="F226" s="31">
        <f>$F$75</f>
        <v>0.03</v>
      </c>
      <c r="G226" s="179">
        <f>$G$75</f>
        <v>0.75</v>
      </c>
      <c r="H226" s="179"/>
      <c r="I226" s="20">
        <f>-(I225*F226*G226)</f>
        <v>-43379.665937807396</v>
      </c>
      <c r="J226" s="30">
        <f t="shared" si="4"/>
        <v>-2.2499999999999999E-2</v>
      </c>
      <c r="K226" s="10"/>
    </row>
    <row r="227" spans="1:11" x14ac:dyDescent="0.2">
      <c r="A227" s="10"/>
      <c r="B227" s="135" t="s">
        <v>138</v>
      </c>
      <c r="C227" s="135"/>
      <c r="D227" s="135"/>
      <c r="E227" s="135"/>
      <c r="F227" s="135"/>
      <c r="G227" s="135"/>
      <c r="H227" s="135"/>
      <c r="I227" s="20">
        <f>I225+I226</f>
        <v>1884605.4868536326</v>
      </c>
      <c r="J227" s="30">
        <f t="shared" si="4"/>
        <v>0.97750000000000004</v>
      </c>
      <c r="K227" s="10"/>
    </row>
    <row r="228" spans="1:11" ht="18.75" x14ac:dyDescent="0.3">
      <c r="A228" s="10"/>
      <c r="B228" s="112" t="s">
        <v>156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143</v>
      </c>
      <c r="C229" s="133"/>
      <c r="D229" s="133"/>
      <c r="E229" s="133"/>
      <c r="F229" s="133"/>
      <c r="G229" s="133"/>
      <c r="H229" s="134"/>
      <c r="I229" s="20">
        <f>$G$80*I227</f>
        <v>56538.164605608974</v>
      </c>
      <c r="J229" s="30">
        <f>IFERROR((I229/I$227),0)</f>
        <v>0.03</v>
      </c>
      <c r="K229" s="10"/>
    </row>
    <row r="230" spans="1:11" x14ac:dyDescent="0.2">
      <c r="A230" s="10"/>
      <c r="B230" s="132" t="s">
        <v>141</v>
      </c>
      <c r="C230" s="133"/>
      <c r="D230" s="133"/>
      <c r="E230" s="133"/>
      <c r="F230" s="133"/>
      <c r="G230" s="133"/>
      <c r="H230" s="134"/>
      <c r="I230" s="20">
        <f>$G$81*I227</f>
        <v>159934.47472526054</v>
      </c>
      <c r="J230" s="30">
        <f t="shared" ref="J230:J247" si="5">IFERROR((I230/I$227),0)</f>
        <v>8.4863636363636363E-2</v>
      </c>
      <c r="K230" s="10"/>
    </row>
    <row r="231" spans="1:11" x14ac:dyDescent="0.2">
      <c r="A231" s="10"/>
      <c r="B231" s="132" t="s">
        <v>144</v>
      </c>
      <c r="C231" s="133"/>
      <c r="D231" s="133"/>
      <c r="E231" s="133"/>
      <c r="F231" s="133"/>
      <c r="G231" s="133"/>
      <c r="H231" s="134"/>
      <c r="I231" s="20">
        <f>$G$82*I227</f>
        <v>18846.054868536328</v>
      </c>
      <c r="J231" s="30">
        <f t="shared" si="5"/>
        <v>1.0000000000000002E-2</v>
      </c>
      <c r="K231" s="10"/>
    </row>
    <row r="232" spans="1:11" x14ac:dyDescent="0.2">
      <c r="A232" s="10"/>
      <c r="B232" s="132" t="s">
        <v>150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6.3673803794523157E-3</v>
      </c>
      <c r="K232" s="10"/>
    </row>
    <row r="233" spans="1:11" x14ac:dyDescent="0.2">
      <c r="A233" s="10"/>
      <c r="B233" s="132" t="s">
        <v>23</v>
      </c>
      <c r="C233" s="133"/>
      <c r="D233" s="133"/>
      <c r="E233" s="133"/>
      <c r="F233" s="133"/>
      <c r="G233" s="133"/>
      <c r="H233" s="134"/>
      <c r="I233" s="20">
        <f>$I$84*12</f>
        <v>247572</v>
      </c>
      <c r="J233" s="30">
        <f t="shared" si="5"/>
        <v>0.13136542460848072</v>
      </c>
      <c r="K233" s="10"/>
    </row>
    <row r="234" spans="1:11" x14ac:dyDescent="0.2">
      <c r="A234" s="10"/>
      <c r="B234" s="132" t="s">
        <v>145</v>
      </c>
      <c r="C234" s="133"/>
      <c r="D234" s="133"/>
      <c r="E234" s="133"/>
      <c r="F234" s="133"/>
      <c r="G234" s="133"/>
      <c r="H234" s="134"/>
      <c r="I234" s="20">
        <f>$G$85*I227</f>
        <v>18846.054868536328</v>
      </c>
      <c r="J234" s="30">
        <f t="shared" si="5"/>
        <v>1.0000000000000002E-2</v>
      </c>
      <c r="K234" s="10"/>
    </row>
    <row r="235" spans="1:11" x14ac:dyDescent="0.2">
      <c r="A235" s="10"/>
      <c r="B235" s="132" t="s">
        <v>146</v>
      </c>
      <c r="C235" s="133"/>
      <c r="D235" s="133"/>
      <c r="E235" s="133"/>
      <c r="F235" s="133"/>
      <c r="G235" s="133"/>
      <c r="H235" s="134"/>
      <c r="I235" s="20">
        <f>$G$86*I227</f>
        <v>18846.054868536328</v>
      </c>
      <c r="J235" s="30">
        <f t="shared" si="5"/>
        <v>1.0000000000000002E-2</v>
      </c>
      <c r="K235" s="10"/>
    </row>
    <row r="236" spans="1:11" x14ac:dyDescent="0.2">
      <c r="A236" s="10"/>
      <c r="B236" s="132" t="s">
        <v>148</v>
      </c>
      <c r="C236" s="133"/>
      <c r="D236" s="133"/>
      <c r="E236" s="133"/>
      <c r="F236" s="133"/>
      <c r="G236" s="133"/>
      <c r="H236" s="134"/>
      <c r="I236" s="20">
        <f>$G$87*I227</f>
        <v>28269.082302804487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151</v>
      </c>
      <c r="C237" s="133"/>
      <c r="D237" s="133"/>
      <c r="E237" s="133"/>
      <c r="F237" s="133"/>
      <c r="G237" s="133"/>
      <c r="H237" s="134"/>
      <c r="I237" s="20">
        <f>$G$88*I227</f>
        <v>18846.054868536328</v>
      </c>
      <c r="J237" s="30">
        <f t="shared" si="5"/>
        <v>1.0000000000000002E-2</v>
      </c>
      <c r="K237" s="10"/>
    </row>
    <row r="238" spans="1:11" x14ac:dyDescent="0.2">
      <c r="A238" s="10"/>
      <c r="B238" s="132" t="s">
        <v>149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1.2734760758904631E-2</v>
      </c>
      <c r="K238" s="10"/>
    </row>
    <row r="239" spans="1:11" x14ac:dyDescent="0.2">
      <c r="A239" s="10"/>
      <c r="B239" s="132" t="s">
        <v>147</v>
      </c>
      <c r="C239" s="133"/>
      <c r="D239" s="133"/>
      <c r="E239" s="133"/>
      <c r="F239" s="133"/>
      <c r="G239" s="133"/>
      <c r="H239" s="134"/>
      <c r="I239" s="20">
        <f>$G$90*I227</f>
        <v>18846.054868536328</v>
      </c>
      <c r="J239" s="30">
        <f t="shared" si="5"/>
        <v>1.0000000000000002E-2</v>
      </c>
      <c r="K239" s="10"/>
    </row>
    <row r="240" spans="1:11" x14ac:dyDescent="0.2">
      <c r="A240" s="10"/>
      <c r="B240" s="132" t="s">
        <v>142</v>
      </c>
      <c r="C240" s="133"/>
      <c r="D240" s="133"/>
      <c r="E240" s="133"/>
      <c r="F240" s="133"/>
      <c r="G240" s="133"/>
      <c r="H240" s="134"/>
      <c r="I240" s="20">
        <f>$G$91*I227</f>
        <v>150768.43894829063</v>
      </c>
      <c r="J240" s="30">
        <f t="shared" si="5"/>
        <v>8.0000000000000016E-2</v>
      </c>
      <c r="K240" s="10"/>
    </row>
    <row r="241" spans="1:11" x14ac:dyDescent="0.2">
      <c r="A241" s="10"/>
      <c r="B241" s="135" t="s">
        <v>152</v>
      </c>
      <c r="C241" s="135"/>
      <c r="D241" s="135"/>
      <c r="E241" s="135"/>
      <c r="F241" s="135"/>
      <c r="G241" s="135"/>
      <c r="H241" s="135"/>
      <c r="I241" s="20">
        <f>SUM(I229:I240)</f>
        <v>773312.43492464616</v>
      </c>
      <c r="J241" s="30">
        <f t="shared" si="5"/>
        <v>0.41033120211047397</v>
      </c>
      <c r="K241" s="10"/>
    </row>
    <row r="242" spans="1:11" x14ac:dyDescent="0.2">
      <c r="A242" s="10"/>
      <c r="B242" s="119" t="s">
        <v>191</v>
      </c>
      <c r="C242" s="119"/>
      <c r="D242" s="119"/>
      <c r="E242" s="119"/>
      <c r="F242" s="119"/>
      <c r="G242" s="119"/>
      <c r="H242" s="119"/>
      <c r="I242" s="24">
        <f>I227-I241</f>
        <v>1111293.0519289863</v>
      </c>
      <c r="J242" s="30">
        <f t="shared" si="5"/>
        <v>0.58966879788952598</v>
      </c>
      <c r="K242" s="10"/>
    </row>
    <row r="243" spans="1:11" ht="18.75" x14ac:dyDescent="0.3">
      <c r="A243" s="10"/>
      <c r="B243" s="112" t="s">
        <v>169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170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124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171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190</v>
      </c>
      <c r="C247" s="119"/>
      <c r="D247" s="119"/>
      <c r="E247" s="119"/>
      <c r="F247" s="119"/>
      <c r="G247" s="119"/>
      <c r="H247" s="119"/>
      <c r="I247" s="24">
        <f>I242-I246</f>
        <v>1111293.0519289863</v>
      </c>
      <c r="J247" s="30">
        <f t="shared" si="5"/>
        <v>0.58966879788952598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16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183</v>
      </c>
      <c r="D259" s="119"/>
      <c r="E259" s="153" t="str">
        <f>CustomerName</f>
        <v>Josh Kingsley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184</v>
      </c>
      <c r="D260" s="121"/>
      <c r="E260" s="153" t="str">
        <f>CompanyName</f>
        <v>LUV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128</v>
      </c>
      <c r="D261" s="123"/>
      <c r="E261" s="158">
        <f>AddressLine1</f>
        <v>0</v>
      </c>
      <c r="F261" s="159"/>
      <c r="G261" s="159"/>
      <c r="H261" s="159"/>
      <c r="I261" s="160"/>
      <c r="J261" s="10"/>
      <c r="K261" s="10"/>
    </row>
    <row r="262" spans="1:11" x14ac:dyDescent="0.2">
      <c r="A262" s="10"/>
      <c r="B262" s="10"/>
      <c r="C262" s="124"/>
      <c r="D262" s="125"/>
      <c r="E262" s="161" t="str">
        <f>AddressLine2</f>
        <v>1555 Dunn Ave.</v>
      </c>
      <c r="F262" s="162"/>
      <c r="G262" s="162"/>
      <c r="H262" s="162"/>
      <c r="I262" s="163"/>
      <c r="J262" s="10"/>
      <c r="K262" s="10"/>
    </row>
    <row r="263" spans="1:11" x14ac:dyDescent="0.2">
      <c r="A263" s="10"/>
      <c r="B263" s="10"/>
      <c r="C263" s="126"/>
      <c r="D263" s="127"/>
      <c r="E263" s="164" t="str">
        <f>AddressLine3</f>
        <v>Jacksonville, FL 32218</v>
      </c>
      <c r="F263" s="165"/>
      <c r="G263" s="165"/>
      <c r="H263" s="165"/>
      <c r="I263" s="166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187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167</v>
      </c>
      <c r="C267" s="112"/>
      <c r="D267" s="112"/>
      <c r="E267" s="112"/>
      <c r="F267" s="112"/>
      <c r="G267" s="112"/>
      <c r="H267" s="112"/>
      <c r="I267" s="17" t="s">
        <v>173</v>
      </c>
      <c r="J267" s="177" t="s">
        <v>168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136858.96134253676</v>
      </c>
      <c r="J268" s="177"/>
      <c r="K268" s="10"/>
    </row>
    <row r="269" spans="1:11" ht="18.75" x14ac:dyDescent="0.3">
      <c r="A269" s="10"/>
      <c r="B269" s="112" t="s">
        <v>155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135</v>
      </c>
      <c r="C270" s="113"/>
      <c r="D270" s="113"/>
      <c r="E270" s="113"/>
      <c r="F270" s="29" t="s">
        <v>134</v>
      </c>
      <c r="G270" s="177" t="s">
        <v>133</v>
      </c>
      <c r="H270" s="177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0</v>
      </c>
      <c r="G271" s="139">
        <f>'Input Form'!$D$19</f>
        <v>0</v>
      </c>
      <c r="H271" s="140"/>
      <c r="I271" s="20">
        <f>I$268*F271*G271</f>
        <v>0</v>
      </c>
      <c r="J271" s="30">
        <f>IFERROR((I271/I$276),0)</f>
        <v>0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0.4</v>
      </c>
      <c r="H272" s="140"/>
      <c r="I272" s="20">
        <f t="shared" ref="I272:I275" si="6">I$268*F272*G272</f>
        <v>547435.84537014703</v>
      </c>
      <c r="J272" s="30">
        <f t="shared" ref="J272:J278" si="7">IFERROR((I272/I$276),0)</f>
        <v>0.25974025974025972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16</v>
      </c>
      <c r="G273" s="139">
        <f>'Input Form'!$D$21</f>
        <v>0.3</v>
      </c>
      <c r="H273" s="140"/>
      <c r="I273" s="20">
        <f t="shared" si="6"/>
        <v>656923.01444417646</v>
      </c>
      <c r="J273" s="30">
        <f t="shared" si="7"/>
        <v>0.31168831168831168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0</v>
      </c>
      <c r="G274" s="139">
        <f>'Input Form'!$D$22</f>
        <v>0</v>
      </c>
      <c r="H274" s="140"/>
      <c r="I274" s="20">
        <f t="shared" si="6"/>
        <v>0</v>
      </c>
      <c r="J274" s="30">
        <f t="shared" si="7"/>
        <v>0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22</v>
      </c>
      <c r="G275" s="139">
        <f>'Input Form'!$D$23</f>
        <v>0.3</v>
      </c>
      <c r="H275" s="140"/>
      <c r="I275" s="20">
        <f t="shared" si="6"/>
        <v>903269.14486074261</v>
      </c>
      <c r="J275" s="30">
        <f t="shared" si="7"/>
        <v>0.42857142857142855</v>
      </c>
      <c r="K275" s="10"/>
    </row>
    <row r="276" spans="1:11" x14ac:dyDescent="0.2">
      <c r="A276" s="10"/>
      <c r="B276" s="135" t="s">
        <v>136</v>
      </c>
      <c r="C276" s="135"/>
      <c r="D276" s="135"/>
      <c r="E276" s="135"/>
      <c r="F276" s="135"/>
      <c r="G276" s="135"/>
      <c r="H276" s="135"/>
      <c r="I276" s="20">
        <f>SUM(I271:I275)</f>
        <v>2107628.0046750661</v>
      </c>
      <c r="J276" s="30">
        <f t="shared" si="7"/>
        <v>1</v>
      </c>
      <c r="K276" s="10"/>
    </row>
    <row r="277" spans="1:11" x14ac:dyDescent="0.2">
      <c r="A277" s="10"/>
      <c r="B277" s="135" t="s">
        <v>137</v>
      </c>
      <c r="C277" s="135"/>
      <c r="D277" s="135"/>
      <c r="E277" s="135"/>
      <c r="F277" s="31">
        <f>$F$75</f>
        <v>0.03</v>
      </c>
      <c r="G277" s="179">
        <f>$G$75</f>
        <v>0.75</v>
      </c>
      <c r="H277" s="179"/>
      <c r="I277" s="20">
        <f>-(I276*F277*G277)</f>
        <v>-47421.63010518899</v>
      </c>
      <c r="J277" s="30">
        <f t="shared" si="7"/>
        <v>-2.2500000000000003E-2</v>
      </c>
      <c r="K277" s="10"/>
    </row>
    <row r="278" spans="1:11" x14ac:dyDescent="0.2">
      <c r="A278" s="10"/>
      <c r="B278" s="135" t="s">
        <v>138</v>
      </c>
      <c r="C278" s="135"/>
      <c r="D278" s="135"/>
      <c r="E278" s="135"/>
      <c r="F278" s="135"/>
      <c r="G278" s="135"/>
      <c r="H278" s="135"/>
      <c r="I278" s="20">
        <f>I276+I277</f>
        <v>2060206.3745698771</v>
      </c>
      <c r="J278" s="30">
        <f t="shared" si="7"/>
        <v>0.97749999999999992</v>
      </c>
      <c r="K278" s="10"/>
    </row>
    <row r="279" spans="1:11" ht="18.75" x14ac:dyDescent="0.3">
      <c r="A279" s="10"/>
      <c r="B279" s="112" t="s">
        <v>156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143</v>
      </c>
      <c r="C280" s="133"/>
      <c r="D280" s="133"/>
      <c r="E280" s="133"/>
      <c r="F280" s="133"/>
      <c r="G280" s="133"/>
      <c r="H280" s="134"/>
      <c r="I280" s="20">
        <f>$G$80*I278</f>
        <v>61806.191237096311</v>
      </c>
      <c r="J280" s="30">
        <f>IFERROR((I280/I$278),0)</f>
        <v>0.03</v>
      </c>
      <c r="K280" s="10"/>
    </row>
    <row r="281" spans="1:11" x14ac:dyDescent="0.2">
      <c r="A281" s="10"/>
      <c r="B281" s="132" t="s">
        <v>141</v>
      </c>
      <c r="C281" s="133"/>
      <c r="D281" s="133"/>
      <c r="E281" s="133"/>
      <c r="F281" s="133"/>
      <c r="G281" s="133"/>
      <c r="H281" s="134"/>
      <c r="I281" s="20">
        <f>$G$81*I278</f>
        <v>174836.60460554366</v>
      </c>
      <c r="J281" s="30">
        <f t="shared" ref="J281:J298" si="8">IFERROR((I281/I$278),0)</f>
        <v>8.4863636363636363E-2</v>
      </c>
      <c r="K281" s="10"/>
    </row>
    <row r="282" spans="1:11" x14ac:dyDescent="0.2">
      <c r="A282" s="10"/>
      <c r="B282" s="132" t="s">
        <v>144</v>
      </c>
      <c r="C282" s="133"/>
      <c r="D282" s="133"/>
      <c r="E282" s="133"/>
      <c r="F282" s="133"/>
      <c r="G282" s="133"/>
      <c r="H282" s="134"/>
      <c r="I282" s="20">
        <f>$G$82*I278</f>
        <v>20602.063745698772</v>
      </c>
      <c r="J282" s="30">
        <f t="shared" si="8"/>
        <v>0.01</v>
      </c>
      <c r="K282" s="10"/>
    </row>
    <row r="283" spans="1:11" x14ac:dyDescent="0.2">
      <c r="A283" s="10"/>
      <c r="B283" s="132" t="s">
        <v>150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5.8246591934292598E-3</v>
      </c>
      <c r="K283" s="10"/>
    </row>
    <row r="284" spans="1:11" x14ac:dyDescent="0.2">
      <c r="A284" s="10"/>
      <c r="B284" s="132" t="s">
        <v>23</v>
      </c>
      <c r="C284" s="133"/>
      <c r="D284" s="133"/>
      <c r="E284" s="133"/>
      <c r="F284" s="133"/>
      <c r="G284" s="133"/>
      <c r="H284" s="134"/>
      <c r="I284" s="20">
        <f>$I$84*12</f>
        <v>247572</v>
      </c>
      <c r="J284" s="30">
        <f t="shared" si="8"/>
        <v>0.12016854381963907</v>
      </c>
      <c r="K284" s="10"/>
    </row>
    <row r="285" spans="1:11" x14ac:dyDescent="0.2">
      <c r="A285" s="10"/>
      <c r="B285" s="132" t="s">
        <v>145</v>
      </c>
      <c r="C285" s="133"/>
      <c r="D285" s="133"/>
      <c r="E285" s="133"/>
      <c r="F285" s="133"/>
      <c r="G285" s="133"/>
      <c r="H285" s="134"/>
      <c r="I285" s="20">
        <f>$G$85*I278</f>
        <v>20602.063745698772</v>
      </c>
      <c r="J285" s="30">
        <f t="shared" si="8"/>
        <v>0.01</v>
      </c>
      <c r="K285" s="10"/>
    </row>
    <row r="286" spans="1:11" x14ac:dyDescent="0.2">
      <c r="A286" s="10"/>
      <c r="B286" s="132" t="s">
        <v>146</v>
      </c>
      <c r="C286" s="133"/>
      <c r="D286" s="133"/>
      <c r="E286" s="133"/>
      <c r="F286" s="133"/>
      <c r="G286" s="133"/>
      <c r="H286" s="134"/>
      <c r="I286" s="20">
        <f>$G$86*I278</f>
        <v>20602.063745698772</v>
      </c>
      <c r="J286" s="30">
        <f t="shared" si="8"/>
        <v>0.01</v>
      </c>
      <c r="K286" s="10"/>
    </row>
    <row r="287" spans="1:11" x14ac:dyDescent="0.2">
      <c r="A287" s="10"/>
      <c r="B287" s="132" t="s">
        <v>148</v>
      </c>
      <c r="C287" s="133"/>
      <c r="D287" s="133"/>
      <c r="E287" s="133"/>
      <c r="F287" s="133"/>
      <c r="G287" s="133"/>
      <c r="H287" s="134"/>
      <c r="I287" s="20">
        <f>$G$87*I278</f>
        <v>30903.095618548155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151</v>
      </c>
      <c r="C288" s="133"/>
      <c r="D288" s="133"/>
      <c r="E288" s="133"/>
      <c r="F288" s="133"/>
      <c r="G288" s="133"/>
      <c r="H288" s="134"/>
      <c r="I288" s="20">
        <f>$G$88*I278</f>
        <v>20602.063745698772</v>
      </c>
      <c r="J288" s="30">
        <f t="shared" si="8"/>
        <v>0.01</v>
      </c>
      <c r="K288" s="10"/>
    </row>
    <row r="289" spans="1:11" x14ac:dyDescent="0.2">
      <c r="A289" s="10"/>
      <c r="B289" s="132" t="s">
        <v>149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1.164931838685852E-2</v>
      </c>
      <c r="K289" s="10"/>
    </row>
    <row r="290" spans="1:11" x14ac:dyDescent="0.2">
      <c r="A290" s="10"/>
      <c r="B290" s="132" t="s">
        <v>147</v>
      </c>
      <c r="C290" s="133"/>
      <c r="D290" s="133"/>
      <c r="E290" s="133"/>
      <c r="F290" s="133"/>
      <c r="G290" s="133"/>
      <c r="H290" s="134"/>
      <c r="I290" s="20">
        <f>$G$90*I278</f>
        <v>20602.063745698772</v>
      </c>
      <c r="J290" s="30">
        <f t="shared" si="8"/>
        <v>0.01</v>
      </c>
      <c r="K290" s="10"/>
    </row>
    <row r="291" spans="1:11" x14ac:dyDescent="0.2">
      <c r="A291" s="10"/>
      <c r="B291" s="132" t="s">
        <v>142</v>
      </c>
      <c r="C291" s="133"/>
      <c r="D291" s="133"/>
      <c r="E291" s="133"/>
      <c r="F291" s="133"/>
      <c r="G291" s="133"/>
      <c r="H291" s="134"/>
      <c r="I291" s="20">
        <f>$G$91*I278</f>
        <v>164816.50996559017</v>
      </c>
      <c r="J291" s="30">
        <f t="shared" si="8"/>
        <v>0.08</v>
      </c>
      <c r="K291" s="10"/>
    </row>
    <row r="292" spans="1:11" x14ac:dyDescent="0.2">
      <c r="A292" s="10"/>
      <c r="B292" s="135" t="s">
        <v>152</v>
      </c>
      <c r="C292" s="135"/>
      <c r="D292" s="135"/>
      <c r="E292" s="135"/>
      <c r="F292" s="135"/>
      <c r="G292" s="135"/>
      <c r="H292" s="135"/>
      <c r="I292" s="20">
        <f>SUM(I280:I291)</f>
        <v>818944.72015527217</v>
      </c>
      <c r="J292" s="30">
        <f t="shared" si="8"/>
        <v>0.39750615776356324</v>
      </c>
      <c r="K292" s="10"/>
    </row>
    <row r="293" spans="1:11" x14ac:dyDescent="0.2">
      <c r="A293" s="10"/>
      <c r="B293" s="119" t="s">
        <v>191</v>
      </c>
      <c r="C293" s="119"/>
      <c r="D293" s="119"/>
      <c r="E293" s="119"/>
      <c r="F293" s="119"/>
      <c r="G293" s="119"/>
      <c r="H293" s="119"/>
      <c r="I293" s="24">
        <f>I278-I292</f>
        <v>1241261.6544146049</v>
      </c>
      <c r="J293" s="30">
        <f t="shared" si="8"/>
        <v>0.60249384223643676</v>
      </c>
      <c r="K293" s="10"/>
    </row>
    <row r="294" spans="1:11" ht="18.75" x14ac:dyDescent="0.3">
      <c r="A294" s="10"/>
      <c r="B294" s="112" t="s">
        <v>169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170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124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171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190</v>
      </c>
      <c r="C298" s="119"/>
      <c r="D298" s="119"/>
      <c r="E298" s="119"/>
      <c r="F298" s="119"/>
      <c r="G298" s="119"/>
      <c r="H298" s="119"/>
      <c r="I298" s="24">
        <f>I293-I297</f>
        <v>1241261.6544146049</v>
      </c>
      <c r="J298" s="30">
        <f t="shared" si="8"/>
        <v>0.60249384223643676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16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183</v>
      </c>
      <c r="D310" s="119"/>
      <c r="E310" s="153" t="str">
        <f>CustomerName</f>
        <v>Josh Kingsley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184</v>
      </c>
      <c r="D311" s="121"/>
      <c r="E311" s="153" t="str">
        <f>CompanyName</f>
        <v>LUV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128</v>
      </c>
      <c r="D312" s="123"/>
      <c r="E312" s="158">
        <f>AddressLine1</f>
        <v>0</v>
      </c>
      <c r="F312" s="159"/>
      <c r="G312" s="159"/>
      <c r="H312" s="159"/>
      <c r="I312" s="160"/>
      <c r="J312" s="10"/>
      <c r="K312" s="10"/>
    </row>
    <row r="313" spans="1:11" x14ac:dyDescent="0.2">
      <c r="A313" s="10"/>
      <c r="B313" s="10"/>
      <c r="C313" s="124"/>
      <c r="D313" s="125"/>
      <c r="E313" s="161" t="str">
        <f>AddressLine2</f>
        <v>1555 Dunn Ave.</v>
      </c>
      <c r="F313" s="162"/>
      <c r="G313" s="162"/>
      <c r="H313" s="162"/>
      <c r="I313" s="163"/>
      <c r="J313" s="10"/>
      <c r="K313" s="10"/>
    </row>
    <row r="314" spans="1:11" x14ac:dyDescent="0.2">
      <c r="A314" s="10"/>
      <c r="B314" s="10"/>
      <c r="C314" s="126"/>
      <c r="D314" s="127"/>
      <c r="E314" s="164" t="str">
        <f>AddressLine3</f>
        <v>Jacksonville, FL 32218</v>
      </c>
      <c r="F314" s="165"/>
      <c r="G314" s="165"/>
      <c r="H314" s="165"/>
      <c r="I314" s="166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188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167</v>
      </c>
      <c r="C318" s="112"/>
      <c r="D318" s="112"/>
      <c r="E318" s="112"/>
      <c r="F318" s="112"/>
      <c r="G318" s="112"/>
      <c r="H318" s="112"/>
      <c r="I318" s="17" t="s">
        <v>174</v>
      </c>
      <c r="J318" s="177" t="s">
        <v>168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141865.99651360521</v>
      </c>
      <c r="J319" s="177"/>
      <c r="K319" s="10"/>
    </row>
    <row r="320" spans="1:11" ht="18.75" x14ac:dyDescent="0.3">
      <c r="A320" s="10"/>
      <c r="B320" s="112" t="s">
        <v>155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135</v>
      </c>
      <c r="C321" s="113"/>
      <c r="D321" s="113"/>
      <c r="E321" s="113"/>
      <c r="F321" s="29" t="s">
        <v>134</v>
      </c>
      <c r="G321" s="177" t="s">
        <v>133</v>
      </c>
      <c r="H321" s="177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0</v>
      </c>
      <c r="G322" s="139">
        <f>'Input Form'!$D$19</f>
        <v>0</v>
      </c>
      <c r="H322" s="140"/>
      <c r="I322" s="20">
        <f>I$319*F322*G322</f>
        <v>0</v>
      </c>
      <c r="J322" s="30">
        <f>IFERROR((I322/I$327),0)</f>
        <v>0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0.4</v>
      </c>
      <c r="H323" s="140"/>
      <c r="I323" s="20">
        <f>I$319*F323*G323</f>
        <v>567463.98605442082</v>
      </c>
      <c r="J323" s="30">
        <f t="shared" ref="J323:J329" si="9">IFERROR((I323/I$327),0)</f>
        <v>0.25974025974025977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16</v>
      </c>
      <c r="G324" s="139">
        <f>'Input Form'!$D$21</f>
        <v>0.3</v>
      </c>
      <c r="H324" s="140"/>
      <c r="I324" s="20">
        <f>I$319*F324*G324</f>
        <v>680956.78326530498</v>
      </c>
      <c r="J324" s="30">
        <f t="shared" si="9"/>
        <v>0.31168831168831174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0</v>
      </c>
      <c r="G325" s="139">
        <f>'Input Form'!$D$22</f>
        <v>0</v>
      </c>
      <c r="H325" s="140"/>
      <c r="I325" s="20">
        <f>I$319*F325*G325</f>
        <v>0</v>
      </c>
      <c r="J325" s="30">
        <f t="shared" si="9"/>
        <v>0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22</v>
      </c>
      <c r="G326" s="139">
        <f>'Input Form'!$D$23</f>
        <v>0.3</v>
      </c>
      <c r="H326" s="140"/>
      <c r="I326" s="20">
        <f>I$319*F326*G326</f>
        <v>936315.57698979427</v>
      </c>
      <c r="J326" s="30">
        <f t="shared" si="9"/>
        <v>0.4285714285714286</v>
      </c>
      <c r="K326" s="10"/>
    </row>
    <row r="327" spans="1:11" x14ac:dyDescent="0.2">
      <c r="A327" s="10"/>
      <c r="B327" s="135" t="s">
        <v>136</v>
      </c>
      <c r="C327" s="135"/>
      <c r="D327" s="135"/>
      <c r="E327" s="135"/>
      <c r="F327" s="135"/>
      <c r="G327" s="135"/>
      <c r="H327" s="135"/>
      <c r="I327" s="20">
        <f>SUM(I322:I326)</f>
        <v>2184736.3463095198</v>
      </c>
      <c r="J327" s="30">
        <f t="shared" si="9"/>
        <v>1</v>
      </c>
      <c r="K327" s="10"/>
    </row>
    <row r="328" spans="1:11" x14ac:dyDescent="0.2">
      <c r="A328" s="10"/>
      <c r="B328" s="135" t="s">
        <v>137</v>
      </c>
      <c r="C328" s="135"/>
      <c r="D328" s="135"/>
      <c r="E328" s="135"/>
      <c r="F328" s="31">
        <f>$F$75</f>
        <v>0.03</v>
      </c>
      <c r="G328" s="179">
        <f>$G$75</f>
        <v>0.75</v>
      </c>
      <c r="H328" s="179"/>
      <c r="I328" s="20">
        <f>-(I327*F328*G328)</f>
        <v>-49156.567791964189</v>
      </c>
      <c r="J328" s="30">
        <f t="shared" si="9"/>
        <v>-2.2499999999999996E-2</v>
      </c>
      <c r="K328" s="10"/>
    </row>
    <row r="329" spans="1:11" x14ac:dyDescent="0.2">
      <c r="A329" s="10"/>
      <c r="B329" s="135" t="s">
        <v>138</v>
      </c>
      <c r="C329" s="135"/>
      <c r="D329" s="135"/>
      <c r="E329" s="135"/>
      <c r="F329" s="135"/>
      <c r="G329" s="135"/>
      <c r="H329" s="135"/>
      <c r="I329" s="20">
        <f>I327+I328</f>
        <v>2135579.7785175554</v>
      </c>
      <c r="J329" s="30">
        <f t="shared" si="9"/>
        <v>0.97749999999999992</v>
      </c>
      <c r="K329" s="10"/>
    </row>
    <row r="330" spans="1:11" ht="18.75" x14ac:dyDescent="0.3">
      <c r="A330" s="10"/>
      <c r="B330" s="112" t="s">
        <v>156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143</v>
      </c>
      <c r="C331" s="133"/>
      <c r="D331" s="133"/>
      <c r="E331" s="133"/>
      <c r="F331" s="133"/>
      <c r="G331" s="133"/>
      <c r="H331" s="134"/>
      <c r="I331" s="20">
        <f>$G$80*I329</f>
        <v>64067.393355526663</v>
      </c>
      <c r="J331" s="30">
        <f>IFERROR((I331/I$329),0)</f>
        <v>0.03</v>
      </c>
      <c r="K331" s="10"/>
    </row>
    <row r="332" spans="1:11" x14ac:dyDescent="0.2">
      <c r="A332" s="10"/>
      <c r="B332" s="132" t="s">
        <v>141</v>
      </c>
      <c r="C332" s="133"/>
      <c r="D332" s="133"/>
      <c r="E332" s="133"/>
      <c r="F332" s="133"/>
      <c r="G332" s="133"/>
      <c r="H332" s="134"/>
      <c r="I332" s="20">
        <f>$G$81*I329</f>
        <v>181233.0657496489</v>
      </c>
      <c r="J332" s="30">
        <f t="shared" ref="J332:J344" si="10">IFERROR((I332/I$329),0)</f>
        <v>8.4863636363636363E-2</v>
      </c>
      <c r="K332" s="10"/>
    </row>
    <row r="333" spans="1:11" x14ac:dyDescent="0.2">
      <c r="A333" s="10"/>
      <c r="B333" s="132" t="s">
        <v>144</v>
      </c>
      <c r="C333" s="133"/>
      <c r="D333" s="133"/>
      <c r="E333" s="133"/>
      <c r="F333" s="133"/>
      <c r="G333" s="133"/>
      <c r="H333" s="134"/>
      <c r="I333" s="20">
        <f>$G$82*I329</f>
        <v>21355.797785175553</v>
      </c>
      <c r="J333" s="30">
        <f t="shared" si="10"/>
        <v>0.01</v>
      </c>
      <c r="K333" s="10"/>
    </row>
    <row r="334" spans="1:11" x14ac:dyDescent="0.2">
      <c r="A334" s="10"/>
      <c r="B334" s="132" t="s">
        <v>150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5.619082986602345E-3</v>
      </c>
      <c r="K334" s="10"/>
    </row>
    <row r="335" spans="1:11" x14ac:dyDescent="0.2">
      <c r="A335" s="10"/>
      <c r="B335" s="132" t="s">
        <v>23</v>
      </c>
      <c r="C335" s="133"/>
      <c r="D335" s="133"/>
      <c r="E335" s="133"/>
      <c r="F335" s="133"/>
      <c r="G335" s="133"/>
      <c r="H335" s="134"/>
      <c r="I335" s="20">
        <f>$I$84*12</f>
        <v>247572</v>
      </c>
      <c r="J335" s="30">
        <f t="shared" si="10"/>
        <v>0.11592730109659298</v>
      </c>
      <c r="K335" s="10"/>
    </row>
    <row r="336" spans="1:11" x14ac:dyDescent="0.2">
      <c r="A336" s="10"/>
      <c r="B336" s="132" t="s">
        <v>145</v>
      </c>
      <c r="C336" s="133"/>
      <c r="D336" s="133"/>
      <c r="E336" s="133"/>
      <c r="F336" s="133"/>
      <c r="G336" s="133"/>
      <c r="H336" s="134"/>
      <c r="I336" s="20">
        <f>$G$85*I329</f>
        <v>21355.797785175553</v>
      </c>
      <c r="J336" s="30">
        <f t="shared" si="10"/>
        <v>0.01</v>
      </c>
      <c r="K336" s="10"/>
    </row>
    <row r="337" spans="1:11" x14ac:dyDescent="0.2">
      <c r="A337" s="10"/>
      <c r="B337" s="132" t="s">
        <v>146</v>
      </c>
      <c r="C337" s="133"/>
      <c r="D337" s="133"/>
      <c r="E337" s="133"/>
      <c r="F337" s="133"/>
      <c r="G337" s="133"/>
      <c r="H337" s="134"/>
      <c r="I337" s="20">
        <f>$G$86*I329</f>
        <v>21355.797785175553</v>
      </c>
      <c r="J337" s="30">
        <f t="shared" si="10"/>
        <v>0.01</v>
      </c>
      <c r="K337" s="10"/>
    </row>
    <row r="338" spans="1:11" x14ac:dyDescent="0.2">
      <c r="A338" s="10"/>
      <c r="B338" s="132" t="s">
        <v>148</v>
      </c>
      <c r="C338" s="133"/>
      <c r="D338" s="133"/>
      <c r="E338" s="133"/>
      <c r="F338" s="133"/>
      <c r="G338" s="133"/>
      <c r="H338" s="134"/>
      <c r="I338" s="20">
        <f>$G$87*I329</f>
        <v>32033.696677763332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151</v>
      </c>
      <c r="C339" s="133"/>
      <c r="D339" s="133"/>
      <c r="E339" s="133"/>
      <c r="F339" s="133"/>
      <c r="G339" s="133"/>
      <c r="H339" s="134"/>
      <c r="I339" s="20">
        <f>$G$88*I329</f>
        <v>21355.797785175553</v>
      </c>
      <c r="J339" s="30">
        <f t="shared" si="10"/>
        <v>0.01</v>
      </c>
      <c r="K339" s="10"/>
    </row>
    <row r="340" spans="1:11" x14ac:dyDescent="0.2">
      <c r="A340" s="10"/>
      <c r="B340" s="132" t="s">
        <v>149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1.123816597320469E-2</v>
      </c>
      <c r="K340" s="10"/>
    </row>
    <row r="341" spans="1:11" x14ac:dyDescent="0.2">
      <c r="A341" s="10"/>
      <c r="B341" s="132" t="s">
        <v>147</v>
      </c>
      <c r="C341" s="133"/>
      <c r="D341" s="133"/>
      <c r="E341" s="133"/>
      <c r="F341" s="133"/>
      <c r="G341" s="133"/>
      <c r="H341" s="134"/>
      <c r="I341" s="20">
        <f>$G$90*I329</f>
        <v>21355.797785175553</v>
      </c>
      <c r="J341" s="30">
        <f t="shared" si="10"/>
        <v>0.01</v>
      </c>
      <c r="K341" s="10"/>
    </row>
    <row r="342" spans="1:11" x14ac:dyDescent="0.2">
      <c r="A342" s="10"/>
      <c r="B342" s="132" t="s">
        <v>142</v>
      </c>
      <c r="C342" s="133"/>
      <c r="D342" s="133"/>
      <c r="E342" s="133"/>
      <c r="F342" s="133"/>
      <c r="G342" s="133"/>
      <c r="H342" s="134"/>
      <c r="I342" s="20">
        <f>$G$91*I329</f>
        <v>170846.38228140443</v>
      </c>
      <c r="J342" s="30">
        <f t="shared" si="10"/>
        <v>0.08</v>
      </c>
      <c r="K342" s="10"/>
    </row>
    <row r="343" spans="1:11" x14ac:dyDescent="0.2">
      <c r="A343" s="10"/>
      <c r="B343" s="135" t="s">
        <v>152</v>
      </c>
      <c r="C343" s="135"/>
      <c r="D343" s="135"/>
      <c r="E343" s="135"/>
      <c r="F343" s="135"/>
      <c r="G343" s="135"/>
      <c r="H343" s="135"/>
      <c r="I343" s="20">
        <f>SUM(I331:I342)</f>
        <v>838531.526990221</v>
      </c>
      <c r="J343" s="30">
        <f t="shared" si="10"/>
        <v>0.39264818642003635</v>
      </c>
      <c r="K343" s="10"/>
    </row>
    <row r="344" spans="1:11" x14ac:dyDescent="0.2">
      <c r="A344" s="10"/>
      <c r="B344" s="119" t="s">
        <v>191</v>
      </c>
      <c r="C344" s="119"/>
      <c r="D344" s="119"/>
      <c r="E344" s="119"/>
      <c r="F344" s="119"/>
      <c r="G344" s="119"/>
      <c r="H344" s="119"/>
      <c r="I344" s="24">
        <f>I329-I343</f>
        <v>1297048.2515273346</v>
      </c>
      <c r="J344" s="30">
        <f t="shared" si="10"/>
        <v>0.60735181357996371</v>
      </c>
      <c r="K344" s="10"/>
    </row>
    <row r="345" spans="1:11" ht="18.75" x14ac:dyDescent="0.3">
      <c r="A345" s="10"/>
      <c r="B345" s="112" t="s">
        <v>169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170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124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171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190</v>
      </c>
      <c r="C349" s="119"/>
      <c r="D349" s="119"/>
      <c r="E349" s="119"/>
      <c r="F349" s="119"/>
      <c r="G349" s="119"/>
      <c r="H349" s="119"/>
      <c r="I349" s="24">
        <f>I344-I348</f>
        <v>1297048.2515273346</v>
      </c>
      <c r="J349" s="30">
        <f t="shared" si="11"/>
        <v>0.60735181357996371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16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183</v>
      </c>
      <c r="D361" s="119"/>
      <c r="E361" s="153" t="str">
        <f>CustomerName</f>
        <v>Josh Kingsley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184</v>
      </c>
      <c r="D362" s="121"/>
      <c r="E362" s="153" t="str">
        <f>CompanyName</f>
        <v>LUV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128</v>
      </c>
      <c r="D363" s="123"/>
      <c r="E363" s="158">
        <f>AddressLine1</f>
        <v>0</v>
      </c>
      <c r="F363" s="159"/>
      <c r="G363" s="159"/>
      <c r="H363" s="159"/>
      <c r="I363" s="160"/>
      <c r="J363" s="10"/>
      <c r="K363" s="10"/>
    </row>
    <row r="364" spans="1:11" x14ac:dyDescent="0.2">
      <c r="A364" s="10"/>
      <c r="B364" s="10"/>
      <c r="C364" s="124"/>
      <c r="D364" s="125"/>
      <c r="E364" s="161" t="str">
        <f>AddressLine2</f>
        <v>1555 Dunn Ave.</v>
      </c>
      <c r="F364" s="162"/>
      <c r="G364" s="162"/>
      <c r="H364" s="162"/>
      <c r="I364" s="163"/>
      <c r="J364" s="10"/>
      <c r="K364" s="10"/>
    </row>
    <row r="365" spans="1:11" x14ac:dyDescent="0.2">
      <c r="A365" s="10"/>
      <c r="B365" s="10"/>
      <c r="C365" s="126"/>
      <c r="D365" s="127"/>
      <c r="E365" s="164" t="str">
        <f>AddressLine3</f>
        <v>Jacksonville, FL 32218</v>
      </c>
      <c r="F365" s="165"/>
      <c r="G365" s="165"/>
      <c r="H365" s="165"/>
      <c r="I365" s="166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189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167</v>
      </c>
      <c r="C369" s="112"/>
      <c r="D369" s="112"/>
      <c r="E369" s="112"/>
      <c r="F369" s="112"/>
      <c r="G369" s="112"/>
      <c r="H369" s="112"/>
      <c r="I369" s="17" t="s">
        <v>175</v>
      </c>
      <c r="J369" s="177" t="s">
        <v>168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153065.94360678457</v>
      </c>
      <c r="J370" s="177"/>
      <c r="K370" s="10"/>
    </row>
    <row r="371" spans="1:11" ht="18.75" x14ac:dyDescent="0.3">
      <c r="A371" s="10"/>
      <c r="B371" s="112" t="s">
        <v>155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135</v>
      </c>
      <c r="C372" s="113"/>
      <c r="D372" s="113"/>
      <c r="E372" s="113"/>
      <c r="F372" s="29" t="s">
        <v>134</v>
      </c>
      <c r="G372" s="177" t="s">
        <v>133</v>
      </c>
      <c r="H372" s="177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0</v>
      </c>
      <c r="G373" s="139">
        <f>'Input Form'!$D$19</f>
        <v>0</v>
      </c>
      <c r="H373" s="140"/>
      <c r="I373" s="20">
        <f>I$370*F373*G373</f>
        <v>0</v>
      </c>
      <c r="J373" s="30">
        <f>IFERROR((I373/I$378),0)</f>
        <v>0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0.4</v>
      </c>
      <c r="H374" s="140"/>
      <c r="I374" s="20">
        <f t="shared" ref="I374:I377" si="12">I$370*F374*G374</f>
        <v>612263.77442713827</v>
      </c>
      <c r="J374" s="30">
        <f t="shared" ref="J374:J380" si="13">IFERROR((I374/I$378),0)</f>
        <v>0.25974025974025972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16</v>
      </c>
      <c r="G375" s="139">
        <f>'Input Form'!$D$21</f>
        <v>0.3</v>
      </c>
      <c r="H375" s="140"/>
      <c r="I375" s="20">
        <f t="shared" si="12"/>
        <v>734716.52931256592</v>
      </c>
      <c r="J375" s="30">
        <f t="shared" si="13"/>
        <v>0.31168831168831168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0</v>
      </c>
      <c r="G376" s="139">
        <f>'Input Form'!$D$22</f>
        <v>0</v>
      </c>
      <c r="H376" s="140"/>
      <c r="I376" s="20">
        <f t="shared" si="12"/>
        <v>0</v>
      </c>
      <c r="J376" s="30">
        <f t="shared" si="13"/>
        <v>0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22</v>
      </c>
      <c r="G377" s="139">
        <f>'Input Form'!$D$23</f>
        <v>0.3</v>
      </c>
      <c r="H377" s="140"/>
      <c r="I377" s="20">
        <f t="shared" si="12"/>
        <v>1010235.2278047781</v>
      </c>
      <c r="J377" s="30">
        <f t="shared" si="13"/>
        <v>0.42857142857142855</v>
      </c>
      <c r="K377" s="10"/>
    </row>
    <row r="378" spans="1:11" x14ac:dyDescent="0.2">
      <c r="A378" s="10"/>
      <c r="B378" s="135" t="s">
        <v>136</v>
      </c>
      <c r="C378" s="135"/>
      <c r="D378" s="135"/>
      <c r="E378" s="135"/>
      <c r="F378" s="135"/>
      <c r="G378" s="135"/>
      <c r="H378" s="135"/>
      <c r="I378" s="20">
        <f>SUM(I373:I377)</f>
        <v>2357215.5315444823</v>
      </c>
      <c r="J378" s="30">
        <f t="shared" si="13"/>
        <v>1</v>
      </c>
      <c r="K378" s="10"/>
    </row>
    <row r="379" spans="1:11" x14ac:dyDescent="0.2">
      <c r="A379" s="10"/>
      <c r="B379" s="135" t="s">
        <v>137</v>
      </c>
      <c r="C379" s="135"/>
      <c r="D379" s="135"/>
      <c r="E379" s="135"/>
      <c r="F379" s="31">
        <f>$F$75</f>
        <v>0.03</v>
      </c>
      <c r="G379" s="179">
        <f>$G$75</f>
        <v>0.75</v>
      </c>
      <c r="H379" s="179"/>
      <c r="I379" s="20">
        <f>-(I378*F379*G379)</f>
        <v>-53037.349459750854</v>
      </c>
      <c r="J379" s="30">
        <f t="shared" si="13"/>
        <v>-2.2499999999999999E-2</v>
      </c>
      <c r="K379" s="10"/>
    </row>
    <row r="380" spans="1:11" x14ac:dyDescent="0.2">
      <c r="A380" s="10"/>
      <c r="B380" s="135" t="s">
        <v>138</v>
      </c>
      <c r="C380" s="135"/>
      <c r="D380" s="135"/>
      <c r="E380" s="135"/>
      <c r="F380" s="135"/>
      <c r="G380" s="135"/>
      <c r="H380" s="135"/>
      <c r="I380" s="20">
        <f>I378+I379</f>
        <v>2304178.1820847313</v>
      </c>
      <c r="J380" s="30">
        <f t="shared" si="13"/>
        <v>0.97749999999999992</v>
      </c>
      <c r="K380" s="10"/>
    </row>
    <row r="381" spans="1:11" ht="18.75" x14ac:dyDescent="0.3">
      <c r="A381" s="10"/>
      <c r="B381" s="112" t="s">
        <v>156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143</v>
      </c>
      <c r="C382" s="133"/>
      <c r="D382" s="133"/>
      <c r="E382" s="133"/>
      <c r="F382" s="133"/>
      <c r="G382" s="133"/>
      <c r="H382" s="134"/>
      <c r="I382" s="20">
        <f>$G$80*I380</f>
        <v>69125.34546254194</v>
      </c>
      <c r="J382" s="30">
        <f>IFERROR((I382/I$380),0)</f>
        <v>0.03</v>
      </c>
      <c r="K382" s="10"/>
    </row>
    <row r="383" spans="1:11" x14ac:dyDescent="0.2">
      <c r="A383" s="10"/>
      <c r="B383" s="132" t="s">
        <v>141</v>
      </c>
      <c r="C383" s="133"/>
      <c r="D383" s="133"/>
      <c r="E383" s="133"/>
      <c r="F383" s="133"/>
      <c r="G383" s="133"/>
      <c r="H383" s="134"/>
      <c r="I383" s="20">
        <f>$G$81*I380</f>
        <v>195540.93936146333</v>
      </c>
      <c r="J383" s="30">
        <f t="shared" ref="J383:J395" si="14">IFERROR((I383/I$380),0)</f>
        <v>8.4863636363636363E-2</v>
      </c>
      <c r="K383" s="10"/>
    </row>
    <row r="384" spans="1:11" x14ac:dyDescent="0.2">
      <c r="A384" s="10"/>
      <c r="B384" s="132" t="s">
        <v>144</v>
      </c>
      <c r="C384" s="133"/>
      <c r="D384" s="133"/>
      <c r="E384" s="133"/>
      <c r="F384" s="133"/>
      <c r="G384" s="133"/>
      <c r="H384" s="134"/>
      <c r="I384" s="20">
        <f>$G$82*I380</f>
        <v>23041.781820847315</v>
      </c>
      <c r="J384" s="30">
        <f t="shared" si="14"/>
        <v>0.01</v>
      </c>
      <c r="K384" s="10"/>
    </row>
    <row r="385" spans="1:11" x14ac:dyDescent="0.2">
      <c r="A385" s="10"/>
      <c r="B385" s="132" t="s">
        <v>150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5.2079305729485137E-3</v>
      </c>
      <c r="K385" s="10"/>
    </row>
    <row r="386" spans="1:11" x14ac:dyDescent="0.2">
      <c r="A386" s="10"/>
      <c r="B386" s="132" t="s">
        <v>23</v>
      </c>
      <c r="C386" s="133"/>
      <c r="D386" s="133"/>
      <c r="E386" s="133"/>
      <c r="F386" s="133"/>
      <c r="G386" s="133"/>
      <c r="H386" s="134"/>
      <c r="I386" s="20">
        <f>$I$84*12</f>
        <v>247572</v>
      </c>
      <c r="J386" s="30">
        <f t="shared" si="14"/>
        <v>0.10744481565050079</v>
      </c>
      <c r="K386" s="10"/>
    </row>
    <row r="387" spans="1:11" x14ac:dyDescent="0.2">
      <c r="A387" s="10"/>
      <c r="B387" s="132" t="s">
        <v>145</v>
      </c>
      <c r="C387" s="133"/>
      <c r="D387" s="133"/>
      <c r="E387" s="133"/>
      <c r="F387" s="133"/>
      <c r="G387" s="133"/>
      <c r="H387" s="134"/>
      <c r="I387" s="20">
        <f>$G$85*I380</f>
        <v>23041.781820847315</v>
      </c>
      <c r="J387" s="30">
        <f t="shared" si="14"/>
        <v>0.01</v>
      </c>
      <c r="K387" s="10"/>
    </row>
    <row r="388" spans="1:11" x14ac:dyDescent="0.2">
      <c r="A388" s="10"/>
      <c r="B388" s="132" t="s">
        <v>146</v>
      </c>
      <c r="C388" s="133"/>
      <c r="D388" s="133"/>
      <c r="E388" s="133"/>
      <c r="F388" s="133"/>
      <c r="G388" s="133"/>
      <c r="H388" s="134"/>
      <c r="I388" s="20">
        <f>$G$86*I380</f>
        <v>23041.781820847315</v>
      </c>
      <c r="J388" s="30">
        <f t="shared" si="14"/>
        <v>0.01</v>
      </c>
      <c r="K388" s="10"/>
    </row>
    <row r="389" spans="1:11" x14ac:dyDescent="0.2">
      <c r="A389" s="10"/>
      <c r="B389" s="132" t="s">
        <v>148</v>
      </c>
      <c r="C389" s="133"/>
      <c r="D389" s="133"/>
      <c r="E389" s="133"/>
      <c r="F389" s="133"/>
      <c r="G389" s="133"/>
      <c r="H389" s="134"/>
      <c r="I389" s="20">
        <f>$G$87*I380</f>
        <v>34562.67273127097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151</v>
      </c>
      <c r="C390" s="133"/>
      <c r="D390" s="133"/>
      <c r="E390" s="133"/>
      <c r="F390" s="133"/>
      <c r="G390" s="133"/>
      <c r="H390" s="134"/>
      <c r="I390" s="20">
        <f>$G$88*I380</f>
        <v>23041.781820847315</v>
      </c>
      <c r="J390" s="30">
        <f t="shared" si="14"/>
        <v>0.01</v>
      </c>
      <c r="K390" s="10"/>
    </row>
    <row r="391" spans="1:11" x14ac:dyDescent="0.2">
      <c r="A391" s="10"/>
      <c r="B391" s="132" t="s">
        <v>149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1.0415861145897027E-2</v>
      </c>
      <c r="K391" s="10"/>
    </row>
    <row r="392" spans="1:11" x14ac:dyDescent="0.2">
      <c r="A392" s="10"/>
      <c r="B392" s="132" t="s">
        <v>147</v>
      </c>
      <c r="C392" s="133"/>
      <c r="D392" s="133"/>
      <c r="E392" s="133"/>
      <c r="F392" s="133"/>
      <c r="G392" s="133"/>
      <c r="H392" s="134"/>
      <c r="I392" s="20">
        <f>$G$90*I380</f>
        <v>23041.781820847315</v>
      </c>
      <c r="J392" s="30">
        <f t="shared" si="14"/>
        <v>0.01</v>
      </c>
      <c r="K392" s="10"/>
    </row>
    <row r="393" spans="1:11" x14ac:dyDescent="0.2">
      <c r="A393" s="10"/>
      <c r="B393" s="132" t="s">
        <v>142</v>
      </c>
      <c r="C393" s="133"/>
      <c r="D393" s="133"/>
      <c r="E393" s="133"/>
      <c r="F393" s="133"/>
      <c r="G393" s="133"/>
      <c r="H393" s="134"/>
      <c r="I393" s="20">
        <f>$G$91*I380</f>
        <v>184334.25456677852</v>
      </c>
      <c r="J393" s="30">
        <f t="shared" si="14"/>
        <v>0.08</v>
      </c>
      <c r="K393" s="10"/>
    </row>
    <row r="394" spans="1:11" x14ac:dyDescent="0.2">
      <c r="A394" s="10"/>
      <c r="B394" s="135" t="s">
        <v>152</v>
      </c>
      <c r="C394" s="135"/>
      <c r="D394" s="135"/>
      <c r="E394" s="135"/>
      <c r="F394" s="135"/>
      <c r="G394" s="135"/>
      <c r="H394" s="135"/>
      <c r="I394" s="20">
        <f>SUM(I382:I393)</f>
        <v>882344.12122629129</v>
      </c>
      <c r="J394" s="30">
        <f t="shared" si="14"/>
        <v>0.38293224373298268</v>
      </c>
      <c r="K394" s="10"/>
    </row>
    <row r="395" spans="1:11" x14ac:dyDescent="0.2">
      <c r="A395" s="10"/>
      <c r="B395" s="119" t="s">
        <v>191</v>
      </c>
      <c r="C395" s="119"/>
      <c r="D395" s="119"/>
      <c r="E395" s="119"/>
      <c r="F395" s="119"/>
      <c r="G395" s="119"/>
      <c r="H395" s="119"/>
      <c r="I395" s="24">
        <f>I380-I394</f>
        <v>1421834.0608584401</v>
      </c>
      <c r="J395" s="30">
        <f t="shared" si="14"/>
        <v>0.61706775626701738</v>
      </c>
      <c r="K395" s="10"/>
    </row>
    <row r="396" spans="1:11" ht="18.75" x14ac:dyDescent="0.3">
      <c r="A396" s="10"/>
      <c r="B396" s="112" t="s">
        <v>169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170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124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171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190</v>
      </c>
      <c r="C400" s="119"/>
      <c r="D400" s="119"/>
      <c r="E400" s="119"/>
      <c r="F400" s="119"/>
      <c r="G400" s="119"/>
      <c r="H400" s="119"/>
      <c r="I400" s="24">
        <f>I395-I399</f>
        <v>1421834.0608584401</v>
      </c>
      <c r="J400" s="30">
        <f t="shared" si="15"/>
        <v>0.61706775626701738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16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183</v>
      </c>
      <c r="D412" s="119"/>
      <c r="E412" s="153" t="str">
        <f>CustomerName</f>
        <v>Josh Kingsley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184</v>
      </c>
      <c r="D413" s="121"/>
      <c r="E413" s="153" t="str">
        <f>CompanyName</f>
        <v>LUV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128</v>
      </c>
      <c r="D414" s="123"/>
      <c r="E414" s="158">
        <f>AddressLine1</f>
        <v>0</v>
      </c>
      <c r="F414" s="159"/>
      <c r="G414" s="159"/>
      <c r="H414" s="159"/>
      <c r="I414" s="160"/>
      <c r="J414" s="10"/>
      <c r="K414" s="10"/>
    </row>
    <row r="415" spans="1:11" x14ac:dyDescent="0.2">
      <c r="A415" s="10"/>
      <c r="B415" s="10"/>
      <c r="C415" s="124"/>
      <c r="D415" s="125"/>
      <c r="E415" s="161" t="str">
        <f>AddressLine2</f>
        <v>1555 Dunn Ave.</v>
      </c>
      <c r="F415" s="162"/>
      <c r="G415" s="162"/>
      <c r="H415" s="162"/>
      <c r="I415" s="163"/>
      <c r="J415" s="10"/>
      <c r="K415" s="10"/>
    </row>
    <row r="416" spans="1:11" x14ac:dyDescent="0.2">
      <c r="A416" s="10"/>
      <c r="B416" s="10"/>
      <c r="C416" s="126"/>
      <c r="D416" s="127"/>
      <c r="E416" s="164" t="str">
        <f>AddressLine3</f>
        <v>Jacksonville, FL 32218</v>
      </c>
      <c r="F416" s="165"/>
      <c r="G416" s="165"/>
      <c r="H416" s="165"/>
      <c r="I416" s="166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176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177</v>
      </c>
      <c r="C420" s="135"/>
      <c r="D420" s="135"/>
      <c r="E420" s="135"/>
      <c r="F420" s="135"/>
      <c r="G420" s="135"/>
      <c r="H420" s="135"/>
      <c r="I420" s="181">
        <f>'Input Form'!E86</f>
        <v>0</v>
      </c>
      <c r="J420" s="182"/>
      <c r="K420" s="10"/>
    </row>
    <row r="421" spans="1:11" x14ac:dyDescent="0.2">
      <c r="A421" s="10"/>
      <c r="B421" s="135" t="s">
        <v>178</v>
      </c>
      <c r="C421" s="135"/>
      <c r="D421" s="135"/>
      <c r="E421" s="135"/>
      <c r="F421" s="135"/>
      <c r="G421" s="135"/>
      <c r="H421" s="135"/>
      <c r="I421" s="183">
        <f>IFERROR((I196/I420),0)</f>
        <v>0</v>
      </c>
      <c r="J421" s="184"/>
      <c r="K421" s="10"/>
    </row>
    <row r="422" spans="1:11" x14ac:dyDescent="0.2">
      <c r="A422" s="10"/>
      <c r="B422" s="135" t="s">
        <v>179</v>
      </c>
      <c r="C422" s="135"/>
      <c r="D422" s="135"/>
      <c r="E422" s="135"/>
      <c r="F422" s="135"/>
      <c r="G422" s="135"/>
      <c r="H422" s="135"/>
      <c r="I422" s="180">
        <f>IFERROR((I247/I420),0)</f>
        <v>0</v>
      </c>
      <c r="J422" s="180"/>
      <c r="K422" s="10"/>
    </row>
    <row r="423" spans="1:11" x14ac:dyDescent="0.2">
      <c r="A423" s="10"/>
      <c r="B423" s="135" t="s">
        <v>180</v>
      </c>
      <c r="C423" s="135"/>
      <c r="D423" s="135"/>
      <c r="E423" s="135"/>
      <c r="F423" s="135"/>
      <c r="G423" s="135"/>
      <c r="H423" s="135"/>
      <c r="I423" s="180">
        <f>IFERROR((I298/I420),0)</f>
        <v>0</v>
      </c>
      <c r="J423" s="180"/>
      <c r="K423" s="10"/>
    </row>
    <row r="424" spans="1:11" x14ac:dyDescent="0.2">
      <c r="A424" s="10"/>
      <c r="B424" s="135" t="s">
        <v>181</v>
      </c>
      <c r="C424" s="135"/>
      <c r="D424" s="135"/>
      <c r="E424" s="135"/>
      <c r="F424" s="135"/>
      <c r="G424" s="135"/>
      <c r="H424" s="135"/>
      <c r="I424" s="180">
        <f>IFERROR((I349/I420),0)</f>
        <v>0</v>
      </c>
      <c r="J424" s="180"/>
      <c r="K424" s="10"/>
    </row>
    <row r="425" spans="1:11" x14ac:dyDescent="0.2">
      <c r="A425" s="10"/>
      <c r="B425" s="135" t="s">
        <v>182</v>
      </c>
      <c r="C425" s="135"/>
      <c r="D425" s="135"/>
      <c r="E425" s="135"/>
      <c r="F425" s="135"/>
      <c r="G425" s="135"/>
      <c r="H425" s="135"/>
      <c r="I425" s="180">
        <f>IFERROR((I400/I420),0)</f>
        <v>0</v>
      </c>
      <c r="J425" s="180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oAjjEdMHykKWl/FAcBlhASN4kZ6eVUA9UTp/I1/JXVANgPByU0Fy2HgH5H2f0BWYrZ+QZl6CCIrDwX8brNYNXQ==" saltValue="+B3js6wTl91oWQd28aTuhw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2022-01-18T18:26:50Z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