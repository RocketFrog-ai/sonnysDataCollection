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Abdul Kesodia\925 Lockwood Blvd, Oviedo\"/>
    </mc:Choice>
  </mc:AlternateContent>
  <xr:revisionPtr revIDLastSave="0" documentId="8_{46788737-2F65-420C-BFAF-E1B40736D8E1}" xr6:coauthVersionLast="46" xr6:coauthVersionMax="46" xr10:uidLastSave="{00000000-0000-0000-0000-000000000000}"/>
  <workbookProtection workbookPassword="FB8D" lockStructure="1"/>
  <bookViews>
    <workbookView xWindow="30465" yWindow="1560" windowWidth="21600" windowHeight="1024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E74" i="2" l="1"/>
  <c r="I319" i="3" s="1"/>
  <c r="D74" i="2"/>
  <c r="I268" i="3" s="1"/>
  <c r="C86" i="2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F65" i="2"/>
  <c r="C74" i="2" s="1"/>
  <c r="F66" i="2"/>
  <c r="F64" i="2"/>
  <c r="B74" i="2" s="1"/>
  <c r="F74" i="2" l="1"/>
  <c r="F75" i="2" s="1"/>
  <c r="F76" i="2" s="1"/>
  <c r="F77" i="2" s="1"/>
  <c r="F92" i="2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E75" i="2"/>
  <c r="E76" i="2" s="1"/>
  <c r="E77" i="2" s="1"/>
  <c r="D75" i="2"/>
  <c r="D76" i="2" s="1"/>
  <c r="D77" i="2" s="1"/>
  <c r="I370" i="3" l="1"/>
  <c r="I373" i="3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4" i="3" l="1"/>
  <c r="I376" i="3"/>
  <c r="I377" i="3"/>
  <c r="I375" i="3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I378" i="3" l="1"/>
  <c r="J376" i="3" s="1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J374" i="3" l="1"/>
  <c r="J373" i="3"/>
  <c r="J375" i="3"/>
  <c r="J377" i="3"/>
  <c r="I379" i="3"/>
  <c r="J379" i="3" s="1"/>
  <c r="J378" i="3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80" i="3" l="1"/>
  <c r="I389" i="3" s="1"/>
  <c r="J389" i="3" s="1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399" i="3" l="1"/>
  <c r="J380" i="3"/>
  <c r="J398" i="3"/>
  <c r="I388" i="3"/>
  <c r="J388" i="3" s="1"/>
  <c r="J386" i="3"/>
  <c r="I393" i="3"/>
  <c r="J393" i="3" s="1"/>
  <c r="J385" i="3"/>
  <c r="J397" i="3"/>
  <c r="I387" i="3"/>
  <c r="J387" i="3" s="1"/>
  <c r="I384" i="3"/>
  <c r="J384" i="3" s="1"/>
  <c r="J391" i="3"/>
  <c r="I390" i="3"/>
  <c r="J390" i="3" s="1"/>
  <c r="I392" i="3"/>
  <c r="J392" i="3" s="1"/>
  <c r="I382" i="3"/>
  <c r="J382" i="3" s="1"/>
  <c r="J181" i="3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<sst xmlns="http://schemas.openxmlformats.org/spreadsheetml/2006/main" count="434" uniqueCount="202">
  <si>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</si>
  <si>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</si>
  <si>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</si>
  <si>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</si>
  <si>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</si>
  <si>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</si>
  <si>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</si>
  <si>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</si>
  <si>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</si>
  <si>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</si>
  <si>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</si>
  <si>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</si>
  <si>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</si>
  <si>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</si>
  <si>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</si>
  <si>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</si>
  <si>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</si>
  <si>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</si>
  <si>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</si>
  <si>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</si>
  <si>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</si>
  <si>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</si>
  <si>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</si>
  <si>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</si>
  <si>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</si>
  <si>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</si>
  <si>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</si>
  <si>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</si>
  <si>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</si>
  <si>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</si>
  <si>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</si>
  <si>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</si>
  <si>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</si>
  <si>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</si>
  <si>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</si>
  <si>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</si>
  <si>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</si>
  <si>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</si>
  <si>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</si>
  <si>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</si>
  <si>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</si>
  <si>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</si>
  <si>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</si>
  <si>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</si>
  <si>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</si>
  <si>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</si>
  <si>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</si>
  <si>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</si>
  <si>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</si>
  <si>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</si>
  <si>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</si>
  <si>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</si>
  <si>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</si>
  <si>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</si>
  <si>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</si>
  <si>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</si>
  <si>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</si>
  <si>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</si>
  <si>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</si>
  <si>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</si>
  <si>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</si>
  <si>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</si>
  <si>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</si>
  <si>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</si>
  <si>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</si>
  <si>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</si>
  <si>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</si>
  <si>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</si>
  <si>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</si>
  <si>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</si>
  <si>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</si>
  <si>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</si>
  <si>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</si>
  <si>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</si>
  <si>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</si>
  <si>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</si>
  <si>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</si>
  <si>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</si>
  <si>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</si>
  <si>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</si>
  <si>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</si>
  <si>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</si>
  <si>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</si>
  <si>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</si>
  <si>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</si>
  <si>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</si>
  <si>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</si>
  <si>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</si>
  <si>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</si>
  <si>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</si>
  <si>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</si>
  <si>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</si>
  <si>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</si>
  <si>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</si>
  <si>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</si>
  <si>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</si>
  <si>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</si>
  <si>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</si>
  <si>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</si>
  <si>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</si>
  <si>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</si>
  <si>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</si>
  <si>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</si>
  <si>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</si>
  <si>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</si>
  <si>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</si>
  <si>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</si>
  <si>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</si>
  <si>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</si>
  <si>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</si>
  <si>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</si>
  <si>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</si>
  <si>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</si>
  <si>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</si>
  <si>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</si>
  <si>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</si>
  <si>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</si>
  <si>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</si>
  <si>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</si>
  <si>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</si>
  <si>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</si>
  <si>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</si>
  <si>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</si>
  <si>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</si>
  <si>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</si>
  <si>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</si>
  <si>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</si>
  <si>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</si>
  <si>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</si>
  <si>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</si>
  <si>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</si>
  <si>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</si>
  <si>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</si>
  <si>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</si>
  <si>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</si>
  <si>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</si>
  <si>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</si>
  <si>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</si>
  <si>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</si>
  <si>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</si>
  <si>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</si>
  <si>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</si>
  <si>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</si>
  <si>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</si>
  <si>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</si>
  <si>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</si>
  <si>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</si>
  <si>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</si>
  <si>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</si>
  <si>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</si>
  <si>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</si>
  <si>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</si>
  <si>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</si>
  <si>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</si>
  <si>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</si>
  <si>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</si>
  <si>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</si>
  <si>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</si>
  <si>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</si>
  <si>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</si>
  <si>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</si>
  <si>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</si>
  <si>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</si>
  <si>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</si>
  <si>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</si>
  <si>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</si>
  <si>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</si>
  <si>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</si>
  <si>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</si>
  <si>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</si>
  <si>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</si>
  <si>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</si>
  <si>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</si>
  <si>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</si>
  <si>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</si>
  <si>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</si>
  <si>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</si>
  <si>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</si>
  <si>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</si>
  <si>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</si>
  <si>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</si>
  <si>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</si>
  <si>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</si>
  <si>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</si>
  <si>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</si>
  <si>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</si>
  <si>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</si>
  <si>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</si>
  <si>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</si>
  <si>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</si>
  <si>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</si>
  <si>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</si>
  <si>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</si>
  <si>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</si>
  <si>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</si>
  <si>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</si>
  <si>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</si>
  <si>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Abdul Kesodia</t>
  </si>
  <si>
    <t>Express Car Wash</t>
  </si>
  <si>
    <t>925 Lockwood Blvd.</t>
  </si>
  <si>
    <t>Oviedo, FL 32765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</si>
  <si>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  </r>
    <r>
      <rPr>
        <b/>
        <sz val="10"/>
        <color rgb="FFFF0000"/>
        <rFont val="Calibri"/>
        <family val="2"/>
        <scheme val="minor"/>
      </rPr>
      <t>This proforma can not account for population density:competitors.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</si>
</sst>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276225</xdr:colOff>
      <xdr:row>33</xdr:row>
      <xdr:rowOff>47625</xdr:rowOff>
    </xdr:from>
    <xdr:to>
      <xdr:col>8</xdr:col>
      <xdr:colOff>164191</xdr:colOff>
      <xdr:row>38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FB53ED-7733-4503-9AB1-366C6C03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5953125"/>
          <a:ext cx="3421741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4" zoomScaleNormal="100" workbookViewId="0">
      <selection activeCell="F67" sqref="F67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197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198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199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200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20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0.2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1.0250000000000001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2.96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0.53700000000000003</v>
      </c>
      <c r="F58" s="61">
        <f>-0.3*(0.55-E58)</f>
        <v>-3.9000000000000033E-3</v>
      </c>
    </row>
    <row r="59" spans="1:8" ht="15.75" x14ac:dyDescent="0.25">
      <c r="A59" s="83" t="s">
        <v>3</v>
      </c>
      <c r="B59" s="84"/>
      <c r="C59" s="84"/>
      <c r="D59" s="85"/>
      <c r="E59" s="45">
        <v>0.81100000000000005</v>
      </c>
      <c r="F59" s="61">
        <f>-0.75*(0.5-E59)</f>
        <v>0.23325000000000004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5.7337500000000007E-2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8.9251724264705883E-3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1.1780118885869568E-2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1.4260143914473687E-2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18598</v>
      </c>
      <c r="B70" s="66">
        <v>0.02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F64*A70*330</f>
        <v>54776.817739874998</v>
      </c>
      <c r="C74" s="68">
        <f>F65*A70*330</f>
        <v>72298.594843002735</v>
      </c>
      <c r="D74" s="68">
        <f>($F$54*(1+$F$61))/85*($A$70*(1+B$70))*330</f>
        <v>79817.648706675012</v>
      </c>
      <c r="E74" s="68">
        <f>($F$54*(1+$F$61))/82*($A$70*(1+C$70))*330</f>
        <v>81926.651619656259</v>
      </c>
      <c r="F74" s="68">
        <f>F66*(A70*(1+D70)*330)</f>
        <v>88394.545168576486</v>
      </c>
    </row>
    <row r="75" spans="1:6" ht="15.75" x14ac:dyDescent="0.25">
      <c r="A75" s="35" t="s">
        <v>106</v>
      </c>
      <c r="B75" s="68">
        <f>B74/12</f>
        <v>4564.7348116562498</v>
      </c>
      <c r="C75" s="68">
        <f>C74/12</f>
        <v>6024.8829035835615</v>
      </c>
      <c r="D75" s="68">
        <f t="shared" ref="D75:F75" si="0">D74/12</f>
        <v>6651.4707255562507</v>
      </c>
      <c r="E75" s="68">
        <f t="shared" si="0"/>
        <v>6827.2209683046885</v>
      </c>
      <c r="F75" s="68">
        <f t="shared" si="0"/>
        <v>7366.2120973813735</v>
      </c>
    </row>
    <row r="76" spans="1:6" ht="15.75" x14ac:dyDescent="0.25">
      <c r="A76" s="35" t="s">
        <v>107</v>
      </c>
      <c r="B76" s="68">
        <f>B75/4.5/7*3</f>
        <v>434.73664872916663</v>
      </c>
      <c r="C76" s="68">
        <f t="shared" ref="C76:F76" si="1">C75/4.5/7*3</f>
        <v>573.79837176986302</v>
      </c>
      <c r="D76" s="68">
        <f t="shared" si="1"/>
        <v>633.47340243392864</v>
      </c>
      <c r="E76" s="68">
        <f t="shared" si="1"/>
        <v>650.2115207909228</v>
      </c>
      <c r="F76" s="68">
        <f t="shared" si="1"/>
        <v>701.54400927441657</v>
      </c>
    </row>
    <row r="77" spans="1:6" ht="15.75" x14ac:dyDescent="0.25">
      <c r="A77" s="35" t="s">
        <v>108</v>
      </c>
      <c r="B77" s="68">
        <f>IFERROR((B76/$B9*1.3),0)</f>
        <v>47.09647027899306</v>
      </c>
      <c r="C77" s="68">
        <f t="shared" ref="C77:F77" si="2">IFERROR((C76/$B9*1.3),0)</f>
        <v>62.161490275068495</v>
      </c>
      <c r="D77" s="68">
        <f t="shared" si="2"/>
        <v>68.626285263675612</v>
      </c>
      <c r="E77" s="68">
        <f t="shared" si="2"/>
        <v>70.439581419016633</v>
      </c>
      <c r="F77" s="68">
        <f t="shared" si="2"/>
        <v>76.000601004728466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6csh8NTY6VzXUsJ2XTx/I1/uLgSu/vTUUx7b75mkcW52WOPIw7MoQdNOCv323KbmAiQWeoEPmL+yYnvtZbmqAg==" saltValue="MLjXAU+Lb0zofvGxLlz+8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25" zoomScaleNormal="100" workbookViewId="0">
      <selection activeCell="M34" sqref="M34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Abdul Kesodia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925 Lockwood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Oviedo, FL 32765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201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Abdul Kesodia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925 Lockwood Blvd.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Oviedo, FL 32765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1981.1392050607244</v>
      </c>
      <c r="J65" s="18">
        <f>'Input Form'!B75</f>
        <v>4564.7348116562498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</v>
      </c>
      <c r="H69" s="140"/>
      <c r="I69" s="20">
        <f>IFERROR((I$65*G69*F69),0)</f>
        <v>3962.2784101214488</v>
      </c>
      <c r="J69" s="20">
        <f>J$65*F69*G69</f>
        <v>9129.4696233124996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2971.708807591086</v>
      </c>
      <c r="J70" s="20">
        <f t="shared" ref="J70:J73" si="0">J$65*F70*G70</f>
        <v>6847.1022174843747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0.2</v>
      </c>
      <c r="H71" s="140"/>
      <c r="I71" s="20">
        <f>IFERROR((I$65*G71*F71),0)</f>
        <v>5943.417615182173</v>
      </c>
      <c r="J71" s="20">
        <f t="shared" si="0"/>
        <v>13694.204434968749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7924.5568202428976</v>
      </c>
      <c r="J72" s="20">
        <f t="shared" si="0"/>
        <v>18258.939246624999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2476.4240063259058</v>
      </c>
      <c r="J73" s="20">
        <f t="shared" si="0"/>
        <v>5705.9185145703123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23278.385659463511</v>
      </c>
      <c r="J74" s="20">
        <f>SUM(J69:J73)</f>
        <v>53635.634036960939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-419.01094187034317</v>
      </c>
      <c r="J75" s="20">
        <f>-(J74*$F75*$G75)</f>
        <v>-965.44141266529687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22859.374717593168</v>
      </c>
      <c r="J76" s="20">
        <f>SUM(J74:J75)</f>
        <v>52670.19262429564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11.538499999999999</v>
      </c>
      <c r="J77" s="22">
        <f>J76/(J65+0.000000001)</f>
        <v>11.538499999997471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685.78124152779503</v>
      </c>
      <c r="J80" s="20">
        <f>$G80*J76</f>
        <v>1580.1057787288692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6.161106382978724E-2</v>
      </c>
      <c r="H81" s="131"/>
      <c r="I81" s="20">
        <f>G81*I76</f>
        <v>1408.3903948346574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3304.5484722023093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228.59374717593167</v>
      </c>
      <c r="J82" s="20">
        <f>$G82*J76</f>
        <v>526.70192624295646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4.2958305383752574E-2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0.61095301916772904</v>
      </c>
      <c r="H84" s="131"/>
      <c r="I84" s="20">
        <f>J84</f>
        <v>14222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14222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228.59374717593167</v>
      </c>
      <c r="J85" s="20">
        <f>$G85*J76</f>
        <v>526.70192624295646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228.59374717593167</v>
      </c>
      <c r="J86" s="20">
        <f>$G86*J76</f>
        <v>526.70192624295646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342.89062076389752</v>
      </c>
      <c r="J87" s="20">
        <f>$G87*J76</f>
        <v>790.05288936443458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228.59374717593167</v>
      </c>
      <c r="J88" s="20">
        <f>$G88*J76</f>
        <v>526.70192624295646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8.5916610767505147E-2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228.59374717593167</v>
      </c>
      <c r="J90" s="20">
        <f>$G90*J76</f>
        <v>526.70192624295646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2057.3437245833852</v>
      </c>
      <c r="J91" s="20">
        <f>$G91*J76</f>
        <v>4740.3173361866075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22859.374717589391</v>
      </c>
      <c r="J92" s="20">
        <f>SUM(J80:J91)</f>
        <v>30270.534107697003</v>
      </c>
      <c r="K92" s="10"/>
    </row>
    <row r="93" spans="1:12" x14ac:dyDescent="0.2">
      <c r="A93" s="10"/>
      <c r="B93" s="119" t="s">
        <v>196</v>
      </c>
      <c r="C93" s="119"/>
      <c r="D93" s="119"/>
      <c r="E93" s="119"/>
      <c r="F93" s="119"/>
      <c r="G93" s="119"/>
      <c r="H93" s="119"/>
      <c r="I93" s="24">
        <f>I76-I92</f>
        <v>3.776222001761198E-9</v>
      </c>
      <c r="J93" s="24">
        <f>J76-J92</f>
        <v>22399.658516598636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Abdul Kesodia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925 Lockwood Blvd.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Oviedo, FL 32765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240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240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240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240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240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22859.374717593168</v>
      </c>
      <c r="H138" s="169"/>
      <c r="I138" s="169">
        <f>J76</f>
        <v>52670.19262429564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22859.374717589391</v>
      </c>
      <c r="H139" s="169"/>
      <c r="I139" s="169">
        <f>J92</f>
        <v>30270.534107697003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3.776222001761198E-9</v>
      </c>
      <c r="H140" s="169"/>
      <c r="I140" s="169">
        <f>J93</f>
        <v>22399.658516598636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3.776222001761198E-9</v>
      </c>
      <c r="H143" s="169"/>
      <c r="I143" s="169">
        <f>I140-I141-I142</f>
        <v>22399.658516598636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Abdul Kesodia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925 Lockwood Blvd.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Oviedo, FL 32765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54776.817739874998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</v>
      </c>
      <c r="H169" s="140"/>
      <c r="I169" s="20">
        <f>I$166*F169*G169</f>
        <v>109553.63547975</v>
      </c>
      <c r="J169" s="30">
        <f>IFERROR((I169/I$174),0)</f>
        <v>0.1702127659574468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82165.226609812496</v>
      </c>
      <c r="J170" s="30">
        <f t="shared" ref="J170:J176" si="2">IFERROR((I170/I$174),0)</f>
        <v>0.1276595744680851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0.2</v>
      </c>
      <c r="H171" s="140"/>
      <c r="I171" s="20">
        <f>I$166*F171*G171</f>
        <v>164330.45321962499</v>
      </c>
      <c r="J171" s="30">
        <f t="shared" si="2"/>
        <v>0.25531914893617019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219107.27095949999</v>
      </c>
      <c r="J172" s="30">
        <f t="shared" si="2"/>
        <v>0.34042553191489361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68471.022174843747</v>
      </c>
      <c r="J173" s="30">
        <f t="shared" si="2"/>
        <v>0.10638297872340426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643627.60844353121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-11585.296951983561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632042.31149154762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18961.269344746426</v>
      </c>
      <c r="J178" s="30">
        <f>IFERROR((I178/I$176),0)</f>
        <v>2.9999999999999995E-2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38940.79919643201</v>
      </c>
      <c r="J179" s="30">
        <f t="shared" ref="J179:J196" si="3">IFERROR((I179/I$176),0)</f>
        <v>6.161106382978724E-2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6320.4231149154766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1.8986070682010785E-2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170664</v>
      </c>
      <c r="J182" s="30">
        <f t="shared" si="3"/>
        <v>0.27001989723955738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6320.4231149154766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6320.4231149154766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9480.6346723732131</v>
      </c>
      <c r="J185" s="30">
        <f t="shared" si="3"/>
        <v>1.4999999999999998E-2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6320.4231149154766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3.7972141364021571E-2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6320.4231149154766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56883.808034239286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362532.6268223683</v>
      </c>
      <c r="J190" s="30">
        <f t="shared" si="3"/>
        <v>0.57358917311537694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269509.68466917932</v>
      </c>
      <c r="J191" s="30">
        <f t="shared" si="3"/>
        <v>0.42641082688462306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269509.68466917932</v>
      </c>
      <c r="J196" s="30">
        <f t="shared" si="3"/>
        <v>0.42641082688462306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Abdul Kesodia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925 Lockwood Blvd.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Oviedo, FL 32765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72298.594843002735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</v>
      </c>
      <c r="H220" s="140"/>
      <c r="I220" s="20">
        <f>I$217*F220*G220</f>
        <v>144597.18968600547</v>
      </c>
      <c r="J220" s="30">
        <f>IFERROR((I220/I$225),0)</f>
        <v>0.17021276595744683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108447.8922645041</v>
      </c>
      <c r="J221" s="30">
        <f t="shared" ref="J221:J227" si="4">IFERROR((I221/I$225),0)</f>
        <v>0.12765957446808512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0.2</v>
      </c>
      <c r="H222" s="140"/>
      <c r="I222" s="20">
        <f>I$217*F222*G222</f>
        <v>216895.7845290082</v>
      </c>
      <c r="J222" s="30">
        <f t="shared" si="4"/>
        <v>0.25531914893617025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289194.37937201094</v>
      </c>
      <c r="J223" s="30">
        <f t="shared" si="4"/>
        <v>0.34042553191489366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90373.243553753418</v>
      </c>
      <c r="J224" s="30">
        <f t="shared" si="4"/>
        <v>0.10638297872340426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849508.48940528207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-15291.152809295076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834217.33659598697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25026.520097879609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51397.017572930461</v>
      </c>
      <c r="J230" s="30">
        <f t="shared" ref="J230:J247" si="5">IFERROR((I230/I$227),0)</f>
        <v>6.161106382978724E-2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8342.1733659598704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1.4384740610841109E-2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170664</v>
      </c>
      <c r="J233" s="30">
        <f t="shared" si="5"/>
        <v>0.20457978096738225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8342.1733659598704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8342.1733659598704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12513.260048939805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8342.1733659598704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2.8769481221682217E-2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8342.1733659598704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75079.560293638831</v>
      </c>
      <c r="J240" s="30">
        <f t="shared" si="5"/>
        <v>9.0000000000000011E-2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412391.22484318813</v>
      </c>
      <c r="J241" s="30">
        <f t="shared" si="5"/>
        <v>0.49434506662969291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421826.11175279884</v>
      </c>
      <c r="J242" s="30">
        <f t="shared" si="5"/>
        <v>0.50565493337030709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421826.11175279884</v>
      </c>
      <c r="J247" s="30">
        <f t="shared" si="5"/>
        <v>0.50565493337030709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Abdul Kesodia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925 Lockwood Blvd.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Oviedo, FL 32765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79817.648706675012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</v>
      </c>
      <c r="H271" s="140"/>
      <c r="I271" s="20">
        <f>I$268*F271*G271</f>
        <v>159635.29741335005</v>
      </c>
      <c r="J271" s="30">
        <f>IFERROR((I271/I$276),0)</f>
        <v>0.17021276595744683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119726.47306001252</v>
      </c>
      <c r="J272" s="30">
        <f t="shared" ref="J272:J278" si="7">IFERROR((I272/I$276),0)</f>
        <v>0.1276595744680851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0.2</v>
      </c>
      <c r="H273" s="140"/>
      <c r="I273" s="20">
        <f t="shared" si="6"/>
        <v>239452.94612002504</v>
      </c>
      <c r="J273" s="30">
        <f t="shared" si="7"/>
        <v>0.25531914893617019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319270.59482670011</v>
      </c>
      <c r="J274" s="30">
        <f t="shared" si="7"/>
        <v>0.34042553191489366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99772.060883343773</v>
      </c>
      <c r="J275" s="30">
        <f t="shared" si="7"/>
        <v>0.10638297872340426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937857.3723034315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-16881.432701461767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920975.93960196979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27629.278188059092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56742.307400515238</v>
      </c>
      <c r="J281" s="30">
        <f t="shared" ref="J281:J298" si="8">IFERROR((I281/I$278),0)</f>
        <v>6.161106382978724E-2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9209.7593960196973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1.3029656350399552E-2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170664</v>
      </c>
      <c r="J284" s="30">
        <f t="shared" si="8"/>
        <v>0.18530777261538242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9209.7593960196973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9209.7593960196973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13814.639094029546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9209.7593960196973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2.6059312700799104E-2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9209.7593960196973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82887.834564177276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433786.85622687958</v>
      </c>
      <c r="J292" s="30">
        <f t="shared" si="8"/>
        <v>0.47100780549636823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487189.08337509021</v>
      </c>
      <c r="J293" s="30">
        <f t="shared" si="8"/>
        <v>0.52899219450363177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487189.08337509021</v>
      </c>
      <c r="J298" s="30">
        <f t="shared" si="8"/>
        <v>0.52899219450363177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Abdul Kesodia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925 Lockwood Blvd.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Oviedo, FL 32765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81926.651619656259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</v>
      </c>
      <c r="H322" s="140"/>
      <c r="I322" s="20">
        <f>I$319*F322*G322</f>
        <v>163853.30323931252</v>
      </c>
      <c r="J322" s="30">
        <f>IFERROR((I322/I$327),0)</f>
        <v>0.1702127659574468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122889.97742948438</v>
      </c>
      <c r="J323" s="30">
        <f t="shared" ref="J323:J329" si="9">IFERROR((I323/I$327),0)</f>
        <v>0.1276595744680851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0.2</v>
      </c>
      <c r="H324" s="140"/>
      <c r="I324" s="20">
        <f>I$319*F324*G324</f>
        <v>245779.95485896879</v>
      </c>
      <c r="J324" s="30">
        <f t="shared" si="9"/>
        <v>0.25531914893617025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327706.60647862504</v>
      </c>
      <c r="J325" s="30">
        <f t="shared" si="9"/>
        <v>0.34042553191489361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102408.31452457033</v>
      </c>
      <c r="J326" s="30">
        <f t="shared" si="9"/>
        <v>0.10638297872340427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962638.15653096105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-17327.486817557296</v>
      </c>
      <c r="J328" s="30">
        <f t="shared" si="9"/>
        <v>-1.7999999999999995E-2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945310.6697134038</v>
      </c>
      <c r="J329" s="30">
        <f t="shared" si="9"/>
        <v>0.9820000000000001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28359.320091402114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58241.596010691443</v>
      </c>
      <c r="J332" s="30">
        <f t="shared" ref="J332:J344" si="10">IFERROR((I332/I$329),0)</f>
        <v>6.161106382978724E-2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9453.1066971340388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1.2694239454250654E-2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170664</v>
      </c>
      <c r="J335" s="30">
        <f t="shared" si="10"/>
        <v>0.18053747351835281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9453.1066971340388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9453.1066971340388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14179.660045701057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9453.1066971340388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2.5388478908501308E-2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9453.1066971340388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85077.960274206343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439788.06990767119</v>
      </c>
      <c r="J343" s="30">
        <f t="shared" si="10"/>
        <v>0.46523125571089208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505522.59980573261</v>
      </c>
      <c r="J344" s="30">
        <f t="shared" si="10"/>
        <v>0.53476874428910792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505522.59980573261</v>
      </c>
      <c r="J349" s="30">
        <f t="shared" si="11"/>
        <v>0.53476874428910792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Abdul Kesodia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925 Lockwood Blvd.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Oviedo, FL 32765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88394.545168576486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</v>
      </c>
      <c r="H373" s="140"/>
      <c r="I373" s="20">
        <f>I$370*F373*G373</f>
        <v>176789.09033715297</v>
      </c>
      <c r="J373" s="30">
        <f>IFERROR((I373/I$378),0)</f>
        <v>0.17021276595744683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132591.81775286471</v>
      </c>
      <c r="J374" s="30">
        <f t="shared" ref="J374:J380" si="13">IFERROR((I374/I$378),0)</f>
        <v>0.1276595744680851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0.2</v>
      </c>
      <c r="H375" s="140"/>
      <c r="I375" s="20">
        <f t="shared" si="12"/>
        <v>265183.63550572947</v>
      </c>
      <c r="J375" s="30">
        <f t="shared" si="13"/>
        <v>0.25531914893617025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353578.18067430594</v>
      </c>
      <c r="J376" s="30">
        <f t="shared" si="13"/>
        <v>0.34042553191489366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110493.1814607206</v>
      </c>
      <c r="J377" s="30">
        <f t="shared" si="13"/>
        <v>0.10638297872340427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1038635.9057307736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-18695.446303153924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1019940.4594276197</v>
      </c>
      <c r="J380" s="30">
        <f t="shared" si="13"/>
        <v>0.9820000000000001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30598.213782828589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62839.616748377601</v>
      </c>
      <c r="J383" s="30">
        <f t="shared" ref="J383:J395" si="14">IFERROR((I383/I$380),0)</f>
        <v>6.161106382978724E-2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10199.404594276197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1.1765392664915244E-2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170664</v>
      </c>
      <c r="J386" s="30">
        <f t="shared" si="14"/>
        <v>0.1673274144804246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10199.404594276197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10199.404594276197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15299.106891414294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10199.404594276197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2.3530785329830488E-2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10199.404594276197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91794.641348485777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458192.60174248728</v>
      </c>
      <c r="J394" s="30">
        <f t="shared" si="14"/>
        <v>0.44923465630495757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561747.85768513242</v>
      </c>
      <c r="J395" s="30">
        <f t="shared" si="14"/>
        <v>0.55076534369504238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561747.85768513242</v>
      </c>
      <c r="J400" s="30">
        <f t="shared" si="15"/>
        <v>0.55076534369504238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Abdul Kesodia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925 Lockwood Blvd.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Oviedo, FL 32765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tT3L7LcWjfSTOhJuwij0pFiqfVgXbXD4fnw6Yx+EB2fe138sBYLIO3DuxfvBC+WzmSTNlZBzUw9zqQCVpyXAtA==" saltValue="g3FezLCi0P+7zm9fcrPRN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2021-05-21T14:57:51Z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