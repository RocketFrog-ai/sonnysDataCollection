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Oklahoma\Bobby Story\2002 West Main Street, Durant\"/>
    </mc:Choice>
  </mc:AlternateContent>
  <xr:revisionPtr revIDLastSave="0" documentId="8_{6C46E140-6B12-4600-9634-CD53E70527CF}" xr6:coauthVersionLast="45" xr6:coauthVersionMax="45" xr10:uidLastSave="{00000000-0000-0000-0000-000000000000}"/>
  <workbookProtection workbookPassword="FB8D" lockStructure="1"/>
  <bookViews>
    <workbookView xWindow="-25320" yWindow="-1845" windowWidth="25440" windowHeight="1539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<sst xmlns="http://schemas.openxmlformats.org/spreadsheetml/2006/main" count="434" uniqueCount="202">
  <si>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</si>
  <si>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</si>
  <si>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</si>
  <si>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</si>
  <si>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</si>
  <si>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</si>
  <si>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</si>
  <si>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</si>
  <si>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</si>
  <si>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</si>
  <si>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</si>
  <si>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</si>
  <si>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</si>
  <si>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</si>
  <si>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</si>
  <si>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</si>
  <si>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</si>
  <si>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</si>
  <si>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</si>
  <si>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</si>
  <si>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</si>
  <si>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</si>
  <si>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</si>
  <si>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</si>
  <si>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</si>
  <si>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</si>
  <si>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</si>
  <si>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</si>
  <si>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</si>
  <si>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</si>
  <si>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</si>
  <si>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</si>
  <si>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</si>
  <si>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</si>
  <si>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</si>
  <si>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</si>
  <si>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</si>
  <si>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</si>
  <si>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</si>
  <si>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</si>
  <si>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</si>
  <si>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</si>
  <si>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</si>
  <si>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</si>
  <si>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</si>
  <si>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</si>
  <si>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</si>
  <si>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</si>
  <si>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</si>
  <si>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</si>
  <si>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</si>
  <si>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</si>
  <si>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</si>
  <si>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</si>
  <si>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</si>
  <si>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</si>
  <si>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</si>
  <si>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</si>
  <si>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</si>
  <si>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</si>
  <si>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</si>
  <si>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</si>
  <si>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</si>
  <si>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</si>
  <si>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</si>
  <si>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</si>
  <si>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</si>
  <si>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</si>
  <si>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</si>
  <si>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</si>
  <si>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</si>
  <si>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</si>
  <si>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</si>
  <si>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</si>
  <si>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</si>
  <si>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</si>
  <si>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</si>
  <si>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</si>
  <si>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</si>
  <si>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</si>
  <si>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</si>
  <si>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</si>
  <si>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</si>
  <si>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</si>
  <si>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</si>
  <si>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</si>
  <si>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</si>
  <si>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</si>
  <si>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</si>
  <si>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</si>
  <si>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</si>
  <si>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</si>
  <si>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</si>
  <si>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</si>
  <si>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</si>
  <si>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</si>
  <si>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</si>
  <si>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</si>
  <si>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</si>
  <si>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</si>
  <si>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</si>
  <si>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</si>
  <si>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</si>
  <si>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</si>
  <si>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</si>
  <si>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</si>
  <si>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</si>
  <si>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</si>
  <si>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</si>
  <si>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</si>
  <si>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</si>
  <si>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</si>
  <si>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</si>
  <si>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</si>
  <si>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</si>
  <si>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</si>
  <si>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</si>
  <si>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</si>
  <si>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</si>
  <si>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</si>
  <si>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</si>
  <si>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</si>
  <si>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</si>
  <si>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</si>
  <si>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</si>
  <si>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</si>
  <si>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</si>
  <si>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</si>
  <si>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</si>
  <si>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</si>
  <si>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</si>
  <si>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</si>
  <si>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</si>
  <si>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</si>
  <si>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</si>
  <si>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</si>
  <si>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</si>
  <si>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</si>
  <si>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</si>
  <si>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</si>
  <si>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</si>
  <si>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</si>
  <si>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</si>
  <si>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</si>
  <si>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</si>
  <si>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</si>
  <si>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</si>
  <si>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</si>
  <si>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</si>
  <si>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</si>
  <si>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</si>
  <si>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</si>
  <si>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</si>
  <si>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</si>
  <si>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</si>
  <si>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</si>
  <si>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</si>
  <si>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</si>
  <si>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</si>
  <si>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</si>
  <si>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</si>
  <si>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</si>
  <si>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</si>
  <si>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</si>
  <si>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</si>
  <si>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</si>
  <si>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</si>
  <si>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</si>
  <si>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</si>
  <si>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</si>
  <si>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</si>
  <si>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</si>
  <si>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</si>
  <si>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</si>
  <si>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</si>
  <si>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</si>
  <si>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</si>
  <si>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</si>
  <si>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</si>
  <si>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</si>
  <si>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</si>
  <si>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</si>
  <si>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</si>
  <si>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</si>
  <si>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</si>
  <si>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</si>
  <si>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</si>
  <si>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</si>
  <si>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</si>
  <si>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</si>
  <si>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</si>
  <si>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</si>
  <si>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</si>
  <si>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</si>
  <si>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</si>
  <si>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</si>
  <si>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</si>
  <si>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</si>
  <si>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Bobby Story</t>
  </si>
  <si>
    <t>Story Express</t>
  </si>
  <si>
    <t>2002 W Main Street</t>
  </si>
  <si>
    <t>Durant OK 74701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</si>
</sst>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zoomScaleNormal="100" workbookViewId="0">
      <selection activeCell="A71" sqref="A71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200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/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/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/>
      <c r="C35" s="50"/>
      <c r="D35" s="50">
        <v>1</v>
      </c>
      <c r="E35" s="50"/>
      <c r="F35" s="51">
        <f>IF(B35=1,0.15,IF(C35=1,0.1,IF(D35=1,0.05,IF(E35=1,-0.25,0))))</f>
        <v>0.05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>
        <v>1</v>
      </c>
      <c r="D41" s="50"/>
      <c r="E41" s="50"/>
      <c r="F41" s="51">
        <f>IF(B41=1,0.15,IF(C41=1,0.125,IF(D41=1,0.075,IF(E41=1,0.05,0))))</f>
        <v>0.125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/>
      <c r="D49" s="54">
        <v>1</v>
      </c>
      <c r="E49" s="54"/>
      <c r="F49" s="51">
        <f>IF(B49=1,0.15,IF(C49=1,0.1,IF(D49=1,0.05,IF(E49=1,0,0))))</f>
        <v>0.05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0.97500000000000009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0.49</v>
      </c>
      <c r="F58" s="61">
        <f>-0.3*(0.55-E58)</f>
        <v>-1.8000000000000016E-2</v>
      </c>
    </row>
    <row r="59" spans="1:8" ht="15.75" x14ac:dyDescent="0.25">
      <c r="A59" s="83" t="s">
        <v>3</v>
      </c>
      <c r="B59" s="84"/>
      <c r="C59" s="84"/>
      <c r="D59" s="85"/>
      <c r="E59" s="45">
        <v>0.53</v>
      </c>
      <c r="F59" s="61">
        <f>-0.75*(0.5-E59)</f>
        <v>2.250000000000002E-2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1.125000000000001E-3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8.0384448529411765E-3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1.0609748641304349E-2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1.2843379934210527E-2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10669</v>
      </c>
      <c r="B70" s="66"/>
      <c r="C70" s="66"/>
      <c r="D70" s="66"/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25728.650440808826</v>
      </c>
      <c r="C74" s="68">
        <f>F65*A70*300</f>
        <v>33958.62247622283</v>
      </c>
      <c r="D74" s="68">
        <f>($F$54*(1+$F$61))/85*($A$70*(1+B$70))*300</f>
        <v>36755.214915441182</v>
      </c>
      <c r="E74" s="68">
        <f>($F$54*(1+$F$61))/82*($A$70*(1+C$70))*300</f>
        <v>38099.917900152446</v>
      </c>
      <c r="F74" s="68">
        <f>F66*(A70*(1+D70)*300)</f>
        <v>41107.806155427636</v>
      </c>
    </row>
    <row r="75" spans="1:6" ht="15.75" x14ac:dyDescent="0.25">
      <c r="A75" s="35" t="s">
        <v>106</v>
      </c>
      <c r="B75" s="68">
        <f>B74/12</f>
        <v>2144.0542034007353</v>
      </c>
      <c r="C75" s="68">
        <f>C74/12</f>
        <v>2829.8852063519025</v>
      </c>
      <c r="D75" s="68">
        <f t="shared" ref="D75:F75" si="0">D74/12</f>
        <v>3062.9345762867652</v>
      </c>
      <c r="E75" s="68">
        <f t="shared" si="0"/>
        <v>3174.993158346037</v>
      </c>
      <c r="F75" s="68">
        <f t="shared" si="0"/>
        <v>3425.650512952303</v>
      </c>
    </row>
    <row r="76" spans="1:6" ht="15.75" x14ac:dyDescent="0.25">
      <c r="A76" s="35" t="s">
        <v>107</v>
      </c>
      <c r="B76" s="68">
        <f>B75/4.5/7*3</f>
        <v>204.19563841911767</v>
      </c>
      <c r="C76" s="68">
        <f t="shared" ref="C76:F76" si="1">C75/4.5/7*3</f>
        <v>269.51287679541929</v>
      </c>
      <c r="D76" s="68">
        <f t="shared" si="1"/>
        <v>291.70805488445387</v>
      </c>
      <c r="E76" s="68">
        <f t="shared" si="1"/>
        <v>302.38030079486066</v>
      </c>
      <c r="F76" s="68">
        <f t="shared" si="1"/>
        <v>326.2524298049812</v>
      </c>
    </row>
    <row r="77" spans="1:6" ht="15.75" x14ac:dyDescent="0.25">
      <c r="A77" s="35" t="s">
        <v>108</v>
      </c>
      <c r="B77" s="68">
        <f>IFERROR((B76/$B9*1.3),0)</f>
        <v>22.121194162071081</v>
      </c>
      <c r="C77" s="68">
        <f t="shared" ref="C77:F77" si="2">IFERROR((C76/$B9*1.3),0)</f>
        <v>29.197228319503758</v>
      </c>
      <c r="D77" s="68">
        <f t="shared" si="2"/>
        <v>31.601705945815837</v>
      </c>
      <c r="E77" s="68">
        <f t="shared" si="2"/>
        <v>32.75786591944324</v>
      </c>
      <c r="F77" s="68">
        <f t="shared" si="2"/>
        <v>35.344013228872967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opLeftCell="B391" zoomScale="130" zoomScaleNormal="100" zoomScalePageLayoutView="130" workbookViewId="0">
      <selection activeCell="H95" sqref="H95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Bobby Story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Story Express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2002 W Main Street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Durant OK 74701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>
        <f>'Input Form'!B6</f>
        <v>0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Bobby Story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Story Express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2002 W Main Street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Durant OK 74701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>
        <f>AddressLine3</f>
        <v>0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1983.2167002335009</v>
      </c>
      <c r="J65" s="18">
        <f>'Input Form'!B75</f>
        <v>2144.0542034007353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4462.237575525377</v>
      </c>
      <c r="J69" s="20">
        <f>J$65*F69*G69</f>
        <v>4824.1219576516551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2974.8250503502509</v>
      </c>
      <c r="J70" s="20">
        <f t="shared" ref="J70:J73" si="0">J$65*F70*G70</f>
        <v>3216.0813051011032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4462.2375755253761</v>
      </c>
      <c r="J71" s="20">
        <f t="shared" si="0"/>
        <v>4824.1219576516542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0.2</v>
      </c>
      <c r="H72" s="140"/>
      <c r="I72" s="20">
        <f t="shared" ref="I72:I73" si="1">I$65*G72*F72</f>
        <v>7932.8668009340035</v>
      </c>
      <c r="J72" s="20">
        <f t="shared" si="0"/>
        <v>8576.2168136029413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2479.0208752918761</v>
      </c>
      <c r="J73" s="20">
        <f t="shared" si="0"/>
        <v>2680.0677542509193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22311.187877626886</v>
      </c>
      <c r="J74" s="20">
        <f>SUM(J69:J73)</f>
        <v>24120.609788258273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-401.60138179728392</v>
      </c>
      <c r="J75" s="20">
        <f>-(J74*$F75*$G75)</f>
        <v>-434.17097618864886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21909.586495829601</v>
      </c>
      <c r="J76" s="20">
        <f>SUM(J74:J75)</f>
        <v>23686.438812069624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11.047499999999999</v>
      </c>
      <c r="J77" s="22">
        <f>J76/(J65+0.000000001)</f>
        <v>11.047499999994848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657.28759487488799</v>
      </c>
      <c r="J80" s="20">
        <f>$G80*J76</f>
        <v>710.59316436208871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5.4346666666666675E-2</v>
      </c>
      <c r="H81" s="131"/>
      <c r="I81" s="20">
        <f>G81*I76</f>
        <v>1190.7129940933528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1310.8747399592098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219.095864958296</v>
      </c>
      <c r="J82" s="20">
        <f>$G82*J76</f>
        <v>236.86438812069625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4.4820562916005724E-2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0.61249988458496785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219.095864958296</v>
      </c>
      <c r="J85" s="20">
        <f>$G85*J76</f>
        <v>236.86438812069625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219.095864958296</v>
      </c>
      <c r="J86" s="20">
        <f>$G86*J76</f>
        <v>236.86438812069625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328.64379743744399</v>
      </c>
      <c r="J87" s="20">
        <f>$G87*J76</f>
        <v>355.29658218104436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219.095864958296</v>
      </c>
      <c r="J88" s="20">
        <f>$G88*J76</f>
        <v>236.86438812069625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8.9641125832011448E-2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219.095864958296</v>
      </c>
      <c r="J90" s="20">
        <f>$G90*J76</f>
        <v>236.86438812069625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1971.8627846246641</v>
      </c>
      <c r="J91" s="20">
        <f>$G91*J76</f>
        <v>2131.779493086266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21909.586495821834</v>
      </c>
      <c r="J92" s="20">
        <f>SUM(J80:J91)</f>
        <v>22358.465920192084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7.7670847531408072E-9</v>
      </c>
      <c r="J93" s="24">
        <f>J76-J92</f>
        <v>1327.97289187754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Bobby Story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Story Express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2002 W Main Street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Durant OK 74701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>
        <f>AddressLine3</f>
        <v>0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21909.586495829601</v>
      </c>
      <c r="H138" s="169"/>
      <c r="I138" s="169">
        <f>J76</f>
        <v>23686.438812069624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21909.586495821834</v>
      </c>
      <c r="H139" s="169"/>
      <c r="I139" s="169">
        <f>J92</f>
        <v>22358.465920192084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7.7670847531408072E-9</v>
      </c>
      <c r="H140" s="169"/>
      <c r="I140" s="169">
        <f>J93</f>
        <v>1327.97289187754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7.7670847531408072E-9</v>
      </c>
      <c r="H143" s="169"/>
      <c r="I143" s="169">
        <f>I140-I141-I142</f>
        <v>1327.97289187754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Bobby Story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Story Express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2002 W Main Street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Durant OK 74701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>
        <f>AddressLine3</f>
        <v>0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25728.650440808826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57889.463491819857</v>
      </c>
      <c r="J169" s="30">
        <f>IFERROR((I169/I$174),0)</f>
        <v>0.20000000000000004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38592.975661213233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57889.46349181985</v>
      </c>
      <c r="J171" s="30">
        <f t="shared" si="2"/>
        <v>0.2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0.2</v>
      </c>
      <c r="H172" s="140"/>
      <c r="I172" s="20">
        <f>I$166*F172*G172</f>
        <v>102914.6017632353</v>
      </c>
      <c r="J172" s="30">
        <f t="shared" si="2"/>
        <v>0.35555555555555562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32160.813051011035</v>
      </c>
      <c r="J173" s="30">
        <f t="shared" si="2"/>
        <v>0.11111111111111115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289447.31745909923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-5210.0517142637855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284237.26574483543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8527.1179723450623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15447.347935679325</v>
      </c>
      <c r="J179" s="30">
        <f t="shared" ref="J179:J196" si="3">IFERROR((I179/I$176),0)</f>
        <v>5.4346666666666675E-2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2842.3726574483544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4.2218250195147182E-2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0.57693771986680342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2842.3726574483544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2842.3726574483544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4263.5589861725311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2842.3726574483544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8.4436500390294364E-2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2842.3726574483544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25581.353917035187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268018.4420984739</v>
      </c>
      <c r="J190" s="30">
        <f t="shared" si="3"/>
        <v>0.94293913711891164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16218.823646361532</v>
      </c>
      <c r="J191" s="30">
        <f t="shared" si="3"/>
        <v>5.7060862881088373E-2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16218.823646361532</v>
      </c>
      <c r="J196" s="30">
        <f t="shared" si="3"/>
        <v>5.7060862881088373E-2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Bobby Story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Story Express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2002 W Main Street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Durant OK 74701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>
        <f>AddressLine3</f>
        <v>0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33958.62247622283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76406.900571501377</v>
      </c>
      <c r="J220" s="30">
        <f>IFERROR((I220/I$225),0)</f>
        <v>0.2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50937.933714334249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76406.900571501363</v>
      </c>
      <c r="J222" s="30">
        <f t="shared" si="4"/>
        <v>0.19999999999999998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0.2</v>
      </c>
      <c r="H223" s="140"/>
      <c r="I223" s="20">
        <f>I$217*F223*G223</f>
        <v>135834.48990489132</v>
      </c>
      <c r="J223" s="30">
        <f t="shared" si="4"/>
        <v>0.35555555555555551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42448.27809527854</v>
      </c>
      <c r="J224" s="30">
        <f t="shared" si="4"/>
        <v>0.1111111111111111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382034.50285750686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-6876.6210514351233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375157.88180607173</v>
      </c>
      <c r="J227" s="30">
        <f t="shared" si="4"/>
        <v>0.98199999999999998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11254.736454182152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20388.580349887314</v>
      </c>
      <c r="J230" s="30">
        <f t="shared" ref="J230:J247" si="5">IFERROR((I230/I$227),0)</f>
        <v>5.4346666666666675E-2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3751.5788180607174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3.198653308902915E-2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0.43711516658143679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3751.5788180607174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3751.5788180607174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5627.3682270910758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3751.5788180607174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6.3973066178058299E-2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3751.5788180607174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33764.209362546455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289779.98848401062</v>
      </c>
      <c r="J241" s="30">
        <f t="shared" si="5"/>
        <v>0.77242143251519102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85377.893322061107</v>
      </c>
      <c r="J242" s="30">
        <f t="shared" si="5"/>
        <v>0.22757856748480904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85377.893322061107</v>
      </c>
      <c r="J247" s="30">
        <f t="shared" si="5"/>
        <v>0.22757856748480904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Bobby Story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Story Express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2002 W Main Street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Durant OK 74701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>
        <f>AddressLine3</f>
        <v>0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36755.214915441182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82699.233559742657</v>
      </c>
      <c r="J271" s="30">
        <f>IFERROR((I271/I$276),0)</f>
        <v>0.20000000000000004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55132.822373161769</v>
      </c>
      <c r="J272" s="30">
        <f t="shared" ref="J272:J278" si="7">IFERROR((I272/I$276),0)</f>
        <v>0.13333333333333336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82699.233559742643</v>
      </c>
      <c r="J273" s="30">
        <f t="shared" si="7"/>
        <v>0.2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0.2</v>
      </c>
      <c r="H274" s="140"/>
      <c r="I274" s="20">
        <f t="shared" si="6"/>
        <v>147020.85966176473</v>
      </c>
      <c r="J274" s="30">
        <f t="shared" si="7"/>
        <v>0.35555555555555562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45944.018644301483</v>
      </c>
      <c r="J275" s="30">
        <f t="shared" si="7"/>
        <v>0.11111111111111115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413496.1677987132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-7442.9310203768373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406053.23677833634</v>
      </c>
      <c r="J278" s="30">
        <f t="shared" si="7"/>
        <v>0.98199999999999998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12181.59710335009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22067.639908113324</v>
      </c>
      <c r="J281" s="30">
        <f t="shared" ref="J281:J298" si="8">IFERROR((I281/I$278),0)</f>
        <v>5.4346666666666682E-2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4060.5323677833635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2.9552775136603027E-2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0.40385640390676236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4060.5323677833635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4060.5323677833635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6090.798551675045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4060.5323677833635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5.9105550273206055E-2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4060.5323677833635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36544.79131005027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297174.68871210556</v>
      </c>
      <c r="J292" s="30">
        <f t="shared" si="8"/>
        <v>0.73186139598323807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108878.54806623078</v>
      </c>
      <c r="J293" s="30">
        <f t="shared" si="8"/>
        <v>0.26813860401676187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108878.54806623078</v>
      </c>
      <c r="J298" s="30">
        <f t="shared" si="8"/>
        <v>0.26813860401676187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Bobby Story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Story Express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2002 W Main Street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Durant OK 74701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>
        <f>AddressLine3</f>
        <v>0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38099.917900152446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85724.815275343004</v>
      </c>
      <c r="J322" s="30">
        <f>IFERROR((I322/I$327),0)</f>
        <v>0.19999999999999998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57149.876850228669</v>
      </c>
      <c r="J323" s="30">
        <f t="shared" ref="J323:J329" si="9">IFERROR((I323/I$327),0)</f>
        <v>0.13333333333333333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85724.815275342989</v>
      </c>
      <c r="J324" s="30">
        <f t="shared" si="9"/>
        <v>0.19999999999999996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0.2</v>
      </c>
      <c r="H325" s="140"/>
      <c r="I325" s="20">
        <f>I$319*F325*G325</f>
        <v>152399.67160060978</v>
      </c>
      <c r="J325" s="30">
        <f t="shared" si="9"/>
        <v>0.35555555555555557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47624.897375190565</v>
      </c>
      <c r="J326" s="30">
        <f t="shared" si="9"/>
        <v>0.11111111111111112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428624.07637671503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-7715.2333747808698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420908.84300193418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12627.265290058025</v>
      </c>
      <c r="J331" s="30">
        <f>IFERROR((I331/I$329),0)</f>
        <v>0.03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22874.992587678455</v>
      </c>
      <c r="J332" s="30">
        <f t="shared" ref="J332:J344" si="10">IFERROR((I332/I$329),0)</f>
        <v>5.4346666666666682E-2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4209.088430019342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2.8509736014134673E-2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0.38960264847475884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4209.088430019342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4209.088430019342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6313.6326450290126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4209.088430019342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5.7019472028269347E-2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4209.088430019342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37881.795870174072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300730.32854303624</v>
      </c>
      <c r="J343" s="30">
        <f t="shared" si="10"/>
        <v>0.71447852318382943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120178.51445889793</v>
      </c>
      <c r="J344" s="30">
        <f t="shared" si="10"/>
        <v>0.28552147681617057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120178.51445889793</v>
      </c>
      <c r="J349" s="30">
        <f t="shared" si="11"/>
        <v>0.28552147681617057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Bobby Story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Story Express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2002 W Main Street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Durant OK 74701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>
        <f>AddressLine3</f>
        <v>0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41107.806155427636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92492.563849712184</v>
      </c>
      <c r="J373" s="30">
        <f>IFERROR((I373/I$378),0)</f>
        <v>0.19999999999999998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61661.709233141453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92492.563849712184</v>
      </c>
      <c r="J375" s="30">
        <f t="shared" si="13"/>
        <v>0.19999999999999998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0.2</v>
      </c>
      <c r="H376" s="140"/>
      <c r="I376" s="20">
        <f t="shared" si="12"/>
        <v>164431.22462171057</v>
      </c>
      <c r="J376" s="30">
        <f t="shared" si="13"/>
        <v>0.35555555555555557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51384.757694284548</v>
      </c>
      <c r="J377" s="30">
        <f t="shared" si="13"/>
        <v>0.1111111111111111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462462.81924856093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-8324.3307464740956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454138.48850208684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13624.154655062604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24680.913055126748</v>
      </c>
      <c r="J383" s="30">
        <f t="shared" ref="J383:J395" si="14">IFERROR((I383/I$380),0)</f>
        <v>5.4346666666666668E-2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4541.3848850208688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2.6423657769197993E-2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0.36109513761075213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4541.3848850208688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4541.3848850208688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6812.0773275313022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4541.3848850208688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5.2847315538395986E-2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4541.3848850208688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40872.463965187817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308683.73342801281</v>
      </c>
      <c r="J394" s="30">
        <f t="shared" si="14"/>
        <v>0.6797127775850127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145454.75507407403</v>
      </c>
      <c r="J395" s="30">
        <f t="shared" si="14"/>
        <v>0.32028722241498725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145454.75507407403</v>
      </c>
      <c r="J400" s="30">
        <f t="shared" si="15"/>
        <v>0.32028722241498725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Bobby Story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Story Express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2002 W Main Street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Durant OK 74701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>
        <f>AddressLine3</f>
        <v>0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JXnhC5cjhhby0fsZuagi9XxJTbODewIZwtoq0f34VjDlkVjD7BIHip/eSX2pI+fGnzylVCZ2nFsSCktEzagaXQ==" saltValue="f3HocVz238ttYxCwcpkG1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2018-10-22T19:21:14Z</cp:lastPrinted>
  <dcterms:created xsi:type="dcterms:W3CDTF">2003-04-06T16:14:55Z</dcterms:created>
  <dcterms:modified xsi:type="dcterms:W3CDTF">2020-02-11T20:03:43Z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