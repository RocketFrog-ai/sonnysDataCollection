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Texas\Riad Chtay\1616 S 57th St, Temple\"/>
    </mc:Choice>
  </mc:AlternateContent>
  <xr:revisionPtr revIDLastSave="0" documentId="8_{4FDE4C21-95E8-4FEE-A7FB-234FBFF21807}" xr6:coauthVersionLast="46" xr6:coauthVersionMax="46" xr10:uidLastSave="{00000000-0000-0000-0000-000000000000}"/>
  <workbookProtection workbookPassword="FB8D" lockStructure="1"/>
  <bookViews>
    <workbookView xWindow="5520" yWindow="3510" windowWidth="21600" windowHeight="1024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E74" i="2" l="1"/>
  <c r="I319" i="3" s="1"/>
  <c r="D74" i="2"/>
  <c r="I268" i="3" s="1"/>
  <c r="C86" i="2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F65" i="2"/>
  <c r="C74" i="2" s="1"/>
  <c r="F66" i="2"/>
  <c r="F64" i="2"/>
  <c r="B74" i="2" s="1"/>
  <c r="F74" i="2" l="1"/>
  <c r="F75" i="2" s="1"/>
  <c r="F76" i="2" s="1"/>
  <c r="F77" i="2" s="1"/>
  <c r="F92" i="2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E75" i="2"/>
  <c r="E76" i="2" s="1"/>
  <c r="E77" i="2" s="1"/>
  <c r="D75" i="2"/>
  <c r="D76" i="2" s="1"/>
  <c r="D77" i="2" s="1"/>
  <c r="I370" i="3" l="1"/>
  <c r="I373" i="3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4" i="3" l="1"/>
  <c r="I376" i="3"/>
  <c r="I377" i="3"/>
  <c r="I375" i="3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I378" i="3" l="1"/>
  <c r="J376" i="3" s="1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J374" i="3" l="1"/>
  <c r="J373" i="3"/>
  <c r="J375" i="3"/>
  <c r="J377" i="3"/>
  <c r="I379" i="3"/>
  <c r="J379" i="3" s="1"/>
  <c r="J378" i="3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I380" i="3" l="1"/>
  <c r="I389" i="3" s="1"/>
  <c r="J389" i="3" s="1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399" i="3" l="1"/>
  <c r="J380" i="3"/>
  <c r="J398" i="3"/>
  <c r="I388" i="3"/>
  <c r="J388" i="3" s="1"/>
  <c r="J386" i="3"/>
  <c r="I393" i="3"/>
  <c r="J393" i="3" s="1"/>
  <c r="J385" i="3"/>
  <c r="J397" i="3"/>
  <c r="I387" i="3"/>
  <c r="J387" i="3" s="1"/>
  <c r="I384" i="3"/>
  <c r="J384" i="3" s="1"/>
  <c r="J391" i="3"/>
  <c r="I390" i="3"/>
  <c r="J390" i="3" s="1"/>
  <c r="I392" i="3"/>
  <c r="J392" i="3" s="1"/>
  <c r="I382" i="3"/>
  <c r="J382" i="3" s="1"/>
  <c r="J181" i="3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<sst xmlns="http://schemas.openxmlformats.org/spreadsheetml/2006/main" count="434" uniqueCount="202">
  <si>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</si>
  <si>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</si>
  <si>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</si>
  <si>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</si>
  <si>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</si>
  <si>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</si>
  <si>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</si>
  <si>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</si>
  <si>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</si>
  <si>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</si>
  <si>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</si>
  <si>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</si>
  <si>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</si>
  <si>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</si>
  <si>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</si>
  <si>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</si>
  <si>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</si>
  <si>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</si>
  <si>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</si>
  <si>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</si>
  <si>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</si>
  <si>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</si>
  <si>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</si>
  <si>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</si>
  <si>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</si>
  <si>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</si>
  <si>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</si>
  <si>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</si>
  <si>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</si>
  <si>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</si>
  <si>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</si>
  <si>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</si>
  <si>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</si>
  <si>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</si>
  <si>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</si>
  <si>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</si>
  <si>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</si>
  <si>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</si>
  <si>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</si>
  <si>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</si>
  <si>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</si>
  <si>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</si>
  <si>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</si>
  <si>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</si>
  <si>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</si>
  <si>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</si>
  <si>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</si>
  <si>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</si>
  <si>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</si>
  <si>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</si>
  <si>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</si>
  <si>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</si>
  <si>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</si>
  <si>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</si>
  <si>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</si>
  <si>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</si>
  <si>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</si>
  <si>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</si>
  <si>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</si>
  <si>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</si>
  <si>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</si>
  <si>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</si>
  <si>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</si>
  <si>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</si>
  <si>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</si>
  <si>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</si>
  <si>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</si>
  <si>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</si>
  <si>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</si>
  <si>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</si>
  <si>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</si>
  <si>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</si>
  <si>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</si>
  <si>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</si>
  <si>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</si>
  <si>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</si>
  <si>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</si>
  <si>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</si>
  <si>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</si>
  <si>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</si>
  <si>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</si>
  <si>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</si>
  <si>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</si>
  <si>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</si>
  <si>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</si>
  <si>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</si>
  <si>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</si>
  <si>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</si>
  <si>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</si>
  <si>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</si>
  <si>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</si>
  <si>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</si>
  <si>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</si>
  <si>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</si>
  <si>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</si>
  <si>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</si>
  <si>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</si>
  <si>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</si>
  <si>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</si>
  <si>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</si>
  <si>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</si>
  <si>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</si>
  <si>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</si>
  <si>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</si>
  <si>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</si>
  <si>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</si>
  <si>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</si>
  <si>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</si>
  <si>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</si>
  <si>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</si>
  <si>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</si>
  <si>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</si>
  <si>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</si>
  <si>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</si>
  <si>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</si>
  <si>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</si>
  <si>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</si>
  <si>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</si>
  <si>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</si>
  <si>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</si>
  <si>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</si>
  <si>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</si>
  <si>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</si>
  <si>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</si>
  <si>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</si>
  <si>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</si>
  <si>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</si>
  <si>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</si>
  <si>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</si>
  <si>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</si>
  <si>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</si>
  <si>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</si>
  <si>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</si>
  <si>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</si>
  <si>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</si>
  <si>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</si>
  <si>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</si>
  <si>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</si>
  <si>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</si>
  <si>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</si>
  <si>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</si>
  <si>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</si>
  <si>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</si>
  <si>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</si>
  <si>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</si>
  <si>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</si>
  <si>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</si>
  <si>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</si>
  <si>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</si>
  <si>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</si>
  <si>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</si>
  <si>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</si>
  <si>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</si>
  <si>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</si>
  <si>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</si>
  <si>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</si>
  <si>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</si>
  <si>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</si>
  <si>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</si>
  <si>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</si>
  <si>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</si>
  <si>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</si>
  <si>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</si>
  <si>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</si>
  <si>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</si>
  <si>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</si>
  <si>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</si>
  <si>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</si>
  <si>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</si>
  <si>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</si>
  <si>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</si>
  <si>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</si>
  <si>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</si>
  <si>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</si>
  <si>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</si>
  <si>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</si>
  <si>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</si>
  <si>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</si>
  <si>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</si>
  <si>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</si>
  <si>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</si>
  <si>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</si>
  <si>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</si>
  <si>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</si>
  <si>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</si>
  <si>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</si>
  <si>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</si>
  <si>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</si>
  <si>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</si>
  <si>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</si>
  <si>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</si>
  <si>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</si>
  <si>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</si>
  <si>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</si>
  <si>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</si>
  <si>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</si>
  <si>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</si>
  <si>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Riad Chtay</t>
  </si>
  <si>
    <t>Aladdin Car Wash</t>
  </si>
  <si>
    <t>1616 S 57th St.</t>
  </si>
  <si>
    <t>Temple, TX 76504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</si>
  <si>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 </t>
    </r>
    <r>
      <rPr>
        <b/>
        <sz val="10"/>
        <color rgb="FFFF0000"/>
        <rFont val="Calibri"/>
        <family val="2"/>
        <scheme val="minor"/>
      </rPr>
      <t>I used the vehicle market instead of the traffic count to show the potential as a destination location.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</si>
</sst>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17</xdr:row>
      <xdr:rowOff>112784</xdr:rowOff>
    </xdr:from>
    <xdr:to>
      <xdr:col>9</xdr:col>
      <xdr:colOff>361950</xdr:colOff>
      <xdr:row>25</xdr:row>
      <xdr:rowOff>108691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9AB1C-C984-415C-9D0E-0D61D76A3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2865509"/>
          <a:ext cx="4933950" cy="1291307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514351</xdr:colOff>
      <xdr:row>33</xdr:row>
      <xdr:rowOff>28575</xdr:rowOff>
    </xdr:from>
    <xdr:to>
      <xdr:col>7</xdr:col>
      <xdr:colOff>545307</xdr:colOff>
      <xdr:row>38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E15ED9-0B27-4DCB-A4D3-83AB47652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1" y="5934075"/>
          <a:ext cx="3002756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2" zoomScaleNormal="100" workbookViewId="0">
      <selection activeCell="H76" sqref="H76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197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198</v>
      </c>
      <c r="C3" s="87"/>
      <c r="D3" s="88"/>
      <c r="E3" s="34"/>
      <c r="F3" s="34"/>
    </row>
    <row r="4" spans="1:9" ht="15.75" x14ac:dyDescent="0.25">
      <c r="A4" s="35" t="s">
        <v>13</v>
      </c>
      <c r="B4" s="86"/>
      <c r="C4" s="87"/>
      <c r="D4" s="88"/>
      <c r="E4" s="34"/>
      <c r="F4" s="34"/>
    </row>
    <row r="5" spans="1:9" ht="15.75" x14ac:dyDescent="0.25">
      <c r="A5" s="35" t="s">
        <v>14</v>
      </c>
      <c r="B5" s="86" t="s">
        <v>199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200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14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0.15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/>
      <c r="C41" s="50"/>
      <c r="D41" s="50"/>
      <c r="E41" s="50">
        <v>1</v>
      </c>
      <c r="F41" s="51">
        <f>IF(B41=1,0.15,IF(C41=1,0.125,IF(D41=1,0.075,IF(E41=1,0.05,0))))</f>
        <v>0.05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>
        <v>1</v>
      </c>
      <c r="C45" s="50"/>
      <c r="D45" s="50"/>
      <c r="E45" s="50"/>
      <c r="F45" s="51">
        <f>IF(B45=1,0.15,IF(C45=1,0.125,IF(D45=1,0.075,IF(E45=1,0.05,0))))</f>
        <v>0.15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1.075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2.34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0.48</v>
      </c>
      <c r="F58" s="61">
        <f>-0.3*(0.55-E58)</f>
        <v>-2.1000000000000019E-2</v>
      </c>
    </row>
    <row r="59" spans="1:8" ht="15.75" x14ac:dyDescent="0.25">
      <c r="A59" s="83" t="s">
        <v>3</v>
      </c>
      <c r="B59" s="84"/>
      <c r="C59" s="84"/>
      <c r="D59" s="85"/>
      <c r="E59" s="45">
        <v>0.623</v>
      </c>
      <c r="F59" s="61">
        <f>-0.75*(0.5-E59)</f>
        <v>9.2249999999999999E-2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1.7812499999999995E-2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9.0106341911764705E-3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1.1892917798913043E-2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1.4396689967105261E-2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35227</v>
      </c>
      <c r="B70" s="66">
        <v>0.02</v>
      </c>
      <c r="C70" s="66">
        <v>0.02</v>
      </c>
      <c r="D70" s="66">
        <v>0.02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F64*A70*330</f>
        <v>104747.81151534925</v>
      </c>
      <c r="C74" s="68">
        <f>F65*A70*330</f>
        <v>138254.09904976221</v>
      </c>
      <c r="D74" s="68">
        <f>($F$54*(1+$F$61))/85*($A$70*(1+B$70))*330</f>
        <v>152632.5253509375</v>
      </c>
      <c r="E74" s="68">
        <f>($F$54*(1+$F$61))/82*($A$70*(1+C$70))*330</f>
        <v>158216.64213206933</v>
      </c>
      <c r="F74" s="68">
        <f>F66*(A70*(1+D70)*330)</f>
        <v>170707.42966881167</v>
      </c>
    </row>
    <row r="75" spans="1:6" ht="15.75" x14ac:dyDescent="0.25">
      <c r="A75" s="35" t="s">
        <v>106</v>
      </c>
      <c r="B75" s="68">
        <f>B74/12</f>
        <v>8728.9842929457718</v>
      </c>
      <c r="C75" s="68">
        <f>C74/12</f>
        <v>11521.174920813517</v>
      </c>
      <c r="D75" s="68">
        <f t="shared" ref="D75:F75" si="0">D74/12</f>
        <v>12719.377112578126</v>
      </c>
      <c r="E75" s="68">
        <f t="shared" si="0"/>
        <v>13184.720177672445</v>
      </c>
      <c r="F75" s="68">
        <f t="shared" si="0"/>
        <v>14225.619139067639</v>
      </c>
    </row>
    <row r="76" spans="1:6" ht="15.75" x14ac:dyDescent="0.25">
      <c r="A76" s="35" t="s">
        <v>107</v>
      </c>
      <c r="B76" s="68">
        <f>B75/4.5/7*3</f>
        <v>831.3318374234068</v>
      </c>
      <c r="C76" s="68">
        <f t="shared" ref="C76:F76" si="1">C75/4.5/7*3</f>
        <v>1097.254754363192</v>
      </c>
      <c r="D76" s="68">
        <f t="shared" si="1"/>
        <v>1211.3692488169643</v>
      </c>
      <c r="E76" s="68">
        <f t="shared" si="1"/>
        <v>1255.6876359688044</v>
      </c>
      <c r="F76" s="68">
        <f t="shared" si="1"/>
        <v>1354.8208703873943</v>
      </c>
    </row>
    <row r="77" spans="1:6" ht="15.75" x14ac:dyDescent="0.25">
      <c r="A77" s="35" t="s">
        <v>108</v>
      </c>
      <c r="B77" s="68">
        <f>IFERROR((B76/$B9*1.3),0)</f>
        <v>90.06094905420241</v>
      </c>
      <c r="C77" s="68">
        <f t="shared" ref="C77:F77" si="2">IFERROR((C76/$B9*1.3),0)</f>
        <v>118.86926505601248</v>
      </c>
      <c r="D77" s="68">
        <f t="shared" si="2"/>
        <v>131.2316686218378</v>
      </c>
      <c r="E77" s="68">
        <f t="shared" si="2"/>
        <v>136.03282722995382</v>
      </c>
      <c r="F77" s="68">
        <f t="shared" si="2"/>
        <v>146.7722609586344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>
        <v>0</v>
      </c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>
        <v>880000</v>
      </c>
      <c r="C82" s="70">
        <v>0.2</v>
      </c>
      <c r="D82" s="64">
        <f t="shared" ref="D82:D85" si="3">1-C82</f>
        <v>0.8</v>
      </c>
      <c r="E82" s="71">
        <f t="shared" ref="E82:E85" si="4">C82*B82</f>
        <v>176000</v>
      </c>
      <c r="F82" s="71">
        <f t="shared" ref="F82:F85" si="5">D82*B82</f>
        <v>704000</v>
      </c>
    </row>
    <row r="83" spans="1:6" ht="15.75" x14ac:dyDescent="0.25">
      <c r="A83" s="35" t="s">
        <v>117</v>
      </c>
      <c r="B83" s="47">
        <v>0</v>
      </c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>
        <v>0</v>
      </c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>
        <v>0</v>
      </c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880000</v>
      </c>
      <c r="C86" s="75">
        <f>IFERROR((E86/B86),0)</f>
        <v>0.2</v>
      </c>
      <c r="D86" s="64">
        <f>IFERROR((F86/B86),0)</f>
        <v>0.8</v>
      </c>
      <c r="E86" s="71">
        <f>SUM(E81:E85)</f>
        <v>176000</v>
      </c>
      <c r="F86" s="71">
        <f>SUM(F81:F85)</f>
        <v>704000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704000</v>
      </c>
      <c r="C90" s="77">
        <v>5.5E-2</v>
      </c>
      <c r="D90" s="40">
        <v>240</v>
      </c>
      <c r="E90" s="60"/>
      <c r="F90" s="71">
        <f t="shared" ref="F90:F93" si="7">IFERROR(PMT(C90/12,(D90),B90)*-1,0)</f>
        <v>4842.7266473290392</v>
      </c>
    </row>
    <row r="91" spans="1:6" ht="15.75" x14ac:dyDescent="0.25">
      <c r="A91" s="35" t="s">
        <v>117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704000</v>
      </c>
      <c r="C94" s="60"/>
      <c r="D94" s="60"/>
      <c r="E94" s="60"/>
      <c r="F94" s="71">
        <f>SUM(F89:F93)</f>
        <v>4842.7266473290392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6csh8NTY6VzXUsJ2XTx/I1/uLgSu/vTUUx7b75mkcW52WOPIw7MoQdNOCv323KbmAiQWeoEPmL+yYnvtZbmqAg==" saltValue="MLjXAU+Lb0zofvGxLlz+8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topLeftCell="A31" zoomScaleNormal="100" workbookViewId="0">
      <selection activeCell="M43" sqref="M43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Riad Chtay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Aladdin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1616 S 57th St.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Temple, TX 76504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201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Riad Chtay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Aladdin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>
        <f>AddressLine1</f>
        <v>0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1616 S 57th St.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Temple, TX 76504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2740.9764617721166</v>
      </c>
      <c r="J65" s="18">
        <f>'Input Form'!B75</f>
        <v>8728.9842929457718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0.5</v>
      </c>
      <c r="H69" s="140"/>
      <c r="I69" s="20">
        <f>IFERROR((I$65*G69*F69),0)</f>
        <v>6852.4411544302911</v>
      </c>
      <c r="J69" s="20">
        <f>J$65*F69*G69</f>
        <v>21822.46073236443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4111.4646926581745</v>
      </c>
      <c r="J70" s="20">
        <f t="shared" ref="J70:J73" si="0">J$65*F70*G70</f>
        <v>13093.476439418659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6167.1970389872622</v>
      </c>
      <c r="J71" s="20">
        <f t="shared" si="0"/>
        <v>19640.214659127985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0.15</v>
      </c>
      <c r="H72" s="140"/>
      <c r="I72" s="20">
        <f t="shared" ref="I72:I73" si="1">I$65*G72*F72</f>
        <v>8222.929385316349</v>
      </c>
      <c r="J72" s="20">
        <f t="shared" si="0"/>
        <v>26186.952878837317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0.05</v>
      </c>
      <c r="H73" s="140"/>
      <c r="I73" s="20">
        <f t="shared" si="1"/>
        <v>3426.220577215146</v>
      </c>
      <c r="J73" s="20">
        <f t="shared" si="0"/>
        <v>10911.230366182215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28780.252848607222</v>
      </c>
      <c r="J74" s="20">
        <f>SUM(J69:J73)</f>
        <v>91654.335075930605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-518.04455127492997</v>
      </c>
      <c r="J75" s="20">
        <f>-(J74*$F75*$G75)</f>
        <v>-1649.7780313667506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28262.208297332294</v>
      </c>
      <c r="J76" s="20">
        <f>SUM(J74:J75)</f>
        <v>90004.557044563859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10.311</v>
      </c>
      <c r="J77" s="22">
        <f>J76/(J65+0.000000001)</f>
        <v>10.310999999998819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847.86624891996883</v>
      </c>
      <c r="J80" s="20">
        <f>$G80*J76</f>
        <v>2700.1367113369156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6.1883809523809528E-2</v>
      </c>
      <c r="H81" s="131"/>
      <c r="I81" s="20">
        <f>G81*I76</f>
        <v>1748.9731149943409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5671.9194138703042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282.62208297332296</v>
      </c>
      <c r="J82" s="20">
        <f>$G82*J76</f>
        <v>900.04557044563865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3.4746046369373486E-2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0.46705635529711842</v>
      </c>
      <c r="H84" s="131"/>
      <c r="I84" s="20">
        <f>J84</f>
        <v>13442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13442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282.62208297332296</v>
      </c>
      <c r="J85" s="20">
        <f>$G85*J76</f>
        <v>900.04557044563865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282.62208297332296</v>
      </c>
      <c r="J86" s="20">
        <f>$G86*J76</f>
        <v>900.04557044563865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423.93312445998441</v>
      </c>
      <c r="J87" s="20">
        <f>$G87*J76</f>
        <v>1350.0683556684578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282.62208297332296</v>
      </c>
      <c r="J88" s="20">
        <f>$G88*J76</f>
        <v>900.04557044563865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6.9492092738746972E-2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282.62208297332296</v>
      </c>
      <c r="J90" s="20">
        <f>$G90*J76</f>
        <v>900.04557044563865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2543.5987467599066</v>
      </c>
      <c r="J91" s="20">
        <f>$G91*J76</f>
        <v>8100.4101340107472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23419.481650000824</v>
      </c>
      <c r="J92" s="20">
        <f>SUM(J80:J91)</f>
        <v>38764.762467114619</v>
      </c>
      <c r="K92" s="10"/>
    </row>
    <row r="93" spans="1:12" x14ac:dyDescent="0.2">
      <c r="A93" s="10"/>
      <c r="B93" s="119" t="s">
        <v>196</v>
      </c>
      <c r="C93" s="119"/>
      <c r="D93" s="119"/>
      <c r="E93" s="119"/>
      <c r="F93" s="119"/>
      <c r="G93" s="119"/>
      <c r="H93" s="119"/>
      <c r="I93" s="24">
        <f>I76-I92</f>
        <v>4842.7266473314703</v>
      </c>
      <c r="J93" s="24">
        <f>J76-J92</f>
        <v>51239.79457744924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Riad Chtay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Aladdin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>
        <f>AddressLine1</f>
        <v>0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1616 S 57th St.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Temple, TX 76504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880000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176000</v>
      </c>
      <c r="H118" s="159"/>
      <c r="I118" s="156">
        <f>'Input Form'!F82</f>
        <v>704000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880000</v>
      </c>
      <c r="D122" s="140"/>
      <c r="E122" s="28">
        <f>'Input Form'!C86</f>
        <v>0.2</v>
      </c>
      <c r="F122" s="28">
        <f>'Input Form'!D86</f>
        <v>0.8</v>
      </c>
      <c r="G122" s="158">
        <f>'Input Form'!E86</f>
        <v>176000</v>
      </c>
      <c r="H122" s="159"/>
      <c r="I122" s="156">
        <f>'Input Form'!F86</f>
        <v>704000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240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704000</v>
      </c>
      <c r="D126" s="140"/>
      <c r="E126" s="108">
        <f>'Input Form'!C90</f>
        <v>5.5E-2</v>
      </c>
      <c r="F126" s="109"/>
      <c r="G126" s="140">
        <f>'Input Form'!D90</f>
        <v>240</v>
      </c>
      <c r="H126" s="140"/>
      <c r="I126" s="169">
        <f>'Input Form'!F90</f>
        <v>4842.7266473290392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240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240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240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704000</v>
      </c>
      <c r="D130" s="140"/>
      <c r="E130" s="172"/>
      <c r="F130" s="173"/>
      <c r="G130" s="173"/>
      <c r="H130" s="174"/>
      <c r="I130" s="169">
        <f>'Input Form'!F94</f>
        <v>4842.7266473290392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28262.208297332294</v>
      </c>
      <c r="H138" s="169"/>
      <c r="I138" s="169">
        <f>J76</f>
        <v>90004.557044563859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23419.481650000824</v>
      </c>
      <c r="H139" s="169"/>
      <c r="I139" s="169">
        <f>J92</f>
        <v>38764.762467114619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4842.7266473314703</v>
      </c>
      <c r="H140" s="169"/>
      <c r="I140" s="169">
        <f>J93</f>
        <v>51239.79457744924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4842.7266473290392</v>
      </c>
      <c r="H141" s="169"/>
      <c r="I141" s="169">
        <f>I130</f>
        <v>4842.7266473290392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2.4310793378390372E-9</v>
      </c>
      <c r="H143" s="169"/>
      <c r="I143" s="169">
        <f>I140-I141-I142</f>
        <v>46397.067930120204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Riad Chtay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Aladdin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>
        <f>AddressLine1</f>
        <v>0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1616 S 57th St.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Temple, TX 76504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104747.81151534925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0.5</v>
      </c>
      <c r="H169" s="140"/>
      <c r="I169" s="20">
        <f>I$166*F169*G169</f>
        <v>261869.52878837314</v>
      </c>
      <c r="J169" s="30">
        <f>IFERROR((I169/I$174),0)</f>
        <v>0.23809523809523805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157121.71727302388</v>
      </c>
      <c r="J170" s="30">
        <f t="shared" ref="J170:J176" si="2">IFERROR((I170/I$174),0)</f>
        <v>0.14285714285714282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235682.57590953584</v>
      </c>
      <c r="J171" s="30">
        <f t="shared" si="2"/>
        <v>0.21428571428571425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0.15</v>
      </c>
      <c r="H172" s="140"/>
      <c r="I172" s="20">
        <f>I$166*F172*G172</f>
        <v>314243.43454604776</v>
      </c>
      <c r="J172" s="30">
        <f t="shared" si="2"/>
        <v>0.28571428571428564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0.05</v>
      </c>
      <c r="H173" s="140"/>
      <c r="I173" s="20">
        <f>I$166*F173*G173</f>
        <v>130934.76439418658</v>
      </c>
      <c r="J173" s="30">
        <f t="shared" si="2"/>
        <v>0.11904761904761904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1099852.0209111674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-19797.33637640101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1080054.6845347665</v>
      </c>
      <c r="J176" s="30">
        <f t="shared" si="2"/>
        <v>0.9820000000000001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32401.640536042993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66837.898373047676</v>
      </c>
      <c r="J179" s="30">
        <f t="shared" ref="J179:J196" si="3">IFERROR((I179/I$176),0)</f>
        <v>6.1883809523809528E-2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10800.546845347664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1.1110548541501859E-2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161304</v>
      </c>
      <c r="J182" s="30">
        <f t="shared" si="3"/>
        <v>0.14934799349486799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10800.546845347664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10800.546845347664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16200.820268021496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10800.546845347664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2.2221097083003717E-2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10800.546845347664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97204.921608128978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463952.0150119795</v>
      </c>
      <c r="J190" s="30">
        <f t="shared" si="3"/>
        <v>0.42956344864318313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616102.66952278698</v>
      </c>
      <c r="J191" s="30">
        <f t="shared" si="3"/>
        <v>0.57043655135681692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58112.719767948467</v>
      </c>
      <c r="J193" s="30">
        <f t="shared" si="3"/>
        <v>5.3805349488373844E-2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58112.719767948467</v>
      </c>
      <c r="J195" s="30">
        <f t="shared" si="3"/>
        <v>5.3805349488373844E-2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557989.94975483848</v>
      </c>
      <c r="J196" s="30">
        <f t="shared" si="3"/>
        <v>0.51663120186844302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Riad Chtay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Aladdin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>
        <f>AddressLine1</f>
        <v>0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1616 S 57th St.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Temple, TX 76504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138254.09904976221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0.5</v>
      </c>
      <c r="H220" s="140"/>
      <c r="I220" s="20">
        <f>I$217*F220*G220</f>
        <v>345635.24762440554</v>
      </c>
      <c r="J220" s="30">
        <f>IFERROR((I220/I$225),0)</f>
        <v>0.23809523809523808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207381.14857464333</v>
      </c>
      <c r="J221" s="30">
        <f t="shared" ref="J221:J227" si="4">IFERROR((I221/I$225),0)</f>
        <v>0.14285714285714285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311071.72286196495</v>
      </c>
      <c r="J222" s="30">
        <f t="shared" si="4"/>
        <v>0.21428571428571425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0.15</v>
      </c>
      <c r="H223" s="140"/>
      <c r="I223" s="20">
        <f>I$217*F223*G223</f>
        <v>414762.29714928666</v>
      </c>
      <c r="J223" s="30">
        <f t="shared" si="4"/>
        <v>0.2857142857142857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0.05</v>
      </c>
      <c r="H224" s="140"/>
      <c r="I224" s="20">
        <f>I$217*F224*G224</f>
        <v>172817.62381220277</v>
      </c>
      <c r="J224" s="30">
        <f t="shared" si="4"/>
        <v>0.11904761904761904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1451668.0400225034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-26130.024720405057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1425538.0153020984</v>
      </c>
      <c r="J227" s="30">
        <f t="shared" si="4"/>
        <v>0.9820000000000001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42766.140459062946</v>
      </c>
      <c r="J229" s="30">
        <f>IFERROR((I229/I$227),0)</f>
        <v>2.9999999999999995E-2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88217.723007904526</v>
      </c>
      <c r="J230" s="30">
        <f t="shared" ref="J230:J247" si="5">IFERROR((I230/I$227),0)</f>
        <v>6.1883809523809528E-2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14255.380153020984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8.4178744243849392E-3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161304</v>
      </c>
      <c r="J233" s="30">
        <f t="shared" si="5"/>
        <v>0.11315306801258235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14255.380153020984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14255.380153020984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21383.070229531473</v>
      </c>
      <c r="J236" s="30">
        <f t="shared" si="5"/>
        <v>1.4999999999999998E-2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14255.380153020984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1.6835748848769878E-2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14255.380153020984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128298.42137718885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549246.25583879265</v>
      </c>
      <c r="J241" s="30">
        <f t="shared" si="5"/>
        <v>0.38529050080954663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876291.7594633057</v>
      </c>
      <c r="J242" s="30">
        <f t="shared" si="5"/>
        <v>0.61470949919045337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58112.719767948467</v>
      </c>
      <c r="J244" s="30">
        <f t="shared" si="5"/>
        <v>4.0765464788838537E-2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58112.719767948467</v>
      </c>
      <c r="J246" s="30">
        <f t="shared" si="5"/>
        <v>4.0765464788838537E-2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818179.03969535721</v>
      </c>
      <c r="J247" s="30">
        <f t="shared" si="5"/>
        <v>0.57394403440161479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Riad Chtay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Aladdin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>
        <f>AddressLine1</f>
        <v>0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1616 S 57th St.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Temple, TX 76504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152632.5253509375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0.5</v>
      </c>
      <c r="H271" s="140"/>
      <c r="I271" s="20">
        <f>I$268*F271*G271</f>
        <v>381581.31337734376</v>
      </c>
      <c r="J271" s="30">
        <f>IFERROR((I271/I$276),0)</f>
        <v>0.23809523809523805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228948.78802640626</v>
      </c>
      <c r="J272" s="30">
        <f t="shared" ref="J272:J278" si="7">IFERROR((I272/I$276),0)</f>
        <v>0.14285714285714282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343423.18203960935</v>
      </c>
      <c r="J273" s="30">
        <f t="shared" si="7"/>
        <v>0.21428571428571422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0.15</v>
      </c>
      <c r="H274" s="140"/>
      <c r="I274" s="20">
        <f t="shared" si="6"/>
        <v>457897.57605281251</v>
      </c>
      <c r="J274" s="30">
        <f t="shared" si="7"/>
        <v>0.28571428571428564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0.05</v>
      </c>
      <c r="H275" s="140"/>
      <c r="I275" s="20">
        <f t="shared" si="6"/>
        <v>190790.65668867191</v>
      </c>
      <c r="J275" s="30">
        <f t="shared" si="7"/>
        <v>0.11904761904761904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1602641.5161848441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-28847.547291327191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1573793.9688935168</v>
      </c>
      <c r="J278" s="30">
        <f t="shared" si="7"/>
        <v>0.98199999999999998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47213.819066805503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97392.36620072661</v>
      </c>
      <c r="J281" s="30">
        <f t="shared" ref="J281:J298" si="8">IFERROR((I281/I$278),0)</f>
        <v>6.1883809523809528E-2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15737.939688935168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7.6248862539718644E-3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161304</v>
      </c>
      <c r="J284" s="30">
        <f t="shared" si="8"/>
        <v>0.1024937210258898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15737.939688935168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15737.939688935168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23606.909533402752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15737.939688935168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1.5249772507943729E-2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15737.939688935168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141641.45720041651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585848.25044602726</v>
      </c>
      <c r="J292" s="30">
        <f t="shared" si="8"/>
        <v>0.37225218931161497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987945.71844748955</v>
      </c>
      <c r="J293" s="30">
        <f t="shared" si="8"/>
        <v>0.62774781068838503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58112.719767948467</v>
      </c>
      <c r="J295" s="30">
        <f t="shared" si="8"/>
        <v>3.6925239844962439E-2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58112.719767948467</v>
      </c>
      <c r="J297" s="30">
        <f t="shared" si="8"/>
        <v>3.6925239844962439E-2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929832.99867954105</v>
      </c>
      <c r="J298" s="30">
        <f t="shared" si="8"/>
        <v>0.5908225708434226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Riad Chtay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Aladdin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>
        <f>AddressLine1</f>
        <v>0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1616 S 57th St.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Temple, TX 76504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158216.64213206933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0.5</v>
      </c>
      <c r="H322" s="140"/>
      <c r="I322" s="20">
        <f>I$319*F322*G322</f>
        <v>395541.60533017333</v>
      </c>
      <c r="J322" s="30">
        <f>IFERROR((I322/I$327),0)</f>
        <v>0.23809523809523811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237324.963198104</v>
      </c>
      <c r="J323" s="30">
        <f t="shared" ref="J323:J329" si="9">IFERROR((I323/I$327),0)</f>
        <v>0.14285714285714288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355987.44479715597</v>
      </c>
      <c r="J324" s="30">
        <f t="shared" si="9"/>
        <v>0.2142857142857143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0.15</v>
      </c>
      <c r="H325" s="140"/>
      <c r="I325" s="20">
        <f>I$319*F325*G325</f>
        <v>474649.926396208</v>
      </c>
      <c r="J325" s="30">
        <f t="shared" si="9"/>
        <v>0.28571428571428575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0.05</v>
      </c>
      <c r="H326" s="140"/>
      <c r="I326" s="20">
        <f>I$319*F326*G326</f>
        <v>197770.8026650867</v>
      </c>
      <c r="J326" s="30">
        <f t="shared" si="9"/>
        <v>0.11904761904761908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1661274.7423867278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-29902.945362961098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1631371.7970237667</v>
      </c>
      <c r="J329" s="30">
        <f t="shared" si="9"/>
        <v>0.98199999999999998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48941.153910713001</v>
      </c>
      <c r="J331" s="30">
        <f>IFERROR((I331/I$329),0)</f>
        <v>0.03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100955.50154953364</v>
      </c>
      <c r="J332" s="30">
        <f t="shared" ref="J332:J344" si="10">IFERROR((I332/I$329),0)</f>
        <v>6.1883809523809528E-2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16313.717970237667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7.3557726214787426E-3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161304</v>
      </c>
      <c r="J335" s="30">
        <f t="shared" si="10"/>
        <v>9.8876295577917259E-2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16313.717970237667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16313.717970237667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24470.576955356501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16313.717970237667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1.4711545242957485E-2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16313.717970237667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146823.461732139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600063.28399893048</v>
      </c>
      <c r="J343" s="30">
        <f t="shared" si="10"/>
        <v>0.367827422966163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1031308.5130248362</v>
      </c>
      <c r="J344" s="30">
        <f t="shared" si="10"/>
        <v>0.632172577033837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58112.719767948467</v>
      </c>
      <c r="J346" s="30">
        <f t="shared" ref="J346:J349" si="11">IFERROR((I346/I$329),0)</f>
        <v>3.562199608572849E-2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58112.719767948467</v>
      </c>
      <c r="J348" s="30">
        <f t="shared" si="11"/>
        <v>3.562199608572849E-2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973195.7932568877</v>
      </c>
      <c r="J349" s="30">
        <f t="shared" si="11"/>
        <v>0.59655058094810842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Riad Chtay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Aladdin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>
        <f>AddressLine1</f>
        <v>0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1616 S 57th St.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Temple, TX 76504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170707.42966881167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0.5</v>
      </c>
      <c r="H373" s="140"/>
      <c r="I373" s="20">
        <f>I$370*F373*G373</f>
        <v>426768.57417202916</v>
      </c>
      <c r="J373" s="30">
        <f>IFERROR((I373/I$378),0)</f>
        <v>0.23809523809523805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256061.14450321748</v>
      </c>
      <c r="J374" s="30">
        <f t="shared" ref="J374:J380" si="13">IFERROR((I374/I$378),0)</f>
        <v>0.14285714285714282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384091.71675482625</v>
      </c>
      <c r="J375" s="30">
        <f t="shared" si="13"/>
        <v>0.21428571428571427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0.15</v>
      </c>
      <c r="H376" s="140"/>
      <c r="I376" s="20">
        <f t="shared" si="12"/>
        <v>512122.28900643496</v>
      </c>
      <c r="J376" s="30">
        <f t="shared" si="13"/>
        <v>0.28571428571428564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0.05</v>
      </c>
      <c r="H377" s="140"/>
      <c r="I377" s="20">
        <f t="shared" si="12"/>
        <v>213384.28708601461</v>
      </c>
      <c r="J377" s="30">
        <f t="shared" si="13"/>
        <v>0.11904761904761905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1792428.0115225227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-32263.704207405404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1760164.3073151172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52804.929219453516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108925.67272449685</v>
      </c>
      <c r="J383" s="30">
        <f t="shared" ref="J383:J395" si="14">IFERROR((I383/I$380),0)</f>
        <v>6.1883809523809528E-2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17601.643073151172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6.8175453564924913E-3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161304</v>
      </c>
      <c r="J386" s="30">
        <f t="shared" si="14"/>
        <v>9.1641444681972065E-2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17601.643073151172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17601.643073151172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26402.464609726758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17601.643073151172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1.3635090712984983E-2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17601.643073151172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158414.78765836055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631860.06957779359</v>
      </c>
      <c r="J394" s="30">
        <f t="shared" si="14"/>
        <v>0.35897789027525911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1128304.2377373236</v>
      </c>
      <c r="J395" s="30">
        <f t="shared" si="14"/>
        <v>0.64102210972474094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58112.719767948467</v>
      </c>
      <c r="J397" s="30">
        <f t="shared" ref="J397:J400" si="15">IFERROR((I397/I$380),0)</f>
        <v>3.3015508567260543E-2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58112.719767948467</v>
      </c>
      <c r="J399" s="30">
        <f t="shared" si="15"/>
        <v>3.3015508567260543E-2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1070191.5179693752</v>
      </c>
      <c r="J400" s="30">
        <f t="shared" si="15"/>
        <v>0.6080066011574804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Riad Chtay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Aladdin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>
        <f>AddressLine1</f>
        <v>0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1616 S 57th St.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Temple, TX 76504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176000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3.1703974417888552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4.6487445437236206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5.2831420379519374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5.5295215525959529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6.080633624825996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5.5E-2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880000</v>
      </c>
      <c r="J430" s="183"/>
      <c r="K430" s="10"/>
    </row>
  </sheetData>
  <sheetProtection algorithmName="SHA-512" hashValue="BT+i5GGKCYjU95rDzLIAmlWT9p/2lzg3BJ9n2pKcYO3GD5nLE8ley14KuCRRKgu3LGChZuKbn2DTJ4+kuOvObA==" saltValue="FUzsFXA8FvWZ9/ciGitnAg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&amp;C&amp;G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2020-11-17T15:26:29Z</cp:lastPrinted>
  <dcterms:created xsi:type="dcterms:W3CDTF">2003-04-06T16:14:55Z</dcterms:created>
  <dcterms:modified xsi:type="dcterms:W3CDTF">2021-05-21T17:31:41Z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