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Pennsylvania\Keith Arnold\821 Lincoln Hwy E, Coatesville\"/>
    </mc:Choice>
  </mc:AlternateContent>
  <xr:revisionPtr revIDLastSave="0" documentId="8_{9690430D-444D-42E6-A87C-403A6F7C6E3F}" xr6:coauthVersionLast="43" xr6:coauthVersionMax="43" xr10:uidLastSave="{00000000-0000-0000-0000-000000000000}"/>
  <workbookProtection workbookPassword="FB8D" lockStructure="1"/>
  <bookViews>
    <workbookView xWindow="60600" yWindow="2550" windowWidth="21600" windowHeight="11385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<sst xmlns="http://schemas.openxmlformats.org/spreadsheetml/2006/main" count="434" uniqueCount="200">
  <si>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</si>
  <si>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</si>
  <si>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</si>
  <si>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</si>
  <si>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</si>
  <si>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</si>
  <si>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</si>
  <si>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</si>
  <si>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</si>
  <si>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</si>
  <si>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</si>
  <si>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</si>
  <si>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</si>
  <si>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</si>
  <si>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</si>
  <si>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</si>
  <si>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</si>
  <si>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</si>
  <si>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</si>
  <si>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</si>
  <si>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</si>
  <si>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</si>
  <si>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</si>
  <si>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</si>
  <si>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</si>
  <si>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</si>
  <si>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</si>
  <si>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</si>
  <si>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</si>
  <si>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</si>
  <si>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</si>
  <si>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</si>
  <si>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</si>
  <si>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</si>
  <si>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</si>
  <si>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</si>
  <si>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</si>
  <si>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</si>
  <si>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</si>
  <si>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</si>
  <si>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</si>
  <si>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</si>
  <si>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</si>
  <si>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</si>
  <si>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</si>
  <si>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</si>
  <si>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</si>
  <si>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</si>
  <si>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</si>
  <si>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</si>
  <si>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</si>
  <si>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</si>
  <si>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</si>
  <si>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</si>
  <si>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</si>
  <si>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</si>
  <si>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</si>
  <si>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</si>
  <si>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</si>
  <si>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</si>
  <si>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</si>
  <si>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</si>
  <si>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</si>
  <si>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</si>
  <si>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</si>
  <si>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</si>
  <si>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</si>
  <si>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</si>
  <si>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</si>
  <si>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</si>
  <si>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</si>
  <si>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</si>
  <si>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</si>
  <si>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</si>
  <si>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</si>
  <si>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</si>
  <si>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</si>
  <si>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</si>
  <si>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</si>
  <si>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</si>
  <si>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</si>
  <si>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</si>
  <si>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</si>
  <si>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</si>
  <si>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</si>
  <si>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</si>
  <si>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</si>
  <si>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</si>
  <si>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</si>
  <si>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</si>
  <si>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</si>
  <si>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</si>
  <si>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</si>
  <si>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</si>
  <si>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</si>
  <si>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</si>
  <si>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</si>
  <si>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</si>
  <si>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</si>
  <si>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</si>
  <si>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</si>
  <si>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</si>
  <si>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</si>
  <si>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</si>
  <si>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</si>
  <si>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</si>
  <si>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</si>
  <si>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</si>
  <si>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</si>
  <si>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</si>
  <si>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</si>
  <si>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</si>
  <si>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</si>
  <si>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</si>
  <si>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</si>
  <si>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</si>
  <si>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</si>
  <si>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</si>
  <si>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</si>
  <si>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</si>
  <si>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</si>
  <si>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</si>
  <si>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</si>
  <si>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</si>
  <si>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</si>
  <si>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</si>
  <si>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</si>
  <si>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</si>
  <si>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</si>
  <si>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</si>
  <si>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</si>
  <si>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</si>
  <si>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</si>
  <si>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</si>
  <si>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</si>
  <si>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</si>
  <si>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</si>
  <si>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</si>
  <si>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</si>
  <si>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</si>
  <si>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</si>
  <si>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</si>
  <si>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</si>
  <si>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</si>
  <si>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</si>
  <si>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</si>
  <si>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</si>
  <si>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</si>
  <si>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</si>
  <si>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</si>
  <si>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</si>
  <si>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</si>
  <si>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</si>
  <si>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</si>
  <si>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</si>
  <si>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</si>
  <si>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</si>
  <si>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</si>
  <si>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</si>
  <si>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</si>
  <si>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</si>
  <si>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</si>
  <si>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</si>
  <si>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</si>
  <si>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</si>
  <si>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</si>
  <si>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</si>
  <si>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</si>
  <si>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</si>
  <si>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</si>
  <si>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</si>
  <si>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</si>
  <si>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</si>
  <si>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</si>
  <si>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</si>
  <si>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</si>
  <si>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</si>
  <si>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</si>
  <si>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</si>
  <si>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</si>
  <si>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</si>
  <si>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</si>
  <si>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</si>
  <si>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</si>
  <si>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</si>
  <si>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</si>
  <si>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</si>
  <si>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</si>
  <si>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</si>
  <si>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</si>
  <si>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</si>
  <si>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</si>
  <si>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</si>
  <si>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</si>
  <si>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</si>
  <si>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</si>
  <si>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Keith Arnold</t>
  </si>
  <si>
    <t>Coatesville Auto Wash</t>
  </si>
  <si>
    <t>821 Lincoln Hwy E.</t>
  </si>
  <si>
    <t>Coatesville, PA 19320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</si>
</sst>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E71" sqref="E7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196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197</v>
      </c>
      <c r="C3" s="100"/>
      <c r="D3" s="101"/>
      <c r="E3" s="34"/>
      <c r="F3" s="34"/>
    </row>
    <row r="4" spans="1:9" ht="15.75" x14ac:dyDescent="0.25">
      <c r="A4" s="35" t="s">
        <v>13</v>
      </c>
      <c r="B4" s="99" t="s">
        <v>198</v>
      </c>
      <c r="C4" s="100"/>
      <c r="D4" s="101"/>
      <c r="E4" s="34"/>
      <c r="F4" s="34"/>
    </row>
    <row r="5" spans="1:9" ht="15.75" x14ac:dyDescent="0.25">
      <c r="A5" s="35" t="s">
        <v>14</v>
      </c>
      <c r="B5" s="99" t="s">
        <v>199</v>
      </c>
      <c r="C5" s="100"/>
      <c r="D5" s="101"/>
      <c r="E5" s="34"/>
      <c r="F5" s="34"/>
    </row>
    <row r="6" spans="1:9" ht="15.75" x14ac:dyDescent="0.25">
      <c r="A6" s="35" t="s">
        <v>16</v>
      </c>
      <c r="B6" s="99"/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9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13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17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9</v>
      </c>
      <c r="C28" s="47">
        <v>9</v>
      </c>
      <c r="D28" s="47">
        <v>9</v>
      </c>
      <c r="E28" s="47">
        <v>9</v>
      </c>
      <c r="F28" s="34"/>
    </row>
    <row r="29" spans="1:8" ht="15.75" x14ac:dyDescent="0.25">
      <c r="A29" s="43" t="s">
        <v>29</v>
      </c>
      <c r="B29" s="47">
        <v>13</v>
      </c>
      <c r="C29" s="47">
        <v>13</v>
      </c>
      <c r="D29" s="47">
        <v>13</v>
      </c>
      <c r="E29" s="47">
        <v>13</v>
      </c>
      <c r="F29" s="34"/>
    </row>
    <row r="30" spans="1:8" ht="15.75" x14ac:dyDescent="0.25">
      <c r="A30" s="43" t="s">
        <v>30</v>
      </c>
      <c r="B30" s="47">
        <v>17</v>
      </c>
      <c r="C30" s="47">
        <v>17</v>
      </c>
      <c r="D30" s="47">
        <v>17</v>
      </c>
      <c r="E30" s="47">
        <v>17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1.075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2.7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0.52400000000000002</v>
      </c>
      <c r="F58" s="61">
        <f>-0.3*(0.55-E58)</f>
        <v>-7.8000000000000066E-3</v>
      </c>
    </row>
    <row r="59" spans="1:8" ht="15.75" x14ac:dyDescent="0.25">
      <c r="A59" s="95" t="s">
        <v>3</v>
      </c>
      <c r="B59" s="96"/>
      <c r="C59" s="96"/>
      <c r="D59" s="97"/>
      <c r="E59" s="45">
        <v>0.73699999999999999</v>
      </c>
      <c r="F59" s="61">
        <f>-0.75*(0.5-E59)</f>
        <v>0.17774999999999999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4.2487499999999997E-2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9.229080514705881E-3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1.2181239809782609E-2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1.474571134868421E-2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13553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35022.883900426466</v>
      </c>
      <c r="C74" s="68">
        <f>F65*A70*280</f>
        <v>46225.856079755431</v>
      </c>
      <c r="D74" s="68">
        <f>($F$54*(1+$F$61))/85*($A$70*(1+B$70))*280</f>
        <v>50533.018199186765</v>
      </c>
      <c r="E74" s="68">
        <f>($F$54*(1+$F$61))/82*($A$70*(1+C$70))*280</f>
        <v>52381.787157693609</v>
      </c>
      <c r="F74" s="68">
        <f>F66*(A70*(1+D70)*280)</f>
        <v>56517.191406985199</v>
      </c>
    </row>
    <row r="75" spans="1:6" ht="15.75" x14ac:dyDescent="0.25">
      <c r="A75" s="35" t="s">
        <v>106</v>
      </c>
      <c r="B75" s="68">
        <f>B74/12</f>
        <v>2918.5736583688722</v>
      </c>
      <c r="C75" s="68">
        <f>C74/12</f>
        <v>3852.1546733129526</v>
      </c>
      <c r="D75" s="68">
        <f t="shared" ref="D75:F75" si="0">D74/12</f>
        <v>4211.0848499322301</v>
      </c>
      <c r="E75" s="68">
        <f t="shared" si="0"/>
        <v>4365.1489298078004</v>
      </c>
      <c r="F75" s="68">
        <f t="shared" si="0"/>
        <v>4709.7659505821002</v>
      </c>
    </row>
    <row r="76" spans="1:6" ht="15.75" x14ac:dyDescent="0.25">
      <c r="A76" s="35" t="s">
        <v>107</v>
      </c>
      <c r="B76" s="68">
        <f>B75/4.5/7*3</f>
        <v>277.95939603513068</v>
      </c>
      <c r="C76" s="68">
        <f t="shared" ref="C76:F76" si="1">C75/4.5/7*3</f>
        <v>366.87187364885261</v>
      </c>
      <c r="D76" s="68">
        <f t="shared" si="1"/>
        <v>401.05569999354572</v>
      </c>
      <c r="E76" s="68">
        <f t="shared" si="1"/>
        <v>415.72846950550479</v>
      </c>
      <c r="F76" s="68">
        <f t="shared" si="1"/>
        <v>448.5491381506763</v>
      </c>
    </row>
    <row r="77" spans="1:6" ht="15.75" x14ac:dyDescent="0.25">
      <c r="A77" s="35" t="s">
        <v>108</v>
      </c>
      <c r="B77" s="68">
        <f>IFERROR((B76/$B9*1.3),0)</f>
        <v>30.112267903805826</v>
      </c>
      <c r="C77" s="68">
        <f t="shared" ref="C77:F77" si="2">IFERROR((C76/$B9*1.3),0)</f>
        <v>39.744452978625702</v>
      </c>
      <c r="D77" s="68">
        <f t="shared" si="2"/>
        <v>43.447700832634119</v>
      </c>
      <c r="E77" s="68">
        <f t="shared" si="2"/>
        <v>45.037250863096354</v>
      </c>
      <c r="F77" s="68">
        <f t="shared" si="2"/>
        <v>48.592823299656601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view="pageLayout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Keith Arnold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Coatesville Auto Wash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 t="str">
        <f>'Input Form'!B4</f>
        <v>821 Lincoln Hwy E.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Coatesville, PA 19320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Keith Arnold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Coatesville Auto Wash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 t="str">
        <f>AddressLine1</f>
        <v>821 Lincoln Hwy E.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Coatesville, PA 19320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2437.7710436129364</v>
      </c>
      <c r="J65" s="18">
        <f>'Input Form'!B75</f>
        <v>2918.5736583688722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5</v>
      </c>
      <c r="G69" s="140">
        <f>'Input Form'!D19</f>
        <v>0.5</v>
      </c>
      <c r="H69" s="141"/>
      <c r="I69" s="20">
        <f>IFERROR((I$65*G69*F69),0)</f>
        <v>6094.427609032341</v>
      </c>
      <c r="J69" s="20">
        <f>J$65*F69*G69</f>
        <v>7296.4341459221805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9</v>
      </c>
      <c r="G70" s="140">
        <f>'Input Form'!D20</f>
        <v>0.15</v>
      </c>
      <c r="H70" s="141"/>
      <c r="I70" s="20">
        <f>IFERROR((I$65*G70*F70),0)</f>
        <v>3290.9909088774639</v>
      </c>
      <c r="J70" s="20">
        <f t="shared" ref="J70:J73" si="0">J$65*F70*G70</f>
        <v>3940.0744387979771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13</v>
      </c>
      <c r="G71" s="140">
        <f>'Input Form'!D21</f>
        <v>0.15</v>
      </c>
      <c r="H71" s="141"/>
      <c r="I71" s="20">
        <f>IFERROR((I$65*G71*F71),0)</f>
        <v>4753.6535350452259</v>
      </c>
      <c r="J71" s="20">
        <f t="shared" si="0"/>
        <v>5691.2186338193005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17</v>
      </c>
      <c r="G72" s="140">
        <f>'Input Form'!D22</f>
        <v>0.2</v>
      </c>
      <c r="H72" s="141"/>
      <c r="I72" s="20">
        <f t="shared" ref="I72:I73" si="1">I$65*G72*F72</f>
        <v>8288.4215482839845</v>
      </c>
      <c r="J72" s="20">
        <f t="shared" si="0"/>
        <v>9923.1504384541659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22427.493601239017</v>
      </c>
      <c r="J74" s="20">
        <f>SUM(J69:J73)</f>
        <v>26850.877656993624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-403.69488482230224</v>
      </c>
      <c r="J75" s="20">
        <f>-(J74*$F75*$G75)</f>
        <v>-483.31579782588517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22023.798716416713</v>
      </c>
      <c r="J76" s="20">
        <f>SUM(J74:J75)</f>
        <v>26367.561859167738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9.0343999999999998</v>
      </c>
      <c r="J77" s="22">
        <f>J76/(J65+0.000000001)</f>
        <v>9.0343999999969036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660.71396149250143</v>
      </c>
      <c r="J80" s="20">
        <f>$G80*J76</f>
        <v>791.02685577503212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6.8291304347826084E-2</v>
      </c>
      <c r="H81" s="163"/>
      <c r="I81" s="20">
        <f>G81*I76</f>
        <v>1504.0339410380752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1833.6814580799949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220.23798716416715</v>
      </c>
      <c r="J82" s="20">
        <f>$G82*J76</f>
        <v>263.67561859167739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4.458812998813004E-2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0.6093235491657899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220.23798716416715</v>
      </c>
      <c r="J85" s="20">
        <f>$G85*J76</f>
        <v>263.67561859167739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220.23798716416715</v>
      </c>
      <c r="J86" s="20">
        <f>$G86*J76</f>
        <v>263.67561859167739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330.35698074625071</v>
      </c>
      <c r="J87" s="20">
        <f>$G87*J76</f>
        <v>395.51342788751606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220.23798716416715</v>
      </c>
      <c r="J88" s="20">
        <f>$G88*J76</f>
        <v>263.67561859167739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8.917625997626008E-2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220.23798716416715</v>
      </c>
      <c r="J90" s="20">
        <f>$G90*J76</f>
        <v>263.67561859167739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1761.9038973133372</v>
      </c>
      <c r="J91" s="20">
        <f>$G91*J76</f>
        <v>2109.4049487334191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22023.798716411002</v>
      </c>
      <c r="J92" s="20">
        <f>SUM(J80:J91)</f>
        <v>23113.604783434352</v>
      </c>
      <c r="K92" s="10"/>
    </row>
    <row r="93" spans="1:12" x14ac:dyDescent="0.2">
      <c r="A93" s="10"/>
      <c r="B93" s="115" t="s">
        <v>158</v>
      </c>
      <c r="C93" s="115"/>
      <c r="D93" s="115"/>
      <c r="E93" s="115"/>
      <c r="F93" s="115"/>
      <c r="G93" s="115"/>
      <c r="H93" s="115"/>
      <c r="I93" s="24">
        <f>I76-I92</f>
        <v>5.7116267271339893E-9</v>
      </c>
      <c r="J93" s="24">
        <f>J76-J92</f>
        <v>3253.9570757333859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Keith Arnold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Coatesville Auto Wash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 t="str">
        <f>AddressLine1</f>
        <v>821 Lincoln Hwy E.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Coatesville, PA 19320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7.4999999999999997E-2</v>
      </c>
      <c r="F126" s="153"/>
      <c r="G126" s="141">
        <f>'Input Form'!D90</f>
        <v>300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22023.798716416713</v>
      </c>
      <c r="H138" s="146"/>
      <c r="I138" s="146">
        <f>J76</f>
        <v>26367.561859167738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22023.798716411002</v>
      </c>
      <c r="H139" s="146"/>
      <c r="I139" s="146">
        <f>J92</f>
        <v>23113.604783434352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5.7116267271339893E-9</v>
      </c>
      <c r="H140" s="146"/>
      <c r="I140" s="146">
        <f>J93</f>
        <v>3253.9570757333859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5.7116267271339893E-9</v>
      </c>
      <c r="H143" s="146"/>
      <c r="I143" s="146">
        <f>I140-I141-I142</f>
        <v>3253.9570757333859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Keith Arnold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Coatesville Auto Wash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 t="str">
        <f>AddressLine1</f>
        <v>821 Lincoln Hwy E.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Coatesville, PA 19320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35022.883900426466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5</v>
      </c>
      <c r="G169" s="140">
        <f>'Input Form'!$D$19</f>
        <v>0.5</v>
      </c>
      <c r="H169" s="141"/>
      <c r="I169" s="20">
        <f>I$166*F169*G169</f>
        <v>87557.20975106617</v>
      </c>
      <c r="J169" s="30">
        <f>IFERROR((I169/I$174),0)</f>
        <v>0.27173913043478259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9</v>
      </c>
      <c r="G170" s="140">
        <f>'Input Form'!$D$20</f>
        <v>0.15</v>
      </c>
      <c r="H170" s="141"/>
      <c r="I170" s="20">
        <f>I$166*F170*G170</f>
        <v>47280.893265575723</v>
      </c>
      <c r="J170" s="30">
        <f t="shared" ref="J170:J176" si="2">IFERROR((I170/I$174),0)</f>
        <v>0.14673913043478257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13</v>
      </c>
      <c r="G171" s="140">
        <f>'Input Form'!$D$21</f>
        <v>0.15</v>
      </c>
      <c r="H171" s="141"/>
      <c r="I171" s="20">
        <f>I$166*F171*G171</f>
        <v>68294.623605831614</v>
      </c>
      <c r="J171" s="30">
        <f t="shared" si="2"/>
        <v>0.21195652173913043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17</v>
      </c>
      <c r="G172" s="140">
        <f>'Input Form'!$D$22</f>
        <v>0.2</v>
      </c>
      <c r="H172" s="141"/>
      <c r="I172" s="20">
        <f>I$166*F172*G172</f>
        <v>119077.80526144999</v>
      </c>
      <c r="J172" s="30">
        <f t="shared" si="2"/>
        <v>0.36956521739130432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322210.53188392351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-5799.7895739106225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316410.74231001287</v>
      </c>
      <c r="J176" s="30">
        <f t="shared" si="2"/>
        <v>0.98199999999999998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9492.3222693003863</v>
      </c>
      <c r="J178" s="30">
        <f>IFERROR((I178/I$176),0)</f>
        <v>3.0000000000000002E-2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21608.10230201466</v>
      </c>
      <c r="J179" s="30">
        <f t="shared" ref="J179:J196" si="3">IFERROR((I179/I$176),0)</f>
        <v>6.8291304347826084E-2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3164.1074231001289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3.7925387464382107E-2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0.51827317493326019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3164.1074231001289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3164.1074231001289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4746.1611346501932</v>
      </c>
      <c r="J185" s="30">
        <f t="shared" si="3"/>
        <v>1.5000000000000001E-2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3164.1074231001289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7.5850774928764214E-2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3164.1074231001289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25312.859384801031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276967.18220626691</v>
      </c>
      <c r="J190" s="30">
        <f t="shared" si="3"/>
        <v>0.87534064167423253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39443.560103745956</v>
      </c>
      <c r="J191" s="30">
        <f t="shared" si="3"/>
        <v>0.12465935832576744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39443.560103745956</v>
      </c>
      <c r="J196" s="30">
        <f t="shared" si="3"/>
        <v>0.12465935832576744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Keith Arnold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Coatesville Auto Wash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 t="str">
        <f>AddressLine1</f>
        <v>821 Lincoln Hwy E.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Coatesville, PA 19320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46225.856079755431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5</v>
      </c>
      <c r="G220" s="140">
        <f>'Input Form'!$D$19</f>
        <v>0.5</v>
      </c>
      <c r="H220" s="141"/>
      <c r="I220" s="20">
        <f>I$217*F220*G220</f>
        <v>115564.64019938858</v>
      </c>
      <c r="J220" s="30">
        <f>IFERROR((I220/I$225),0)</f>
        <v>0.27173913043478265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9</v>
      </c>
      <c r="G221" s="140">
        <f>'Input Form'!$D$20</f>
        <v>0.15</v>
      </c>
      <c r="H221" s="141"/>
      <c r="I221" s="20">
        <f>I$217*F221*G221</f>
        <v>62404.905707669823</v>
      </c>
      <c r="J221" s="30">
        <f t="shared" ref="J221:J227" si="4">IFERROR((I221/I$225),0)</f>
        <v>0.14673913043478259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13</v>
      </c>
      <c r="G222" s="140">
        <f>'Input Form'!$D$21</f>
        <v>0.15</v>
      </c>
      <c r="H222" s="141"/>
      <c r="I222" s="20">
        <f>I$217*F222*G222</f>
        <v>90140.419355523089</v>
      </c>
      <c r="J222" s="30">
        <f t="shared" si="4"/>
        <v>0.21195652173913043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17</v>
      </c>
      <c r="G223" s="140">
        <f>'Input Form'!$D$22</f>
        <v>0.2</v>
      </c>
      <c r="H223" s="141"/>
      <c r="I223" s="20">
        <f>I$217*F223*G223</f>
        <v>157167.91067116847</v>
      </c>
      <c r="J223" s="30">
        <f t="shared" si="4"/>
        <v>0.36956521739130438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425277.87593374995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-7655.0017668074988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417622.87416694243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12528.686225008272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28520.010802348541</v>
      </c>
      <c r="J230" s="30">
        <f t="shared" ref="J230:J247" si="5">IFERROR((I230/I$227),0)</f>
        <v>6.8291304347826084E-2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4176.2287416694244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2.8734058267131858E-2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0.39266814665531713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4176.2287416694244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4176.2287416694244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6264.3431125041361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4176.2287416694244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5.7468116534263716E-2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4176.2287416694244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33409.829933355395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301591.21378156351</v>
      </c>
      <c r="J241" s="30">
        <f t="shared" si="5"/>
        <v>0.72216162580453891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116031.66038537893</v>
      </c>
      <c r="J242" s="30">
        <f t="shared" si="5"/>
        <v>0.27783837419546115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116031.66038537893</v>
      </c>
      <c r="J247" s="30">
        <f t="shared" si="5"/>
        <v>0.27783837419546115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Keith Arnold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Coatesville Auto Wash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 t="str">
        <f>AddressLine1</f>
        <v>821 Lincoln Hwy E.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Coatesville, PA 19320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50533.018199186765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5</v>
      </c>
      <c r="G271" s="140">
        <f>'Input Form'!$D$19</f>
        <v>0.5</v>
      </c>
      <c r="H271" s="141"/>
      <c r="I271" s="20">
        <f>I$268*F271*G271</f>
        <v>126332.54549796692</v>
      </c>
      <c r="J271" s="30">
        <f>IFERROR((I271/I$276),0)</f>
        <v>0.27173913043478259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9</v>
      </c>
      <c r="G272" s="140">
        <f>'Input Form'!$D$20</f>
        <v>0.15</v>
      </c>
      <c r="H272" s="141"/>
      <c r="I272" s="20">
        <f t="shared" ref="I272:I275" si="6">I$268*F272*G272</f>
        <v>68219.574568902128</v>
      </c>
      <c r="J272" s="30">
        <f t="shared" ref="J272:J278" si="7">IFERROR((I272/I$276),0)</f>
        <v>0.14673913043478259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13</v>
      </c>
      <c r="G273" s="140">
        <f>'Input Form'!$D$21</f>
        <v>0.15</v>
      </c>
      <c r="H273" s="141"/>
      <c r="I273" s="20">
        <f t="shared" si="6"/>
        <v>98539.385488414191</v>
      </c>
      <c r="J273" s="30">
        <f t="shared" si="7"/>
        <v>0.21195652173913043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17</v>
      </c>
      <c r="G274" s="140">
        <f>'Input Form'!$D$22</f>
        <v>0.2</v>
      </c>
      <c r="H274" s="141"/>
      <c r="I274" s="20">
        <f t="shared" si="6"/>
        <v>171812.26187723503</v>
      </c>
      <c r="J274" s="30">
        <f t="shared" si="7"/>
        <v>0.36956521739130438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464903.76743251825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-8368.2678137853272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456535.49961873289</v>
      </c>
      <c r="J278" s="30">
        <f t="shared" si="7"/>
        <v>0.98199999999999998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13696.064988561986</v>
      </c>
      <c r="J280" s="30">
        <f>IFERROR((I280/I$278),0)</f>
        <v>0.03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31177.404750049729</v>
      </c>
      <c r="J281" s="30">
        <f t="shared" ref="J281:J298" si="8">IFERROR((I281/I$278),0)</f>
        <v>6.8291304347826084E-2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4565.3549961873287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2.6284922005017301E-2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0.35919923015176447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4565.3549961873287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4565.3549961873287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6848.032494280993</v>
      </c>
      <c r="J287" s="30">
        <f t="shared" si="8"/>
        <v>1.4999999999999999E-2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4565.3549961873287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5.2569844010034603E-2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4565.3549961873287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36522.839969498629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311058.31718332798</v>
      </c>
      <c r="J292" s="30">
        <f t="shared" si="8"/>
        <v>0.68134530051464237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145477.18243540492</v>
      </c>
      <c r="J293" s="30">
        <f t="shared" si="8"/>
        <v>0.31865469948535757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145477.18243540492</v>
      </c>
      <c r="J298" s="30">
        <f t="shared" si="8"/>
        <v>0.31865469948535757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Keith Arnold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Coatesville Auto Wash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 t="str">
        <f>AddressLine1</f>
        <v>821 Lincoln Hwy E.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Coatesville, PA 19320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52381.787157693609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5</v>
      </c>
      <c r="G322" s="140">
        <f>'Input Form'!$D$19</f>
        <v>0.5</v>
      </c>
      <c r="H322" s="141"/>
      <c r="I322" s="20">
        <f>I$319*F322*G322</f>
        <v>130954.46789423403</v>
      </c>
      <c r="J322" s="30">
        <f>IFERROR((I322/I$327),0)</f>
        <v>0.27173913043478259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9</v>
      </c>
      <c r="G323" s="140">
        <f>'Input Form'!$D$20</f>
        <v>0.15</v>
      </c>
      <c r="H323" s="141"/>
      <c r="I323" s="20">
        <f>I$319*F323*G323</f>
        <v>70715.41266288636</v>
      </c>
      <c r="J323" s="30">
        <f t="shared" ref="J323:J329" si="9">IFERROR((I323/I$327),0)</f>
        <v>0.14673913043478259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13</v>
      </c>
      <c r="G324" s="140">
        <f>'Input Form'!$D$21</f>
        <v>0.15</v>
      </c>
      <c r="H324" s="141"/>
      <c r="I324" s="20">
        <f>I$319*F324*G324</f>
        <v>102144.48495750253</v>
      </c>
      <c r="J324" s="30">
        <f t="shared" si="9"/>
        <v>0.2119565217391304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17</v>
      </c>
      <c r="G325" s="140">
        <f>'Input Form'!$D$22</f>
        <v>0.2</v>
      </c>
      <c r="H325" s="141"/>
      <c r="I325" s="20">
        <f>I$319*F325*G325</f>
        <v>178098.07633615829</v>
      </c>
      <c r="J325" s="30">
        <f t="shared" si="9"/>
        <v>0.36956521739130438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481912.44185078121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-8674.4239533140608</v>
      </c>
      <c r="J328" s="30">
        <f t="shared" si="9"/>
        <v>-1.7999999999999999E-2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473238.01789746713</v>
      </c>
      <c r="J329" s="30">
        <f t="shared" si="9"/>
        <v>0.98199999999999998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14197.140536924013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32318.041509197894</v>
      </c>
      <c r="J332" s="30">
        <f t="shared" ref="J332:J344" si="10">IFERROR((I332/I$329),0)</f>
        <v>6.8291304347826084E-2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4732.3801789746713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2.5357218875428449E-2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0.34652161026405504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4732.3801789746713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4732.3801789746713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7098.5702684620064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4732.3801789746713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5.0714437750856899E-2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4732.3801789746713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37859.04143179737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315121.89464125468</v>
      </c>
      <c r="J343" s="30">
        <f t="shared" si="10"/>
        <v>0.66588457123816658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158116.12325621245</v>
      </c>
      <c r="J344" s="30">
        <f t="shared" si="10"/>
        <v>0.33411542876183348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158116.12325621245</v>
      </c>
      <c r="J349" s="30">
        <f t="shared" si="11"/>
        <v>0.33411542876183348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Keith Arnold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Coatesville Auto Wash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 t="str">
        <f>AddressLine1</f>
        <v>821 Lincoln Hwy E.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Coatesville, PA 19320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56517.191406985199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5</v>
      </c>
      <c r="G373" s="140">
        <f>'Input Form'!$D$19</f>
        <v>0.5</v>
      </c>
      <c r="H373" s="141"/>
      <c r="I373" s="20">
        <f>I$370*F373*G373</f>
        <v>141292.97851746299</v>
      </c>
      <c r="J373" s="30">
        <f>IFERROR((I373/I$378),0)</f>
        <v>0.27173913043478259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9</v>
      </c>
      <c r="G374" s="140">
        <f>'Input Form'!$D$20</f>
        <v>0.15</v>
      </c>
      <c r="H374" s="141"/>
      <c r="I374" s="20">
        <f t="shared" ref="I374:I377" si="12">I$370*F374*G374</f>
        <v>76298.208399430019</v>
      </c>
      <c r="J374" s="30">
        <f t="shared" ref="J374:J380" si="13">IFERROR((I374/I$378),0)</f>
        <v>0.14673913043478262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13</v>
      </c>
      <c r="G375" s="140">
        <f>'Input Form'!$D$21</f>
        <v>0.15</v>
      </c>
      <c r="H375" s="141"/>
      <c r="I375" s="20">
        <f t="shared" si="12"/>
        <v>110208.52324362114</v>
      </c>
      <c r="J375" s="30">
        <f t="shared" si="13"/>
        <v>0.21195652173913043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17</v>
      </c>
      <c r="G376" s="140">
        <f>'Input Form'!$D$22</f>
        <v>0.2</v>
      </c>
      <c r="H376" s="141"/>
      <c r="I376" s="20">
        <f t="shared" si="12"/>
        <v>192158.45078374969</v>
      </c>
      <c r="J376" s="30">
        <f t="shared" si="13"/>
        <v>0.36956521739130438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519958.1609442638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-9359.2468969967485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510598.91404726706</v>
      </c>
      <c r="J380" s="30">
        <f t="shared" si="13"/>
        <v>0.98199999999999998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15317.96742141801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34869.465838871409</v>
      </c>
      <c r="J383" s="30">
        <f t="shared" ref="J383:J395" si="14">IFERROR((I383/I$380),0)</f>
        <v>6.8291304347826084E-2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5105.9891404726704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2.3501812616250763E-2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0.32116637048863644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5105.9891404726704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5105.9891404726704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7658.9837107090052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5105.9891404726704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4.7003625232501525E-2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5105.9891404726704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40847.913123781364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324211.47579714318</v>
      </c>
      <c r="J394" s="30">
        <f t="shared" si="14"/>
        <v>0.63496311268521488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186387.43825012387</v>
      </c>
      <c r="J395" s="30">
        <f t="shared" si="14"/>
        <v>0.36503688731478512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186387.43825012387</v>
      </c>
      <c r="J400" s="30">
        <f t="shared" si="15"/>
        <v>0.36503688731478512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Keith Arnold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Coatesville Auto Wash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 t="str">
        <f>AddressLine1</f>
        <v>821 Lincoln Hwy E.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Coatesville, PA 19320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2019-07-12T15:15:47Z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