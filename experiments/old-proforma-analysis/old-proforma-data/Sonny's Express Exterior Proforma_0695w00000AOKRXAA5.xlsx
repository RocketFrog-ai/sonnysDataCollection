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Greg Mills\13800 Roscoe Blvd., Panorama City\"/>
    </mc:Choice>
  </mc:AlternateContent>
  <xr:revisionPtr revIDLastSave="0" documentId="8_{1D067E9C-B6B8-4E3C-B85B-0D61619D1EBA}" xr6:coauthVersionLast="45" xr6:coauthVersionMax="45" xr10:uidLastSave="{00000000-0000-0000-0000-000000000000}"/>
  <workbookProtection workbookPassword="FB8D" lockStructure="1"/>
  <bookViews>
    <workbookView xWindow="286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<sst xmlns="http://schemas.openxmlformats.org/spreadsheetml/2006/main" count="434" uniqueCount="202">
  <si>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</si>
  <si>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</si>
  <si>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</si>
  <si>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</si>
  <si>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</si>
  <si>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</si>
  <si>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</si>
  <si>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</si>
  <si>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</si>
  <si>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</si>
  <si>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</si>
  <si>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</si>
  <si>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</si>
  <si>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</si>
  <si>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</si>
  <si>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</si>
  <si>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</si>
  <si>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</si>
  <si>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</si>
  <si>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</si>
  <si>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</si>
  <si>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</si>
  <si>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</si>
  <si>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</si>
  <si>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</si>
  <si>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</si>
  <si>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</si>
  <si>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</si>
  <si>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</si>
  <si>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</si>
  <si>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</si>
  <si>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</si>
  <si>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</si>
  <si>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</si>
  <si>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</si>
  <si>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</si>
  <si>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</si>
  <si>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</si>
  <si>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</si>
  <si>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</si>
  <si>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</si>
  <si>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</si>
  <si>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</si>
  <si>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</si>
  <si>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</si>
  <si>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</si>
  <si>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</si>
  <si>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</si>
  <si>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</si>
  <si>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</si>
  <si>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</si>
  <si>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</si>
  <si>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</si>
  <si>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</si>
  <si>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</si>
  <si>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</si>
  <si>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</si>
  <si>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</si>
  <si>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</si>
  <si>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</si>
  <si>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</si>
  <si>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</si>
  <si>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</si>
  <si>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</si>
  <si>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</si>
  <si>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</si>
  <si>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</si>
  <si>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</si>
  <si>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</si>
  <si>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</si>
  <si>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</si>
  <si>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</si>
  <si>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</si>
  <si>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</si>
  <si>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</si>
  <si>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</si>
  <si>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</si>
  <si>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</si>
  <si>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</si>
  <si>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</si>
  <si>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</si>
  <si>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</si>
  <si>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</si>
  <si>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</si>
  <si>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</si>
  <si>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</si>
  <si>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</si>
  <si>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</si>
  <si>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</si>
  <si>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</si>
  <si>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</si>
  <si>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</si>
  <si>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</si>
  <si>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</si>
  <si>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</si>
  <si>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</si>
  <si>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</si>
  <si>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</si>
  <si>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</si>
  <si>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</si>
  <si>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</si>
  <si>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</si>
  <si>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</si>
  <si>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</si>
  <si>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</si>
  <si>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</si>
  <si>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</si>
  <si>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</si>
  <si>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</si>
  <si>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</si>
  <si>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</si>
  <si>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</si>
  <si>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</si>
  <si>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</si>
  <si>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</si>
  <si>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</si>
  <si>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</si>
  <si>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</si>
  <si>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</si>
  <si>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</si>
  <si>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</si>
  <si>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</si>
  <si>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</si>
  <si>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</si>
  <si>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</si>
  <si>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</si>
  <si>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</si>
  <si>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</si>
  <si>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</si>
  <si>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</si>
  <si>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</si>
  <si>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</si>
  <si>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</si>
  <si>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</si>
  <si>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</si>
  <si>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</si>
  <si>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</si>
  <si>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</si>
  <si>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</si>
  <si>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</si>
  <si>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</si>
  <si>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</si>
  <si>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</si>
  <si>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</si>
  <si>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</si>
  <si>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</si>
  <si>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</si>
  <si>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</si>
  <si>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</si>
  <si>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</si>
  <si>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</si>
  <si>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</si>
  <si>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</si>
  <si>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</si>
  <si>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</si>
  <si>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</si>
  <si>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</si>
  <si>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</si>
  <si>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</si>
  <si>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</si>
  <si>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</si>
  <si>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</si>
  <si>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</si>
  <si>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</si>
  <si>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</si>
  <si>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</si>
  <si>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</si>
  <si>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</si>
  <si>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</si>
  <si>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</si>
  <si>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</si>
  <si>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</si>
  <si>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</si>
  <si>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</si>
  <si>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</si>
  <si>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</si>
  <si>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</si>
  <si>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</si>
  <si>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</si>
  <si>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</si>
  <si>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</si>
  <si>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</si>
  <si>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</si>
  <si>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</si>
  <si>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</si>
  <si>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</si>
  <si>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</si>
  <si>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</si>
  <si>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</si>
  <si>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</si>
  <si>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</si>
  <si>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</si>
  <si>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</si>
  <si>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</si>
  <si>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</si>
  <si>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</si>
  <si>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</si>
  <si>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Car Wash Investor</t>
  </si>
  <si>
    <t>Panorama Car Wash</t>
  </si>
  <si>
    <t>13800 Roscoe Blvd.</t>
  </si>
  <si>
    <t>Panorama City, CA 91402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</si>
  <si>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 </t>
    </r>
    <r>
      <rPr>
        <b/>
        <sz val="10"/>
        <rFont val="Calibri"/>
        <family val="2"/>
        <scheme val="minor"/>
      </rPr>
      <t>The site footprint isn't condusive to attaining these projections.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</si>
</sst>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105" zoomScaleNormal="100" workbookViewId="0">
      <selection activeCell="H78" sqref="H78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197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198</v>
      </c>
      <c r="C3" s="87"/>
      <c r="D3" s="88"/>
      <c r="E3" s="34"/>
      <c r="F3" s="34"/>
    </row>
    <row r="4" spans="1:9" ht="15.75" x14ac:dyDescent="0.25">
      <c r="A4" s="35" t="s">
        <v>13</v>
      </c>
      <c r="B4" s="86"/>
      <c r="C4" s="87"/>
      <c r="D4" s="88"/>
      <c r="E4" s="34"/>
      <c r="F4" s="34"/>
    </row>
    <row r="5" spans="1:9" ht="15.75" x14ac:dyDescent="0.25">
      <c r="A5" s="35" t="s">
        <v>14</v>
      </c>
      <c r="B5" s="86" t="s">
        <v>199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200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20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1.075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3.6</v>
      </c>
      <c r="F57" s="60">
        <f>IF(E57&lt;2.101,-0.1*(2.1-E57),IF(E57&gt;3,-0.5*(E57-3),0))</f>
        <v>-0.30000000000000004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0.53800000000000003</v>
      </c>
      <c r="F58" s="61">
        <f>-0.3*(0.55-E58)</f>
        <v>-3.6000000000000029E-3</v>
      </c>
    </row>
    <row r="59" spans="1:8" ht="15.75" x14ac:dyDescent="0.25">
      <c r="A59" s="83" t="s">
        <v>3</v>
      </c>
      <c r="B59" s="84"/>
      <c r="C59" s="84"/>
      <c r="D59" s="85"/>
      <c r="E59" s="45">
        <v>0.65500000000000003</v>
      </c>
      <c r="F59" s="61">
        <f>-0.75*(0.5-E59)</f>
        <v>0.11625000000000002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-4.6837500000000004E-2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8.4382915441176473E-3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1.1137496603260869E-2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1.3482232730263157E-2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55269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139912.78060555147</v>
      </c>
      <c r="C74" s="68">
        <f>F65*A70*300</f>
        <v>184667.48992968749</v>
      </c>
      <c r="D74" s="68">
        <f>($F$54*(1+$F$61))/85*($A$70*(1+B$70))*300</f>
        <v>199875.40086507355</v>
      </c>
      <c r="E74" s="68">
        <f>($F$54*(1+$F$61))/82*($A$70*(1+C$70))*300</f>
        <v>207187.91553086889</v>
      </c>
      <c r="F74" s="68">
        <f>F66*(A70*(1+D70)*300)</f>
        <v>223544.85623067434</v>
      </c>
    </row>
    <row r="75" spans="1:6" ht="15.75" x14ac:dyDescent="0.25">
      <c r="A75" s="35" t="s">
        <v>106</v>
      </c>
      <c r="B75" s="68">
        <f>B74/12</f>
        <v>11659.398383795955</v>
      </c>
      <c r="C75" s="68">
        <f>C74/12</f>
        <v>15388.957494140624</v>
      </c>
      <c r="D75" s="68">
        <f t="shared" ref="D75:F75" si="0">D74/12</f>
        <v>16656.283405422797</v>
      </c>
      <c r="E75" s="68">
        <f t="shared" si="0"/>
        <v>17265.659627572408</v>
      </c>
      <c r="F75" s="68">
        <f t="shared" si="0"/>
        <v>18628.738019222863</v>
      </c>
    </row>
    <row r="76" spans="1:6" ht="15.75" x14ac:dyDescent="0.25">
      <c r="A76" s="35" t="s">
        <v>107</v>
      </c>
      <c r="B76" s="68">
        <f>B75/4.5/7*3</f>
        <v>1110.4188936948531</v>
      </c>
      <c r="C76" s="68">
        <f t="shared" ref="C76:F76" si="1">C75/4.5/7*3</f>
        <v>1465.6149994419643</v>
      </c>
      <c r="D76" s="68">
        <f t="shared" si="1"/>
        <v>1586.3127052783616</v>
      </c>
      <c r="E76" s="68">
        <f t="shared" si="1"/>
        <v>1644.3485359592769</v>
      </c>
      <c r="F76" s="68">
        <f t="shared" si="1"/>
        <v>1774.1655256402726</v>
      </c>
    </row>
    <row r="77" spans="1:6" ht="15.75" x14ac:dyDescent="0.25">
      <c r="A77" s="35" t="s">
        <v>108</v>
      </c>
      <c r="B77" s="68">
        <f>IFERROR((B76/$B9*1.3),0)</f>
        <v>120.29538015027575</v>
      </c>
      <c r="C77" s="68">
        <f t="shared" ref="C77:F77" si="2">IFERROR((C76/$B9*1.3),0)</f>
        <v>158.77495827287947</v>
      </c>
      <c r="D77" s="68">
        <f t="shared" si="2"/>
        <v>171.8505430718225</v>
      </c>
      <c r="E77" s="68">
        <f t="shared" si="2"/>
        <v>178.13775806225502</v>
      </c>
      <c r="F77" s="68">
        <f t="shared" si="2"/>
        <v>192.20126527769619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10" zoomScale="130" zoomScaleNormal="100" zoomScalePageLayoutView="130" workbookViewId="0">
      <selection activeCell="U40" sqref="U40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Car Wash Investor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Panorama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13800 Roscoe Blvd.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Panorama City, CA 91402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201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Car Wash Investor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Panorama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>
        <f>AddressLine1</f>
        <v>0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13800 Roscoe Blvd.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Panorama City, CA 91402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2071.4029657512797</v>
      </c>
      <c r="J65" s="18">
        <f>'Input Form'!B75</f>
        <v>11659.398383795955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0.45</v>
      </c>
      <c r="H69" s="140"/>
      <c r="I69" s="20">
        <f>IFERROR((I$65*G69*F69),0)</f>
        <v>4660.6566729403794</v>
      </c>
      <c r="J69" s="20">
        <f>J$65*F69*G69</f>
        <v>26233.646363540898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3107.1044486269193</v>
      </c>
      <c r="J70" s="20">
        <f t="shared" ref="J70:J73" si="0">J$65*F70*G70</f>
        <v>17489.09757569393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4660.6566729403785</v>
      </c>
      <c r="J71" s="20">
        <f t="shared" si="0"/>
        <v>26233.646363540898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0.2</v>
      </c>
      <c r="H72" s="140"/>
      <c r="I72" s="20">
        <f t="shared" ref="I72:I73" si="1">I$65*G72*F72</f>
        <v>8285.6118630051205</v>
      </c>
      <c r="J72" s="20">
        <f t="shared" si="0"/>
        <v>46637.59353518382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0.05</v>
      </c>
      <c r="H73" s="140"/>
      <c r="I73" s="20">
        <f t="shared" si="1"/>
        <v>2589.2537071890997</v>
      </c>
      <c r="J73" s="20">
        <f t="shared" si="0"/>
        <v>14574.247979744943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23303.283364701896</v>
      </c>
      <c r="J74" s="20">
        <f>SUM(J69:J73)</f>
        <v>131168.23181770451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-419.45910056463407</v>
      </c>
      <c r="J75" s="20">
        <f>-(J74*$F75*$G75)</f>
        <v>-2361.0281727186812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22883.824264137264</v>
      </c>
      <c r="J76" s="20">
        <f>SUM(J74:J75)</f>
        <v>128807.20364498583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11.047500000000001</v>
      </c>
      <c r="J77" s="22">
        <f>J76/(J65+0.000000001)</f>
        <v>11.047499999999053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686.51472792411789</v>
      </c>
      <c r="J80" s="20">
        <f>$G80*J76</f>
        <v>3864.2161093495747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6.2415999999999992E-2</v>
      </c>
      <c r="H81" s="131"/>
      <c r="I81" s="20">
        <f>G81*I76</f>
        <v>1428.3167752703912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8186.996357133844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228.83824264137263</v>
      </c>
      <c r="J82" s="20">
        <f>$G82*J76</f>
        <v>1288.0720364498584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4.2912407850420199E-2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0.61030026444867602</v>
      </c>
      <c r="H84" s="131"/>
      <c r="I84" s="20">
        <f>J84</f>
        <v>14222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14222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228.83824264137263</v>
      </c>
      <c r="J85" s="20">
        <f>$G85*J76</f>
        <v>1288.0720364498584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228.83824264137263</v>
      </c>
      <c r="J86" s="20">
        <f>$G86*J76</f>
        <v>1288.0720364498584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343.25736396205895</v>
      </c>
      <c r="J87" s="20">
        <f>$G87*J76</f>
        <v>1932.1080546747874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228.83824264137263</v>
      </c>
      <c r="J88" s="20">
        <f>$G88*J76</f>
        <v>1288.0720364498584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8.5824815700840398E-2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228.83824264137263</v>
      </c>
      <c r="J90" s="20">
        <f>$G90*J76</f>
        <v>1288.0720364498584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2059.5441837723538</v>
      </c>
      <c r="J91" s="20">
        <f>$G91*J76</f>
        <v>11592.648328048725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22883.824264135794</v>
      </c>
      <c r="J92" s="20">
        <f>SUM(J80:J91)</f>
        <v>49238.329031456218</v>
      </c>
      <c r="K92" s="10"/>
    </row>
    <row r="93" spans="1:12" x14ac:dyDescent="0.2">
      <c r="A93" s="10"/>
      <c r="B93" s="119" t="s">
        <v>196</v>
      </c>
      <c r="C93" s="119"/>
      <c r="D93" s="119"/>
      <c r="E93" s="119"/>
      <c r="F93" s="119"/>
      <c r="G93" s="119"/>
      <c r="H93" s="119"/>
      <c r="I93" s="24">
        <f>I76-I92</f>
        <v>1.469743438065052E-9</v>
      </c>
      <c r="J93" s="24">
        <f>J76-J92</f>
        <v>79568.87461352961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Car Wash Investor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Panorama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>
        <f>AddressLine1</f>
        <v>0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13800 Roscoe Blvd.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Panorama City, CA 91402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300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300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300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300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300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22883.824264137264</v>
      </c>
      <c r="H138" s="169"/>
      <c r="I138" s="169">
        <f>J76</f>
        <v>128807.20364498583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22883.824264135794</v>
      </c>
      <c r="H139" s="169"/>
      <c r="I139" s="169">
        <f>J92</f>
        <v>49238.329031456218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1.469743438065052E-9</v>
      </c>
      <c r="H140" s="169"/>
      <c r="I140" s="169">
        <f>J93</f>
        <v>79568.87461352961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1.469743438065052E-9</v>
      </c>
      <c r="H143" s="169"/>
      <c r="I143" s="169">
        <f>I140-I141-I142</f>
        <v>79568.87461352961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Car Wash Investor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Panorama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>
        <f>AddressLine1</f>
        <v>0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13800 Roscoe Blvd.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Panorama City, CA 91402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139912.78060555147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0.45</v>
      </c>
      <c r="H169" s="140"/>
      <c r="I169" s="20">
        <f>I$166*F169*G169</f>
        <v>314803.75636249082</v>
      </c>
      <c r="J169" s="30">
        <f>IFERROR((I169/I$174),0)</f>
        <v>0.20000000000000004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209869.17090832719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314803.75636249082</v>
      </c>
      <c r="J171" s="30">
        <f t="shared" si="2"/>
        <v>0.20000000000000004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0.2</v>
      </c>
      <c r="H172" s="140"/>
      <c r="I172" s="20">
        <f>I$166*F172*G172</f>
        <v>559651.12242220587</v>
      </c>
      <c r="J172" s="30">
        <f t="shared" si="2"/>
        <v>0.35555555555555557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0.05</v>
      </c>
      <c r="H173" s="140"/>
      <c r="I173" s="20">
        <f>I$166*F173*G173</f>
        <v>174890.97575693936</v>
      </c>
      <c r="J173" s="30">
        <f t="shared" si="2"/>
        <v>0.11111111111111113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1574018.7818124539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-28332.33807262417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1545686.4437398298</v>
      </c>
      <c r="J176" s="30">
        <f t="shared" si="2"/>
        <v>0.9820000000000001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46370.593312194891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96475.565072465208</v>
      </c>
      <c r="J179" s="30">
        <f t="shared" ref="J179:J196" si="3">IFERROR((I179/I$176),0)</f>
        <v>6.2415999999999992E-2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15456.864437398299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7.7635409488134464E-3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170664</v>
      </c>
      <c r="J182" s="30">
        <f t="shared" si="3"/>
        <v>0.11041307937402484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15456.864437398299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15456.864437398299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23185.296656097446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15456.864437398299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1.5527081897626893E-2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15456.864437398299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139111.77993658467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589091.55716433388</v>
      </c>
      <c r="J190" s="30">
        <f t="shared" si="3"/>
        <v>0.38111970222046526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956594.88657549594</v>
      </c>
      <c r="J191" s="30">
        <f t="shared" si="3"/>
        <v>0.61888029777953468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956594.88657549594</v>
      </c>
      <c r="J196" s="30">
        <f t="shared" si="3"/>
        <v>0.61888029777953468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Car Wash Investor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Panorama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>
        <f>AddressLine1</f>
        <v>0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13800 Roscoe Blvd.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Panorama City, CA 91402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184667.48992968749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0.45</v>
      </c>
      <c r="H220" s="140"/>
      <c r="I220" s="20">
        <f>I$217*F220*G220</f>
        <v>415501.85234179685</v>
      </c>
      <c r="J220" s="30">
        <f>IFERROR((I220/I$225),0)</f>
        <v>0.2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277001.2348945312</v>
      </c>
      <c r="J221" s="30">
        <f t="shared" ref="J221:J227" si="4">IFERROR((I221/I$225),0)</f>
        <v>0.13333333333333333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415501.8523417968</v>
      </c>
      <c r="J222" s="30">
        <f t="shared" si="4"/>
        <v>0.19999999999999998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0.2</v>
      </c>
      <c r="H223" s="140"/>
      <c r="I223" s="20">
        <f>I$217*F223*G223</f>
        <v>738669.95971874997</v>
      </c>
      <c r="J223" s="30">
        <f t="shared" si="4"/>
        <v>0.35555555555555557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0.05</v>
      </c>
      <c r="H224" s="140"/>
      <c r="I224" s="20">
        <f>I$217*F224*G224</f>
        <v>230834.36241210939</v>
      </c>
      <c r="J224" s="30">
        <f t="shared" si="4"/>
        <v>0.11111111111111113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2077509.2617089842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-37395.16671076171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2040114.0949982225</v>
      </c>
      <c r="J227" s="30">
        <f t="shared" si="4"/>
        <v>0.9820000000000001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61203.422849946677</v>
      </c>
      <c r="J229" s="30">
        <f>IFERROR((I229/I$227),0)</f>
        <v>0.03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127335.76135340905</v>
      </c>
      <c r="J230" s="30">
        <f t="shared" ref="J230:J247" si="5">IFERROR((I230/I$227),0)</f>
        <v>6.2415999999999992E-2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20401.140949982226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5.882023965924541E-3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170664</v>
      </c>
      <c r="J233" s="30">
        <f t="shared" si="5"/>
        <v>8.3654144843378811E-2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20401.140949982226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20401.140949982226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30601.711424973339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20401.140949982226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1.1764047931849082E-2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20401.140949982226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183610.26854984002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711420.86892808019</v>
      </c>
      <c r="J241" s="30">
        <f t="shared" si="5"/>
        <v>0.34871621674115244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1328693.2260701424</v>
      </c>
      <c r="J242" s="30">
        <f t="shared" si="5"/>
        <v>0.65128378325884762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1328693.2260701424</v>
      </c>
      <c r="J247" s="30">
        <f t="shared" si="5"/>
        <v>0.65128378325884762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Car Wash Investor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Panorama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>
        <f>AddressLine1</f>
        <v>0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13800 Roscoe Blvd.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Panorama City, CA 91402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199875.40086507355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0.45</v>
      </c>
      <c r="H271" s="140"/>
      <c r="I271" s="20">
        <f>I$268*F271*G271</f>
        <v>449719.65194641548</v>
      </c>
      <c r="J271" s="30">
        <f>IFERROR((I271/I$276),0)</f>
        <v>0.2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299813.10129761032</v>
      </c>
      <c r="J272" s="30">
        <f t="shared" ref="J272:J278" si="7">IFERROR((I272/I$276),0)</f>
        <v>0.13333333333333333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449719.65194641548</v>
      </c>
      <c r="J273" s="30">
        <f t="shared" si="7"/>
        <v>0.2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0.2</v>
      </c>
      <c r="H274" s="140"/>
      <c r="I274" s="20">
        <f t="shared" si="6"/>
        <v>799501.60346029419</v>
      </c>
      <c r="J274" s="30">
        <f t="shared" si="7"/>
        <v>0.35555555555555557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0.05</v>
      </c>
      <c r="H275" s="140"/>
      <c r="I275" s="20">
        <f t="shared" si="6"/>
        <v>249844.25108134194</v>
      </c>
      <c r="J275" s="30">
        <f t="shared" si="7"/>
        <v>0.11111111111111112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2248598.2597320774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-40474.768675177387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2208123.4910569</v>
      </c>
      <c r="J278" s="30">
        <f t="shared" si="7"/>
        <v>0.98199999999999998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66243.704731706996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137822.23581780746</v>
      </c>
      <c r="J281" s="30">
        <f t="shared" ref="J281:J298" si="8">IFERROR((I281/I$278),0)</f>
        <v>6.2415999999999999E-2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22081.234910569001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5.4344786641694117E-3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170664</v>
      </c>
      <c r="J284" s="30">
        <f t="shared" si="8"/>
        <v>7.7289155561817369E-2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22081.234910569001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22081.234910569001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33121.852365853498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22081.234910569001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1.0868957328338823E-2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22081.234910569001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198731.11419512099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752989.08166333393</v>
      </c>
      <c r="J292" s="30">
        <f t="shared" si="8"/>
        <v>0.34100859155432561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1455134.4093935662</v>
      </c>
      <c r="J293" s="30">
        <f t="shared" si="8"/>
        <v>0.6589914084456745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1455134.4093935662</v>
      </c>
      <c r="J298" s="30">
        <f t="shared" si="8"/>
        <v>0.6589914084456745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Car Wash Investor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Panorama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>
        <f>AddressLine1</f>
        <v>0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13800 Roscoe Blvd.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Panorama City, CA 91402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207187.91553086889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0.45</v>
      </c>
      <c r="H322" s="140"/>
      <c r="I322" s="20">
        <f>I$319*F322*G322</f>
        <v>466172.80994445505</v>
      </c>
      <c r="J322" s="30">
        <f>IFERROR((I322/I$327),0)</f>
        <v>0.2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310781.87329630333</v>
      </c>
      <c r="J323" s="30">
        <f t="shared" ref="J323:J329" si="9">IFERROR((I323/I$327),0)</f>
        <v>0.1333333333333333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466172.80994445499</v>
      </c>
      <c r="J324" s="30">
        <f t="shared" si="9"/>
        <v>0.19999999999999998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0.2</v>
      </c>
      <c r="H325" s="140"/>
      <c r="I325" s="20">
        <f>I$319*F325*G325</f>
        <v>828751.66212347569</v>
      </c>
      <c r="J325" s="30">
        <f t="shared" si="9"/>
        <v>0.35555555555555557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0.05</v>
      </c>
      <c r="H326" s="140"/>
      <c r="I326" s="20">
        <f>I$319*F326*G326</f>
        <v>258984.89441358612</v>
      </c>
      <c r="J326" s="30">
        <f t="shared" si="9"/>
        <v>0.1111111111111111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2330864.0497222752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-41955.552895000954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2288908.4968272741</v>
      </c>
      <c r="J329" s="30">
        <f t="shared" si="9"/>
        <v>0.98199999999999987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68667.254904818226</v>
      </c>
      <c r="J331" s="30">
        <f>IFERROR((I331/I$329),0)</f>
        <v>3.0000000000000002E-2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142864.51273797112</v>
      </c>
      <c r="J332" s="30">
        <f t="shared" ref="J332:J344" si="10">IFERROR((I332/I$329),0)</f>
        <v>6.2415999999999992E-2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22889.084968272742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5.2426735348457864E-3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170664</v>
      </c>
      <c r="J335" s="30">
        <f t="shared" si="10"/>
        <v>7.4561303012576768E-2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22889.084968272742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22889.084968272742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34333.627452409113</v>
      </c>
      <c r="J338" s="30">
        <f t="shared" si="10"/>
        <v>1.5000000000000001E-2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22889.084968272742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1.0485347069691573E-2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22889.084968272742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206001.76471445465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772976.58465101675</v>
      </c>
      <c r="J343" s="30">
        <f t="shared" si="10"/>
        <v>0.33770532361711408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1515931.9121762575</v>
      </c>
      <c r="J344" s="30">
        <f t="shared" si="10"/>
        <v>0.66229467638288597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1515931.9121762575</v>
      </c>
      <c r="J349" s="30">
        <f t="shared" si="11"/>
        <v>0.66229467638288597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Car Wash Investor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Panorama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>
        <f>AddressLine1</f>
        <v>0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13800 Roscoe Blvd.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Panorama City, CA 91402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223544.85623067434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0.45</v>
      </c>
      <c r="H373" s="140"/>
      <c r="I373" s="20">
        <f>I$370*F373*G373</f>
        <v>502975.92651901732</v>
      </c>
      <c r="J373" s="30">
        <f>IFERROR((I373/I$378),0)</f>
        <v>0.2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335317.28434601153</v>
      </c>
      <c r="J374" s="30">
        <f t="shared" ref="J374:J380" si="13">IFERROR((I374/I$378),0)</f>
        <v>0.13333333333333333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502975.92651901726</v>
      </c>
      <c r="J375" s="30">
        <f t="shared" si="13"/>
        <v>0.19999999999999998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0.2</v>
      </c>
      <c r="H376" s="140"/>
      <c r="I376" s="20">
        <f t="shared" si="12"/>
        <v>894179.42492269748</v>
      </c>
      <c r="J376" s="30">
        <f t="shared" si="13"/>
        <v>0.35555555555555557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0.05</v>
      </c>
      <c r="H377" s="140"/>
      <c r="I377" s="20">
        <f t="shared" si="12"/>
        <v>279431.07028834295</v>
      </c>
      <c r="J377" s="30">
        <f t="shared" si="13"/>
        <v>0.11111111111111112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2514879.6325950865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-45267.833386711551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2469611.7992083747</v>
      </c>
      <c r="J380" s="30">
        <f t="shared" si="13"/>
        <v>0.98199999999999987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74088.353976251237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154143.2900593899</v>
      </c>
      <c r="J383" s="30">
        <f t="shared" ref="J383:J395" si="14">IFERROR((I383/I$380),0)</f>
        <v>6.2415999999999992E-2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24696.117992083746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4.8590632761985331E-3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170664</v>
      </c>
      <c r="J386" s="30">
        <f t="shared" si="14"/>
        <v>6.910559791409554E-2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24696.117992083746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24696.117992083746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37044.176988125619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24696.117992083746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9.7181265523970661E-3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24696.117992083746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222265.06192875371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817685.47291293927</v>
      </c>
      <c r="J394" s="30">
        <f t="shared" si="14"/>
        <v>0.33109878774269114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1651926.3262954354</v>
      </c>
      <c r="J395" s="30">
        <f t="shared" si="14"/>
        <v>0.66890121225730881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1651926.3262954354</v>
      </c>
      <c r="J400" s="30">
        <f t="shared" si="15"/>
        <v>0.66890121225730881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Car Wash Investor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Panorama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>
        <f>AddressLine1</f>
        <v>0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13800 Roscoe Blvd.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Panorama City, CA 91402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bEUDT5NO8jYdoLZhBwa1zVF88kwf/IL5z6CoxuJtEr3mC49gKK7qgPH3pnZEG3uYqZIlzCj3zWYCkhX0jV2ReA==" saltValue="aDXyT1X6KQVc7TEVpikc0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2020-06-04T03:06:02Z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