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Indiana\Rebekah and Cody Kiser\200 Clifty Dr Madison IN 47250\"/>
    </mc:Choice>
  </mc:AlternateContent>
  <xr:revisionPtr revIDLastSave="0" documentId="8_{17079DF4-1C4D-48BB-9A17-43C40391CCD1}" xr6:coauthVersionLast="45" xr6:coauthVersionMax="45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<sst xmlns="http://schemas.openxmlformats.org/spreadsheetml/2006/main" count="434" uniqueCount="202">
  <si>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</si>
  <si>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</si>
  <si>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</si>
  <si>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</si>
  <si>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</si>
  <si>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</si>
  <si>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</si>
  <si>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</si>
  <si>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</si>
  <si>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</si>
  <si>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</si>
  <si>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</si>
  <si>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</si>
  <si>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</si>
  <si>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</si>
  <si>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</si>
  <si>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</si>
  <si>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</si>
  <si>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</si>
  <si>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</si>
  <si>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</si>
  <si>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</si>
  <si>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</si>
  <si>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</si>
  <si>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</si>
  <si>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</si>
  <si>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</si>
  <si>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</si>
  <si>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</si>
  <si>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</si>
  <si>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</si>
  <si>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</si>
  <si>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</si>
  <si>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</si>
  <si>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</si>
  <si>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</si>
  <si>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</si>
  <si>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</si>
  <si>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</si>
  <si>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</si>
  <si>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</si>
  <si>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</si>
  <si>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</si>
  <si>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</si>
  <si>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</si>
  <si>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</si>
  <si>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</si>
  <si>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</si>
  <si>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</si>
  <si>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</si>
  <si>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</si>
  <si>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</si>
  <si>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</si>
  <si>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</si>
  <si>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</si>
  <si>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</si>
  <si>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</si>
  <si>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</si>
  <si>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</si>
  <si>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</si>
  <si>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</si>
  <si>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</si>
  <si>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</si>
  <si>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</si>
  <si>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</si>
  <si>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</si>
  <si>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</si>
  <si>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</si>
  <si>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</si>
  <si>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</si>
  <si>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</si>
  <si>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</si>
  <si>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</si>
  <si>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</si>
  <si>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</si>
  <si>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</si>
  <si>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</si>
  <si>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</si>
  <si>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</si>
  <si>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</si>
  <si>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</si>
  <si>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</si>
  <si>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</si>
  <si>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</si>
  <si>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</si>
  <si>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</si>
  <si>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</si>
  <si>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</si>
  <si>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</si>
  <si>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</si>
  <si>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</si>
  <si>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</si>
  <si>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</si>
  <si>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</si>
  <si>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</si>
  <si>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</si>
  <si>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</si>
  <si>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</si>
  <si>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</si>
  <si>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</si>
  <si>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</si>
  <si>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</si>
  <si>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</si>
  <si>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</si>
  <si>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</si>
  <si>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</si>
  <si>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</si>
  <si>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</si>
  <si>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</si>
  <si>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</si>
  <si>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</si>
  <si>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</si>
  <si>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</si>
  <si>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</si>
  <si>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</si>
  <si>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</si>
  <si>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</si>
  <si>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</si>
  <si>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</si>
  <si>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</si>
  <si>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</si>
  <si>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</si>
  <si>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</si>
  <si>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</si>
  <si>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</si>
  <si>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</si>
  <si>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</si>
  <si>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</si>
  <si>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</si>
  <si>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</si>
  <si>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</si>
  <si>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</si>
  <si>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</si>
  <si>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</si>
  <si>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</si>
  <si>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</si>
  <si>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</si>
  <si>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</si>
  <si>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</si>
  <si>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</si>
  <si>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</si>
  <si>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</si>
  <si>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</si>
  <si>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</si>
  <si>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</si>
  <si>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</si>
  <si>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</si>
  <si>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</si>
  <si>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</si>
  <si>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</si>
  <si>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</si>
  <si>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</si>
  <si>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</si>
  <si>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</si>
  <si>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</si>
  <si>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</si>
  <si>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</si>
  <si>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</si>
  <si>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</si>
  <si>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</si>
  <si>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</si>
  <si>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</si>
  <si>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</si>
  <si>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</si>
  <si>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</si>
  <si>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</si>
  <si>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</si>
  <si>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</si>
  <si>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</si>
  <si>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</si>
  <si>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</si>
  <si>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</si>
  <si>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</si>
  <si>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</si>
  <si>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</si>
  <si>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</si>
  <si>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</si>
  <si>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</si>
  <si>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</si>
  <si>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</si>
  <si>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</si>
  <si>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</si>
  <si>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</si>
  <si>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</si>
  <si>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</si>
  <si>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</si>
  <si>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</si>
  <si>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</si>
  <si>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</si>
  <si>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</si>
  <si>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</si>
  <si>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</si>
  <si>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</si>
  <si>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</si>
  <si>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</si>
  <si>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</si>
  <si>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</si>
  <si>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</si>
  <si>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Rebekah &amp; Cody Kiser</t>
  </si>
  <si>
    <t>Kiser Car Wash</t>
  </si>
  <si>
    <t>200 Clifty Drive</t>
  </si>
  <si>
    <t>Madison IN 47250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</si>
</sst>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76" zoomScaleNormal="100" workbookViewId="0">
      <selection activeCell="B70" sqref="B70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9" t="s">
        <v>41</v>
      </c>
      <c r="B1" s="99"/>
      <c r="C1" s="99"/>
      <c r="D1" s="99"/>
      <c r="E1" s="34"/>
      <c r="F1" s="34"/>
    </row>
    <row r="2" spans="1:9" ht="15.5" x14ac:dyDescent="0.35">
      <c r="A2" s="35" t="s">
        <v>12</v>
      </c>
      <c r="B2" s="100" t="s">
        <v>198</v>
      </c>
      <c r="C2" s="101"/>
      <c r="D2" s="102"/>
      <c r="E2" s="34"/>
      <c r="F2" s="34"/>
    </row>
    <row r="3" spans="1:9" ht="15.5" x14ac:dyDescent="0.35">
      <c r="A3" s="35" t="s">
        <v>15</v>
      </c>
      <c r="B3" s="100" t="s">
        <v>199</v>
      </c>
      <c r="C3" s="101"/>
      <c r="D3" s="102"/>
      <c r="E3" s="34"/>
      <c r="F3" s="34"/>
    </row>
    <row r="4" spans="1:9" ht="15.5" x14ac:dyDescent="0.35">
      <c r="A4" s="35" t="s">
        <v>13</v>
      </c>
      <c r="B4" s="100" t="s">
        <v>200</v>
      </c>
      <c r="C4" s="101"/>
      <c r="D4" s="102"/>
      <c r="E4" s="34"/>
      <c r="F4" s="34"/>
    </row>
    <row r="5" spans="1:9" ht="15.5" x14ac:dyDescent="0.35">
      <c r="A5" s="35" t="s">
        <v>14</v>
      </c>
      <c r="B5" s="100" t="s">
        <v>201</v>
      </c>
      <c r="C5" s="101"/>
      <c r="D5" s="102"/>
      <c r="E5" s="34"/>
      <c r="F5" s="34"/>
    </row>
    <row r="6" spans="1:9" ht="15.5" x14ac:dyDescent="0.35">
      <c r="A6" s="35" t="s">
        <v>16</v>
      </c>
      <c r="B6" s="100"/>
      <c r="C6" s="101"/>
      <c r="D6" s="102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8" t="s">
        <v>40</v>
      </c>
      <c r="B11" s="88"/>
      <c r="C11" s="88"/>
      <c r="D11" s="88"/>
      <c r="E11" s="34"/>
      <c r="F11" s="34"/>
    </row>
    <row r="12" spans="1:9" ht="15.5" x14ac:dyDescent="0.3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5" x14ac:dyDescent="0.3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5" x14ac:dyDescent="0.3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5" x14ac:dyDescent="0.3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92" t="s">
        <v>39</v>
      </c>
      <c r="B17" s="93"/>
      <c r="C17" s="93"/>
      <c r="D17" s="94"/>
      <c r="E17" s="34"/>
      <c r="F17" s="34"/>
    </row>
    <row r="18" spans="1:8" ht="15.5" x14ac:dyDescent="0.3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5" x14ac:dyDescent="0.3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5" x14ac:dyDescent="0.3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5" x14ac:dyDescent="0.3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5" x14ac:dyDescent="0.3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5" x14ac:dyDescent="0.3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92" t="s">
        <v>44</v>
      </c>
      <c r="B25" s="93"/>
      <c r="C25" s="93"/>
      <c r="D25" s="93"/>
      <c r="E25" s="94"/>
      <c r="F25" s="34"/>
    </row>
    <row r="26" spans="1:8" ht="15.5" x14ac:dyDescent="0.3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5" x14ac:dyDescent="0.3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92" t="s">
        <v>59</v>
      </c>
      <c r="B33" s="93"/>
      <c r="C33" s="93"/>
      <c r="D33" s="93"/>
      <c r="E33" s="93"/>
      <c r="F33" s="94"/>
    </row>
    <row r="34" spans="1:6" ht="15.5" x14ac:dyDescent="0.25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5" x14ac:dyDescent="0.45">
      <c r="A35" s="103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5" x14ac:dyDescent="0.25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5" x14ac:dyDescent="0.45">
      <c r="A37" s="103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28" x14ac:dyDescent="0.25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5" x14ac:dyDescent="0.45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5" x14ac:dyDescent="0.45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31" x14ac:dyDescent="0.25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5" x14ac:dyDescent="0.45">
      <c r="A43" s="103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" x14ac:dyDescent="0.25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5" x14ac:dyDescent="0.45">
      <c r="A45" s="103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5" x14ac:dyDescent="0.45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5" x14ac:dyDescent="0.45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5" x14ac:dyDescent="0.45">
      <c r="A51" s="103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" x14ac:dyDescent="0.25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5" x14ac:dyDescent="0.45">
      <c r="A53" s="103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5" x14ac:dyDescent="0.35">
      <c r="A54" s="96" t="s">
        <v>0</v>
      </c>
      <c r="B54" s="97"/>
      <c r="C54" s="97"/>
      <c r="D54" s="97"/>
      <c r="E54" s="98"/>
      <c r="F54" s="56">
        <f>F35+F37+F39+F41+F43+F45+F47+F49+F51+F53</f>
        <v>1.075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92" t="s">
        <v>1</v>
      </c>
      <c r="B56" s="93"/>
      <c r="C56" s="93"/>
      <c r="D56" s="93"/>
      <c r="E56" s="93"/>
      <c r="F56" s="94"/>
    </row>
    <row r="57" spans="1:8" ht="15.5" x14ac:dyDescent="0.35">
      <c r="A57" s="96" t="s">
        <v>93</v>
      </c>
      <c r="B57" s="97"/>
      <c r="C57" s="97"/>
      <c r="D57" s="98"/>
      <c r="E57" s="59">
        <v>2.2999999999999998</v>
      </c>
      <c r="F57" s="60">
        <f>IF(E57&lt;2.101,-0.1*(2.1-E57),IF(E57&gt;3,-0.5*(E57-3),0))</f>
        <v>0</v>
      </c>
      <c r="H57" s="2"/>
    </row>
    <row r="58" spans="1:8" ht="15.5" x14ac:dyDescent="0.35">
      <c r="A58" s="96" t="s">
        <v>94</v>
      </c>
      <c r="B58" s="97"/>
      <c r="C58" s="97"/>
      <c r="D58" s="98"/>
      <c r="E58" s="45">
        <v>0.51</v>
      </c>
      <c r="F58" s="61">
        <f>-0.3*(0.55-E58)</f>
        <v>-1.2000000000000011E-2</v>
      </c>
    </row>
    <row r="59" spans="1:8" ht="15.5" x14ac:dyDescent="0.35">
      <c r="A59" s="96" t="s">
        <v>3</v>
      </c>
      <c r="B59" s="97"/>
      <c r="C59" s="97"/>
      <c r="D59" s="98"/>
      <c r="E59" s="45">
        <v>0.62</v>
      </c>
      <c r="F59" s="61">
        <f>-0.75*(0.5-E59)</f>
        <v>0.09</v>
      </c>
    </row>
    <row r="60" spans="1:8" ht="15.5" x14ac:dyDescent="0.3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5" x14ac:dyDescent="0.35">
      <c r="A61" s="96" t="s">
        <v>95</v>
      </c>
      <c r="B61" s="97"/>
      <c r="C61" s="97"/>
      <c r="D61" s="97"/>
      <c r="E61" s="98"/>
      <c r="F61" s="61">
        <f>SUM(F57:F60)/4</f>
        <v>1.9499999999999997E-2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5" t="s">
        <v>98</v>
      </c>
      <c r="B63" s="95"/>
      <c r="C63" s="95"/>
      <c r="D63" s="95"/>
      <c r="E63" s="95"/>
      <c r="F63" s="95"/>
    </row>
    <row r="64" spans="1:8" ht="15.5" x14ac:dyDescent="0.35">
      <c r="A64" s="96" t="s">
        <v>96</v>
      </c>
      <c r="B64" s="97"/>
      <c r="C64" s="97"/>
      <c r="D64" s="97"/>
      <c r="E64" s="98"/>
      <c r="F64" s="64">
        <f>(F54*0.7)*(1+F61)/85</f>
        <v>9.0255735294117647E-3</v>
      </c>
    </row>
    <row r="65" spans="1:6" ht="15.5" x14ac:dyDescent="0.35">
      <c r="A65" s="96" t="s">
        <v>97</v>
      </c>
      <c r="B65" s="97"/>
      <c r="C65" s="97"/>
      <c r="D65" s="97"/>
      <c r="E65" s="98"/>
      <c r="F65" s="64">
        <f>$F$54*(1+$F$61)/92</f>
        <v>1.1912635869565216E-2</v>
      </c>
    </row>
    <row r="66" spans="1:6" ht="15.5" x14ac:dyDescent="0.35">
      <c r="A66" s="96" t="s">
        <v>10</v>
      </c>
      <c r="B66" s="97"/>
      <c r="C66" s="97"/>
      <c r="D66" s="97"/>
      <c r="E66" s="98"/>
      <c r="F66" s="64">
        <f>$F$54*(1+$F$61)/76</f>
        <v>1.4420559210526315E-2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92" t="s">
        <v>103</v>
      </c>
      <c r="B68" s="93"/>
      <c r="C68" s="93"/>
      <c r="D68" s="94"/>
      <c r="E68" s="57"/>
      <c r="F68" s="58"/>
    </row>
    <row r="69" spans="1:6" ht="15.5" x14ac:dyDescent="0.3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5" x14ac:dyDescent="0.35">
      <c r="A70" s="78">
        <v>21841</v>
      </c>
      <c r="B70" s="66"/>
      <c r="C70" s="66"/>
      <c r="D70" s="66"/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92" t="s">
        <v>104</v>
      </c>
      <c r="B72" s="93"/>
      <c r="C72" s="93"/>
      <c r="D72" s="93"/>
      <c r="E72" s="93"/>
      <c r="F72" s="94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105</v>
      </c>
      <c r="B74" s="68">
        <f>F64*A70*300</f>
        <v>59138.265436764705</v>
      </c>
      <c r="C74" s="68">
        <f>F65*A70*300</f>
        <v>78055.164008152162</v>
      </c>
      <c r="D74" s="68">
        <f>($F$54*(1+$F$61))/85*($A$70*(1+B$70))*300</f>
        <v>84483.236338235292</v>
      </c>
      <c r="E74" s="68">
        <f>($F$54*(1+$F$61))/82*($A$70*(1+C$70))*300</f>
        <v>87574.086448170725</v>
      </c>
      <c r="F74" s="68">
        <f>F66*(A70*(1+D70)*300)</f>
        <v>94487.830115131568</v>
      </c>
    </row>
    <row r="75" spans="1:6" ht="15.5" x14ac:dyDescent="0.35">
      <c r="A75" s="35" t="s">
        <v>106</v>
      </c>
      <c r="B75" s="68">
        <f>B74/12</f>
        <v>4928.1887863970587</v>
      </c>
      <c r="C75" s="68">
        <f>C74/12</f>
        <v>6504.5970006793468</v>
      </c>
      <c r="D75" s="68">
        <f t="shared" ref="D75:F75" si="0">D74/12</f>
        <v>7040.269694852941</v>
      </c>
      <c r="E75" s="68">
        <f t="shared" si="0"/>
        <v>7297.8405373475607</v>
      </c>
      <c r="F75" s="68">
        <f t="shared" si="0"/>
        <v>7873.985842927631</v>
      </c>
    </row>
    <row r="76" spans="1:6" ht="15.5" x14ac:dyDescent="0.35">
      <c r="A76" s="35" t="s">
        <v>107</v>
      </c>
      <c r="B76" s="68">
        <f>B75/4.5/7*3</f>
        <v>469.35131299019599</v>
      </c>
      <c r="C76" s="68">
        <f t="shared" ref="C76:F76" si="1">C75/4.5/7*3</f>
        <v>619.48542863612829</v>
      </c>
      <c r="D76" s="68">
        <f t="shared" si="1"/>
        <v>670.50187570028004</v>
      </c>
      <c r="E76" s="68">
        <f t="shared" si="1"/>
        <v>695.03243212833911</v>
      </c>
      <c r="F76" s="68">
        <f t="shared" si="1"/>
        <v>749.9034136121553</v>
      </c>
    </row>
    <row r="77" spans="1:6" ht="15.5" x14ac:dyDescent="0.35">
      <c r="A77" s="35" t="s">
        <v>108</v>
      </c>
      <c r="B77" s="68">
        <f>IFERROR((B76/$B9*1.3),0)</f>
        <v>50.846392240604573</v>
      </c>
      <c r="C77" s="68">
        <f t="shared" ref="C77:F77" si="2">IFERROR((C76/$B9*1.3),0)</f>
        <v>67.110921435580565</v>
      </c>
      <c r="D77" s="68">
        <f t="shared" si="2"/>
        <v>72.637703200863683</v>
      </c>
      <c r="E77" s="68">
        <f t="shared" si="2"/>
        <v>75.295180147236749</v>
      </c>
      <c r="F77" s="68">
        <f t="shared" si="2"/>
        <v>81.239536474650151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8" t="s">
        <v>2</v>
      </c>
      <c r="B79" s="88"/>
      <c r="C79" s="88"/>
      <c r="D79" s="88"/>
      <c r="E79" s="88"/>
      <c r="F79" s="88"/>
    </row>
    <row r="80" spans="1:6" ht="31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5" x14ac:dyDescent="0.3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92" t="s">
        <v>122</v>
      </c>
      <c r="B87" s="93"/>
      <c r="C87" s="93"/>
      <c r="D87" s="93"/>
      <c r="E87" s="93"/>
      <c r="F87" s="94"/>
    </row>
    <row r="88" spans="1:6" ht="31" x14ac:dyDescent="0.25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5" x14ac:dyDescent="0.3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92" t="s">
        <v>124</v>
      </c>
      <c r="B95" s="93"/>
      <c r="C95" s="93"/>
      <c r="D95" s="93"/>
      <c r="E95" s="93"/>
      <c r="F95" s="94"/>
    </row>
    <row r="96" spans="1:6" ht="15.5" x14ac:dyDescent="0.35">
      <c r="A96" s="89" t="s">
        <v>125</v>
      </c>
      <c r="B96" s="90"/>
      <c r="C96" s="90"/>
      <c r="D96" s="91"/>
      <c r="E96" s="82" t="s">
        <v>127</v>
      </c>
      <c r="F96" s="83"/>
    </row>
    <row r="97" spans="1:8" ht="15.5" x14ac:dyDescent="0.35">
      <c r="A97" s="79" t="s">
        <v>117</v>
      </c>
      <c r="B97" s="80"/>
      <c r="C97" s="80"/>
      <c r="D97" s="81"/>
      <c r="E97" s="84">
        <v>0</v>
      </c>
      <c r="F97" s="85"/>
    </row>
    <row r="98" spans="1:8" ht="15.5" x14ac:dyDescent="0.35">
      <c r="A98" s="79" t="s">
        <v>118</v>
      </c>
      <c r="B98" s="80"/>
      <c r="C98" s="80"/>
      <c r="D98" s="81"/>
      <c r="E98" s="84">
        <v>0</v>
      </c>
      <c r="F98" s="85"/>
    </row>
    <row r="99" spans="1:8" ht="15.5" x14ac:dyDescent="0.3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5" x14ac:dyDescent="0.3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A121" zoomScaleNormal="100" zoomScalePageLayoutView="130" workbookViewId="0">
      <selection activeCell="D7" sqref="D7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5.5429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65" t="str">
        <f>'Input Form'!B2</f>
        <v>Rebekah &amp; Cody Kiser</v>
      </c>
      <c r="F29" s="165"/>
      <c r="G29" s="165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65" t="str">
        <f>'Input Form'!B3</f>
        <v>Kiser Car Wash</v>
      </c>
      <c r="F30" s="165"/>
      <c r="G30" s="165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65" t="str">
        <f>'Input Form'!B4</f>
        <v>200 Clifty Drive</v>
      </c>
      <c r="F31" s="165"/>
      <c r="G31" s="165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65" t="str">
        <f>'Input Form'!B5</f>
        <v>Madison IN 47250</v>
      </c>
      <c r="F32" s="165"/>
      <c r="G32" s="165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65">
        <f>'Input Form'!B6</f>
        <v>0</v>
      </c>
      <c r="F33" s="165"/>
      <c r="G33" s="165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6" t="s">
        <v>196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3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3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3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3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3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6" t="s">
        <v>188</v>
      </c>
      <c r="D56" s="116"/>
      <c r="E56" s="117" t="str">
        <f>CustomerName</f>
        <v>Rebekah &amp; Cody Kiser</v>
      </c>
      <c r="F56" s="118"/>
      <c r="G56" s="118"/>
      <c r="H56" s="118"/>
      <c r="I56" s="119"/>
      <c r="J56" s="10"/>
      <c r="K56" s="10"/>
    </row>
    <row r="57" spans="1:11" x14ac:dyDescent="0.3">
      <c r="A57" s="10"/>
      <c r="B57" s="10"/>
      <c r="C57" s="135" t="s">
        <v>189</v>
      </c>
      <c r="D57" s="136"/>
      <c r="E57" s="117" t="str">
        <f>CompanyName</f>
        <v>Kiser Car Wash</v>
      </c>
      <c r="F57" s="118"/>
      <c r="G57" s="118"/>
      <c r="H57" s="118"/>
      <c r="I57" s="119"/>
      <c r="J57" s="10"/>
      <c r="K57" s="10"/>
    </row>
    <row r="58" spans="1:11" x14ac:dyDescent="0.3">
      <c r="A58" s="10"/>
      <c r="B58" s="10"/>
      <c r="C58" s="120" t="s">
        <v>130</v>
      </c>
      <c r="D58" s="121"/>
      <c r="E58" s="126" t="str">
        <f>AddressLine1</f>
        <v>200 Clifty Drive</v>
      </c>
      <c r="F58" s="127"/>
      <c r="G58" s="127"/>
      <c r="H58" s="127"/>
      <c r="I58" s="128"/>
      <c r="J58" s="13"/>
      <c r="K58" s="10"/>
    </row>
    <row r="59" spans="1:11" x14ac:dyDescent="0.3">
      <c r="A59" s="10"/>
      <c r="B59" s="10"/>
      <c r="C59" s="122"/>
      <c r="D59" s="123"/>
      <c r="E59" s="129" t="str">
        <f>AddressLine2</f>
        <v>Madison IN 47250</v>
      </c>
      <c r="F59" s="130"/>
      <c r="G59" s="130"/>
      <c r="H59" s="130"/>
      <c r="I59" s="131"/>
      <c r="J59" s="10"/>
      <c r="K59" s="10"/>
    </row>
    <row r="60" spans="1:11" x14ac:dyDescent="0.3">
      <c r="A60" s="10"/>
      <c r="B60" s="10"/>
      <c r="C60" s="124"/>
      <c r="D60" s="125"/>
      <c r="E60" s="132">
        <f>AddressLine3</f>
        <v>0</v>
      </c>
      <c r="F60" s="133"/>
      <c r="G60" s="133"/>
      <c r="H60" s="133"/>
      <c r="I60" s="134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3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3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2004.4810861705125</v>
      </c>
      <c r="J65" s="18">
        <f>'Input Form'!B75</f>
        <v>4928.1887863970587</v>
      </c>
      <c r="K65" s="10"/>
    </row>
    <row r="66" spans="1:15" ht="18.5" x14ac:dyDescent="0.45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3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3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3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41">
        <f>'Input Form'!D19</f>
        <v>0.45</v>
      </c>
      <c r="H69" s="142"/>
      <c r="I69" s="20">
        <f>IFERROR((I$65*G69*F69),0)</f>
        <v>4510.0824438836535</v>
      </c>
      <c r="J69" s="20">
        <f>J$65*F69*G69</f>
        <v>11088.424769393383</v>
      </c>
      <c r="K69" s="10"/>
    </row>
    <row r="70" spans="1:15" x14ac:dyDescent="0.3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3006.7216292557687</v>
      </c>
      <c r="J70" s="20">
        <f t="shared" ref="J70:J73" si="0">J$65*F70*G70</f>
        <v>7392.2831795955881</v>
      </c>
      <c r="K70" s="10"/>
    </row>
    <row r="71" spans="1:15" x14ac:dyDescent="0.3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4510.0824438836526</v>
      </c>
      <c r="J71" s="20">
        <f t="shared" si="0"/>
        <v>11088.424769393381</v>
      </c>
      <c r="K71" s="10"/>
    </row>
    <row r="72" spans="1:15" x14ac:dyDescent="0.3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41">
        <f>'Input Form'!D22</f>
        <v>0.2</v>
      </c>
      <c r="H72" s="142"/>
      <c r="I72" s="20">
        <f t="shared" ref="I72:I73" si="1">I$65*G72*F72</f>
        <v>8017.924344682051</v>
      </c>
      <c r="J72" s="20">
        <f t="shared" si="0"/>
        <v>19712.755145588235</v>
      </c>
      <c r="K72" s="10"/>
    </row>
    <row r="73" spans="1:15" x14ac:dyDescent="0.3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41">
        <f>'Input Form'!D23</f>
        <v>0.05</v>
      </c>
      <c r="H73" s="142"/>
      <c r="I73" s="20">
        <f t="shared" si="1"/>
        <v>2505.6013577131407</v>
      </c>
      <c r="J73" s="20">
        <f t="shared" si="0"/>
        <v>6160.2359829963243</v>
      </c>
      <c r="K73" s="10"/>
    </row>
    <row r="74" spans="1:15" x14ac:dyDescent="0.3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22550.412219418267</v>
      </c>
      <c r="J74" s="20">
        <f>SUM(J69:J73)</f>
        <v>55442.123846966912</v>
      </c>
      <c r="K74" s="10"/>
      <c r="O74" s="5"/>
    </row>
    <row r="75" spans="1:15" x14ac:dyDescent="0.3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-405.90741994952879</v>
      </c>
      <c r="J75" s="20">
        <f>-(J74*$F75*$G75)</f>
        <v>-997.95822924540437</v>
      </c>
      <c r="K75" s="10"/>
      <c r="L75" s="7"/>
    </row>
    <row r="76" spans="1:15" x14ac:dyDescent="0.3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22144.504799468737</v>
      </c>
      <c r="J76" s="20">
        <f>SUM(J74:J75)</f>
        <v>54444.165617721505</v>
      </c>
      <c r="K76" s="10"/>
      <c r="L76" s="5"/>
      <c r="N76" s="8"/>
    </row>
    <row r="77" spans="1:15" x14ac:dyDescent="0.3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11.047499999997758</v>
      </c>
      <c r="K77" s="10"/>
      <c r="M77" s="5"/>
      <c r="N77" s="7"/>
    </row>
    <row r="78" spans="1:15" ht="18.5" x14ac:dyDescent="0.45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3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3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664.33514398406214</v>
      </c>
      <c r="J80" s="20">
        <f>$G80*J76</f>
        <v>1633.324968531645</v>
      </c>
      <c r="K80" s="10"/>
    </row>
    <row r="81" spans="1:12" x14ac:dyDescent="0.3">
      <c r="A81" s="10"/>
      <c r="B81" s="138" t="s">
        <v>143</v>
      </c>
      <c r="C81" s="139"/>
      <c r="D81" s="139"/>
      <c r="E81" s="139"/>
      <c r="F81" s="140"/>
      <c r="G81" s="163">
        <f>IFERROR((J81/J74),0)</f>
        <v>6.2415999999999999E-2</v>
      </c>
      <c r="H81" s="164"/>
      <c r="I81" s="20">
        <f>G81*I76</f>
        <v>1382.1714115636407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3460.4756020322866</v>
      </c>
      <c r="K81" s="10"/>
    </row>
    <row r="82" spans="1:12" x14ac:dyDescent="0.3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221.44504799468737</v>
      </c>
      <c r="J82" s="20">
        <f>$G82*J76</f>
        <v>544.44165617721501</v>
      </c>
      <c r="K82" s="10"/>
    </row>
    <row r="83" spans="1:12" x14ac:dyDescent="0.3">
      <c r="A83" s="10"/>
      <c r="B83" s="138" t="s">
        <v>152</v>
      </c>
      <c r="C83" s="139"/>
      <c r="D83" s="139"/>
      <c r="E83" s="139"/>
      <c r="F83" s="140"/>
      <c r="G83" s="163">
        <f>IFERROR((I83/I74),0)</f>
        <v>4.4345087365582403E-2</v>
      </c>
      <c r="H83" s="164"/>
      <c r="I83" s="23">
        <v>1000</v>
      </c>
      <c r="J83" s="20">
        <f>I83</f>
        <v>1000</v>
      </c>
      <c r="K83" s="10"/>
    </row>
    <row r="84" spans="1:12" x14ac:dyDescent="0.3">
      <c r="A84" s="10"/>
      <c r="B84" s="138" t="s">
        <v>24</v>
      </c>
      <c r="C84" s="139"/>
      <c r="D84" s="139"/>
      <c r="E84" s="139"/>
      <c r="F84" s="140"/>
      <c r="G84" s="163">
        <f>IFERROR((I84/I74),0)</f>
        <v>0.60600222590310293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3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221.44504799468737</v>
      </c>
      <c r="J85" s="20">
        <f>$G85*J76</f>
        <v>544.44165617721501</v>
      </c>
      <c r="K85" s="10"/>
    </row>
    <row r="86" spans="1:12" x14ac:dyDescent="0.3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221.44504799468737</v>
      </c>
      <c r="J86" s="20">
        <f>$G86*J76</f>
        <v>544.44165617721501</v>
      </c>
      <c r="K86" s="10"/>
    </row>
    <row r="87" spans="1:12" x14ac:dyDescent="0.3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332.16757199203107</v>
      </c>
      <c r="J87" s="20">
        <f>$G87*J76</f>
        <v>816.66248426582251</v>
      </c>
      <c r="K87" s="10"/>
    </row>
    <row r="88" spans="1:12" x14ac:dyDescent="0.3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221.44504799468737</v>
      </c>
      <c r="J88" s="20">
        <f>$G88*J76</f>
        <v>544.44165617721501</v>
      </c>
      <c r="K88" s="10"/>
    </row>
    <row r="89" spans="1:12" x14ac:dyDescent="0.3">
      <c r="A89" s="10"/>
      <c r="B89" s="138" t="s">
        <v>151</v>
      </c>
      <c r="C89" s="139"/>
      <c r="D89" s="139"/>
      <c r="E89" s="139"/>
      <c r="F89" s="140"/>
      <c r="G89" s="163">
        <f>IFERROR((I89/I74),0)</f>
        <v>8.8690174731164806E-2</v>
      </c>
      <c r="H89" s="164"/>
      <c r="I89" s="23">
        <v>2000</v>
      </c>
      <c r="J89" s="20">
        <f>I89</f>
        <v>2000</v>
      </c>
      <c r="K89" s="10"/>
    </row>
    <row r="90" spans="1:12" x14ac:dyDescent="0.3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221.44504799468737</v>
      </c>
      <c r="J90" s="20">
        <f>$G90*J76</f>
        <v>544.44165617721501</v>
      </c>
      <c r="K90" s="10"/>
      <c r="L90" s="5"/>
    </row>
    <row r="91" spans="1:12" x14ac:dyDescent="0.3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1993.0054319521862</v>
      </c>
      <c r="J91" s="20">
        <f>$G91*J76</f>
        <v>4899.9749055949351</v>
      </c>
      <c r="K91" s="10"/>
      <c r="L91" s="5"/>
    </row>
    <row r="92" spans="1:12" x14ac:dyDescent="0.3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22144.504799465354</v>
      </c>
      <c r="J92" s="20">
        <f>SUM(J80:J91)</f>
        <v>30198.246241310771</v>
      </c>
      <c r="K92" s="10"/>
    </row>
    <row r="93" spans="1:12" x14ac:dyDescent="0.3">
      <c r="A93" s="10"/>
      <c r="B93" s="116" t="s">
        <v>197</v>
      </c>
      <c r="C93" s="116"/>
      <c r="D93" s="116"/>
      <c r="E93" s="116"/>
      <c r="F93" s="116"/>
      <c r="G93" s="116"/>
      <c r="H93" s="116"/>
      <c r="I93" s="24">
        <f>I76-I92</f>
        <v>3.383320290595293E-9</v>
      </c>
      <c r="J93" s="24">
        <f>J76-J92</f>
        <v>24245.919376410733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6" t="s">
        <v>188</v>
      </c>
      <c r="D108" s="116"/>
      <c r="E108" s="117" t="str">
        <f>CustomerName</f>
        <v>Rebekah &amp; Cody Kiser</v>
      </c>
      <c r="F108" s="118"/>
      <c r="G108" s="118"/>
      <c r="H108" s="118"/>
      <c r="I108" s="119"/>
      <c r="J108" s="10"/>
      <c r="K108" s="10"/>
    </row>
    <row r="109" spans="1:11" x14ac:dyDescent="0.3">
      <c r="A109" s="10"/>
      <c r="B109" s="10"/>
      <c r="C109" s="135" t="s">
        <v>189</v>
      </c>
      <c r="D109" s="136"/>
      <c r="E109" s="117" t="str">
        <f>CompanyName</f>
        <v>Kiser Car Wash</v>
      </c>
      <c r="F109" s="118"/>
      <c r="G109" s="118"/>
      <c r="H109" s="118"/>
      <c r="I109" s="119"/>
      <c r="J109" s="10"/>
      <c r="K109" s="10"/>
    </row>
    <row r="110" spans="1:11" x14ac:dyDescent="0.3">
      <c r="A110" s="10"/>
      <c r="B110" s="10"/>
      <c r="C110" s="120" t="s">
        <v>130</v>
      </c>
      <c r="D110" s="121"/>
      <c r="E110" s="126" t="str">
        <f>AddressLine1</f>
        <v>200 Clifty Drive</v>
      </c>
      <c r="F110" s="127"/>
      <c r="G110" s="127"/>
      <c r="H110" s="127"/>
      <c r="I110" s="128"/>
      <c r="J110" s="10"/>
      <c r="K110" s="10"/>
    </row>
    <row r="111" spans="1:11" x14ac:dyDescent="0.3">
      <c r="A111" s="10"/>
      <c r="B111" s="10"/>
      <c r="C111" s="122"/>
      <c r="D111" s="123"/>
      <c r="E111" s="129" t="str">
        <f>AddressLine2</f>
        <v>Madison IN 47250</v>
      </c>
      <c r="F111" s="130"/>
      <c r="G111" s="130"/>
      <c r="H111" s="130"/>
      <c r="I111" s="131"/>
      <c r="J111" s="10"/>
      <c r="K111" s="10"/>
    </row>
    <row r="112" spans="1:11" x14ac:dyDescent="0.3">
      <c r="A112" s="10"/>
      <c r="B112" s="10"/>
      <c r="C112" s="124"/>
      <c r="D112" s="125"/>
      <c r="E112" s="132">
        <f>AddressLine3</f>
        <v>0</v>
      </c>
      <c r="F112" s="133"/>
      <c r="G112" s="133"/>
      <c r="H112" s="133"/>
      <c r="I112" s="134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9" x14ac:dyDescent="0.3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3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3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3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3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3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3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5" x14ac:dyDescent="0.45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6" x14ac:dyDescent="0.3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3">
      <c r="A125" s="10"/>
      <c r="B125" s="27" t="s">
        <v>118</v>
      </c>
      <c r="C125" s="152">
        <f>'Input Form'!B89</f>
        <v>0</v>
      </c>
      <c r="D125" s="142"/>
      <c r="E125" s="153">
        <f>'Input Form'!C89</f>
        <v>7.4999999999999997E-2</v>
      </c>
      <c r="F125" s="154"/>
      <c r="G125" s="142">
        <f>'Input Form'!D89</f>
        <v>300</v>
      </c>
      <c r="H125" s="142"/>
      <c r="I125" s="147">
        <f>'Input Form'!F89</f>
        <v>0</v>
      </c>
      <c r="J125" s="147"/>
      <c r="K125" s="10"/>
    </row>
    <row r="126" spans="1:11" x14ac:dyDescent="0.3">
      <c r="A126" s="10"/>
      <c r="B126" s="27" t="s">
        <v>120</v>
      </c>
      <c r="C126" s="152">
        <f>'Input Form'!B90</f>
        <v>0</v>
      </c>
      <c r="D126" s="142"/>
      <c r="E126" s="153">
        <f>'Input Form'!C90</f>
        <v>7.4999999999999997E-2</v>
      </c>
      <c r="F126" s="154"/>
      <c r="G126" s="142">
        <f>'Input Form'!D90</f>
        <v>300</v>
      </c>
      <c r="H126" s="142"/>
      <c r="I126" s="147">
        <f>'Input Form'!F90</f>
        <v>0</v>
      </c>
      <c r="J126" s="147"/>
      <c r="K126" s="10"/>
    </row>
    <row r="127" spans="1:11" x14ac:dyDescent="0.3">
      <c r="A127" s="10"/>
      <c r="B127" s="27" t="s">
        <v>117</v>
      </c>
      <c r="C127" s="152">
        <f>'Input Form'!B91</f>
        <v>0</v>
      </c>
      <c r="D127" s="142"/>
      <c r="E127" s="153">
        <f>'Input Form'!C91</f>
        <v>7.4999999999999997E-2</v>
      </c>
      <c r="F127" s="154"/>
      <c r="G127" s="142">
        <f>'Input Form'!D91</f>
        <v>300</v>
      </c>
      <c r="H127" s="142"/>
      <c r="I127" s="147">
        <f>'Input Form'!F91</f>
        <v>0</v>
      </c>
      <c r="J127" s="147"/>
      <c r="K127" s="10"/>
    </row>
    <row r="128" spans="1:11" x14ac:dyDescent="0.3">
      <c r="A128" s="10"/>
      <c r="B128" s="27" t="s">
        <v>119</v>
      </c>
      <c r="C128" s="152">
        <f>'Input Form'!B92</f>
        <v>0</v>
      </c>
      <c r="D128" s="142"/>
      <c r="E128" s="153">
        <f>'Input Form'!C92</f>
        <v>7.4999999999999997E-2</v>
      </c>
      <c r="F128" s="154"/>
      <c r="G128" s="142">
        <f>'Input Form'!D92</f>
        <v>300</v>
      </c>
      <c r="H128" s="142"/>
      <c r="I128" s="147">
        <f>'Input Form'!F92</f>
        <v>0</v>
      </c>
      <c r="J128" s="147"/>
      <c r="K128" s="10"/>
    </row>
    <row r="129" spans="1:11" x14ac:dyDescent="0.3">
      <c r="A129" s="10"/>
      <c r="B129" s="27" t="s">
        <v>160</v>
      </c>
      <c r="C129" s="152">
        <f>'Input Form'!B93</f>
        <v>0</v>
      </c>
      <c r="D129" s="142"/>
      <c r="E129" s="153">
        <f>'Input Form'!C93</f>
        <v>7.4999999999999997E-2</v>
      </c>
      <c r="F129" s="154"/>
      <c r="G129" s="142">
        <f>'Input Form'!D93</f>
        <v>300</v>
      </c>
      <c r="H129" s="142"/>
      <c r="I129" s="147">
        <f>'Input Form'!F93</f>
        <v>0</v>
      </c>
      <c r="J129" s="147"/>
      <c r="K129" s="10"/>
    </row>
    <row r="130" spans="1:11" x14ac:dyDescent="0.3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5" x14ac:dyDescent="0.45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3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3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3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3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3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5" x14ac:dyDescent="0.45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3">
      <c r="A138" s="10"/>
      <c r="B138" s="104" t="s">
        <v>140</v>
      </c>
      <c r="C138" s="104"/>
      <c r="D138" s="104"/>
      <c r="E138" s="104"/>
      <c r="F138" s="104"/>
      <c r="G138" s="147">
        <f>I76</f>
        <v>22144.504799468737</v>
      </c>
      <c r="H138" s="147"/>
      <c r="I138" s="147">
        <f>J76</f>
        <v>54444.165617721505</v>
      </c>
      <c r="J138" s="147"/>
      <c r="K138" s="10"/>
    </row>
    <row r="139" spans="1:11" x14ac:dyDescent="0.3">
      <c r="A139" s="10"/>
      <c r="B139" s="104" t="s">
        <v>164</v>
      </c>
      <c r="C139" s="104"/>
      <c r="D139" s="104"/>
      <c r="E139" s="104"/>
      <c r="F139" s="104"/>
      <c r="G139" s="147">
        <f>I92</f>
        <v>22144.504799465354</v>
      </c>
      <c r="H139" s="147"/>
      <c r="I139" s="147">
        <f>J92</f>
        <v>30198.246241310771</v>
      </c>
      <c r="J139" s="147"/>
      <c r="K139" s="10"/>
    </row>
    <row r="140" spans="1:11" x14ac:dyDescent="0.3">
      <c r="A140" s="10"/>
      <c r="B140" s="104" t="s">
        <v>159</v>
      </c>
      <c r="C140" s="104"/>
      <c r="D140" s="104"/>
      <c r="E140" s="104"/>
      <c r="F140" s="104"/>
      <c r="G140" s="147">
        <f>G138-G139</f>
        <v>3.383320290595293E-9</v>
      </c>
      <c r="H140" s="147"/>
      <c r="I140" s="147">
        <f>J93</f>
        <v>24245.919376410733</v>
      </c>
      <c r="J140" s="147"/>
      <c r="K140" s="10"/>
    </row>
    <row r="141" spans="1:11" x14ac:dyDescent="0.3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3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3">
      <c r="A143" s="10"/>
      <c r="B143" s="104" t="s">
        <v>167</v>
      </c>
      <c r="C143" s="104"/>
      <c r="D143" s="104"/>
      <c r="E143" s="104"/>
      <c r="F143" s="104"/>
      <c r="G143" s="147">
        <f>G140-G141-G142</f>
        <v>3.383320290595293E-9</v>
      </c>
      <c r="H143" s="147"/>
      <c r="I143" s="147">
        <f>I140-I141-I142</f>
        <v>24245.919376410733</v>
      </c>
      <c r="J143" s="147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6" t="s">
        <v>188</v>
      </c>
      <c r="D157" s="116"/>
      <c r="E157" s="117" t="str">
        <f>CustomerName</f>
        <v>Rebekah &amp; Cody Kiser</v>
      </c>
      <c r="F157" s="118"/>
      <c r="G157" s="118"/>
      <c r="H157" s="118"/>
      <c r="I157" s="119"/>
      <c r="J157" s="10"/>
      <c r="K157" s="10"/>
    </row>
    <row r="158" spans="1:11" x14ac:dyDescent="0.3">
      <c r="A158" s="10"/>
      <c r="B158" s="10"/>
      <c r="C158" s="135" t="s">
        <v>189</v>
      </c>
      <c r="D158" s="136"/>
      <c r="E158" s="117" t="str">
        <f>CompanyName</f>
        <v>Kiser Car Wash</v>
      </c>
      <c r="F158" s="118"/>
      <c r="G158" s="118"/>
      <c r="H158" s="118"/>
      <c r="I158" s="119"/>
      <c r="J158" s="10"/>
      <c r="K158" s="10"/>
    </row>
    <row r="159" spans="1:11" x14ac:dyDescent="0.3">
      <c r="A159" s="10"/>
      <c r="B159" s="10"/>
      <c r="C159" s="120" t="s">
        <v>130</v>
      </c>
      <c r="D159" s="121"/>
      <c r="E159" s="126" t="str">
        <f>AddressLine1</f>
        <v>200 Clifty Drive</v>
      </c>
      <c r="F159" s="127"/>
      <c r="G159" s="127"/>
      <c r="H159" s="127"/>
      <c r="I159" s="128"/>
      <c r="J159" s="10"/>
      <c r="K159" s="10"/>
    </row>
    <row r="160" spans="1:11" x14ac:dyDescent="0.3">
      <c r="A160" s="10"/>
      <c r="B160" s="10"/>
      <c r="C160" s="122"/>
      <c r="D160" s="123"/>
      <c r="E160" s="129" t="str">
        <f>AddressLine2</f>
        <v>Madison IN 47250</v>
      </c>
      <c r="F160" s="130"/>
      <c r="G160" s="130"/>
      <c r="H160" s="130"/>
      <c r="I160" s="131"/>
      <c r="J160" s="10"/>
      <c r="K160" s="10"/>
    </row>
    <row r="161" spans="1:11" x14ac:dyDescent="0.3">
      <c r="A161" s="10"/>
      <c r="B161" s="10"/>
      <c r="C161" s="124"/>
      <c r="D161" s="125"/>
      <c r="E161" s="132">
        <f>AddressLine3</f>
        <v>0</v>
      </c>
      <c r="F161" s="133"/>
      <c r="G161" s="133"/>
      <c r="H161" s="133"/>
      <c r="I161" s="134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3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3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59138.265436764705</v>
      </c>
      <c r="J166" s="144"/>
      <c r="K166" s="10"/>
    </row>
    <row r="167" spans="1:11" ht="18.5" x14ac:dyDescent="0.45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3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3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41">
        <f>'Input Form'!$D$19</f>
        <v>0.45</v>
      </c>
      <c r="H169" s="142"/>
      <c r="I169" s="20">
        <f>I$166*F169*G169</f>
        <v>133061.09723272058</v>
      </c>
      <c r="J169" s="30">
        <f>IFERROR((I169/I$174),0)</f>
        <v>0.2</v>
      </c>
      <c r="K169" s="10"/>
    </row>
    <row r="170" spans="1:11" x14ac:dyDescent="0.3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88707.39815514705</v>
      </c>
      <c r="J170" s="30">
        <f t="shared" ref="J170:J176" si="2">IFERROR((I170/I$174),0)</f>
        <v>0.13333333333333333</v>
      </c>
      <c r="K170" s="10"/>
    </row>
    <row r="171" spans="1:11" x14ac:dyDescent="0.3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133061.09723272058</v>
      </c>
      <c r="J171" s="30">
        <f t="shared" si="2"/>
        <v>0.2</v>
      </c>
      <c r="K171" s="10"/>
    </row>
    <row r="172" spans="1:11" x14ac:dyDescent="0.3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41">
        <f>'Input Form'!$D$22</f>
        <v>0.2</v>
      </c>
      <c r="H172" s="142"/>
      <c r="I172" s="20">
        <f>I$166*F172*G172</f>
        <v>236553.06174705882</v>
      </c>
      <c r="J172" s="30">
        <f t="shared" si="2"/>
        <v>0.35555555555555557</v>
      </c>
      <c r="K172" s="10"/>
    </row>
    <row r="173" spans="1:11" x14ac:dyDescent="0.3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41">
        <f>'Input Form'!$D$23</f>
        <v>0.05</v>
      </c>
      <c r="H173" s="142"/>
      <c r="I173" s="20">
        <f>I$166*F173*G173</f>
        <v>73922.831795955877</v>
      </c>
      <c r="J173" s="30">
        <f t="shared" si="2"/>
        <v>0.1111111111111111</v>
      </c>
      <c r="K173" s="10"/>
    </row>
    <row r="174" spans="1:11" x14ac:dyDescent="0.3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665305.48616360291</v>
      </c>
      <c r="J174" s="30">
        <f t="shared" si="2"/>
        <v>1</v>
      </c>
      <c r="K174" s="10"/>
    </row>
    <row r="175" spans="1:11" x14ac:dyDescent="0.3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-11975.498750944851</v>
      </c>
      <c r="J175" s="30">
        <f t="shared" si="2"/>
        <v>-1.7999999999999999E-2</v>
      </c>
      <c r="K175" s="10"/>
    </row>
    <row r="176" spans="1:11" x14ac:dyDescent="0.3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653329.98741265805</v>
      </c>
      <c r="J176" s="30">
        <f t="shared" si="2"/>
        <v>0.98199999999999998</v>
      </c>
      <c r="K176" s="10"/>
    </row>
    <row r="177" spans="1:11" ht="18.5" x14ac:dyDescent="0.45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3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19599.89962237974</v>
      </c>
      <c r="J178" s="30">
        <f>IFERROR((I178/I$176),0)</f>
        <v>0.03</v>
      </c>
      <c r="K178" s="10"/>
    </row>
    <row r="179" spans="1:11" x14ac:dyDescent="0.3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40778.244494348466</v>
      </c>
      <c r="J179" s="30">
        <f t="shared" ref="J179:J196" si="3">IFERROR((I179/I$176),0)</f>
        <v>6.2415999999999999E-2</v>
      </c>
      <c r="K179" s="10"/>
    </row>
    <row r="180" spans="1:11" x14ac:dyDescent="0.3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6533.299874126581</v>
      </c>
      <c r="J180" s="30">
        <f t="shared" si="3"/>
        <v>0.01</v>
      </c>
      <c r="K180" s="10"/>
    </row>
    <row r="181" spans="1:11" x14ac:dyDescent="0.3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1.8367441004082562E-2</v>
      </c>
      <c r="K181" s="10"/>
    </row>
    <row r="182" spans="1:11" x14ac:dyDescent="0.3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0.25100210178539067</v>
      </c>
      <c r="K182" s="10"/>
    </row>
    <row r="183" spans="1:11" x14ac:dyDescent="0.3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6533.299874126581</v>
      </c>
      <c r="J183" s="30">
        <f t="shared" si="3"/>
        <v>0.01</v>
      </c>
      <c r="K183" s="10"/>
    </row>
    <row r="184" spans="1:11" x14ac:dyDescent="0.3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6533.299874126581</v>
      </c>
      <c r="J184" s="30">
        <f t="shared" si="3"/>
        <v>0.01</v>
      </c>
      <c r="K184" s="10"/>
    </row>
    <row r="185" spans="1:11" x14ac:dyDescent="0.3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9799.9498111898702</v>
      </c>
      <c r="J185" s="30">
        <f t="shared" si="3"/>
        <v>1.4999999999999999E-2</v>
      </c>
      <c r="K185" s="10"/>
    </row>
    <row r="186" spans="1:11" x14ac:dyDescent="0.3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6533.299874126581</v>
      </c>
      <c r="J186" s="30">
        <f t="shared" si="3"/>
        <v>0.01</v>
      </c>
      <c r="K186" s="10"/>
    </row>
    <row r="187" spans="1:11" x14ac:dyDescent="0.3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3.6734882008165125E-2</v>
      </c>
      <c r="K187" s="10"/>
    </row>
    <row r="188" spans="1:11" x14ac:dyDescent="0.3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6533.299874126581</v>
      </c>
      <c r="J188" s="30">
        <f t="shared" si="3"/>
        <v>0.01</v>
      </c>
      <c r="K188" s="10"/>
    </row>
    <row r="189" spans="1:11" x14ac:dyDescent="0.3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58799.698867139225</v>
      </c>
      <c r="J189" s="30">
        <f t="shared" si="3"/>
        <v>0.09</v>
      </c>
      <c r="K189" s="10"/>
    </row>
    <row r="190" spans="1:11" x14ac:dyDescent="0.3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361631.49216569017</v>
      </c>
      <c r="J190" s="30">
        <f t="shared" si="3"/>
        <v>0.5535204247976383</v>
      </c>
      <c r="K190" s="10"/>
    </row>
    <row r="191" spans="1:11" x14ac:dyDescent="0.3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291698.49524696788</v>
      </c>
      <c r="J191" s="30">
        <f t="shared" si="3"/>
        <v>0.4464795752023617</v>
      </c>
      <c r="K191" s="10"/>
    </row>
    <row r="192" spans="1:11" ht="18.5" x14ac:dyDescent="0.45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3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291698.49524696788</v>
      </c>
      <c r="J196" s="30">
        <f t="shared" si="3"/>
        <v>0.4464795752023617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6" t="s">
        <v>188</v>
      </c>
      <c r="D208" s="116"/>
      <c r="E208" s="117" t="str">
        <f>CustomerName</f>
        <v>Rebekah &amp; Cody Kiser</v>
      </c>
      <c r="F208" s="118"/>
      <c r="G208" s="118"/>
      <c r="H208" s="118"/>
      <c r="I208" s="119"/>
      <c r="J208" s="10"/>
      <c r="K208" s="10"/>
    </row>
    <row r="209" spans="1:11" x14ac:dyDescent="0.3">
      <c r="A209" s="10"/>
      <c r="B209" s="10"/>
      <c r="C209" s="135" t="s">
        <v>189</v>
      </c>
      <c r="D209" s="136"/>
      <c r="E209" s="117" t="str">
        <f>CompanyName</f>
        <v>Kiser Car Wash</v>
      </c>
      <c r="F209" s="118"/>
      <c r="G209" s="118"/>
      <c r="H209" s="118"/>
      <c r="I209" s="119"/>
      <c r="J209" s="10"/>
      <c r="K209" s="10"/>
    </row>
    <row r="210" spans="1:11" x14ac:dyDescent="0.3">
      <c r="A210" s="10"/>
      <c r="B210" s="10"/>
      <c r="C210" s="120" t="s">
        <v>130</v>
      </c>
      <c r="D210" s="121"/>
      <c r="E210" s="126" t="str">
        <f>AddressLine1</f>
        <v>200 Clifty Drive</v>
      </c>
      <c r="F210" s="127"/>
      <c r="G210" s="127"/>
      <c r="H210" s="127"/>
      <c r="I210" s="128"/>
      <c r="J210" s="10"/>
      <c r="K210" s="10"/>
    </row>
    <row r="211" spans="1:11" x14ac:dyDescent="0.3">
      <c r="A211" s="10"/>
      <c r="B211" s="10"/>
      <c r="C211" s="122"/>
      <c r="D211" s="123"/>
      <c r="E211" s="129" t="str">
        <f>AddressLine2</f>
        <v>Madison IN 47250</v>
      </c>
      <c r="F211" s="130"/>
      <c r="G211" s="130"/>
      <c r="H211" s="130"/>
      <c r="I211" s="131"/>
      <c r="J211" s="10"/>
      <c r="K211" s="10"/>
    </row>
    <row r="212" spans="1:11" x14ac:dyDescent="0.3">
      <c r="A212" s="10"/>
      <c r="B212" s="10"/>
      <c r="C212" s="124"/>
      <c r="D212" s="125"/>
      <c r="E212" s="132">
        <f>AddressLine3</f>
        <v>0</v>
      </c>
      <c r="F212" s="133"/>
      <c r="G212" s="133"/>
      <c r="H212" s="133"/>
      <c r="I212" s="134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3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3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78055.164008152162</v>
      </c>
      <c r="J217" s="144"/>
      <c r="K217" s="10"/>
    </row>
    <row r="218" spans="1:11" ht="18.5" x14ac:dyDescent="0.45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6" x14ac:dyDescent="0.3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3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41">
        <f>'Input Form'!$D$19</f>
        <v>0.45</v>
      </c>
      <c r="H220" s="142"/>
      <c r="I220" s="20">
        <f>I$217*F220*G220</f>
        <v>175624.11901834238</v>
      </c>
      <c r="J220" s="30">
        <f>IFERROR((I220/I$225),0)</f>
        <v>0.20000000000000004</v>
      </c>
      <c r="K220" s="10"/>
    </row>
    <row r="221" spans="1:11" x14ac:dyDescent="0.3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117082.74601222824</v>
      </c>
      <c r="J221" s="30">
        <f t="shared" ref="J221:J227" si="4">IFERROR((I221/I$225),0)</f>
        <v>0.13333333333333333</v>
      </c>
      <c r="K221" s="10"/>
    </row>
    <row r="222" spans="1:11" x14ac:dyDescent="0.3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175624.11901834235</v>
      </c>
      <c r="J222" s="30">
        <f t="shared" si="4"/>
        <v>0.2</v>
      </c>
      <c r="K222" s="10"/>
    </row>
    <row r="223" spans="1:11" x14ac:dyDescent="0.3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41">
        <f>'Input Form'!$D$22</f>
        <v>0.2</v>
      </c>
      <c r="H223" s="142"/>
      <c r="I223" s="20">
        <f>I$217*F223*G223</f>
        <v>312220.65603260865</v>
      </c>
      <c r="J223" s="30">
        <f t="shared" si="4"/>
        <v>0.35555555555555557</v>
      </c>
      <c r="K223" s="10"/>
    </row>
    <row r="224" spans="1:11" x14ac:dyDescent="0.3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41">
        <f>'Input Form'!$D$23</f>
        <v>0.05</v>
      </c>
      <c r="H224" s="142"/>
      <c r="I224" s="20">
        <f>I$217*F224*G224</f>
        <v>97568.955010190199</v>
      </c>
      <c r="J224" s="30">
        <f t="shared" si="4"/>
        <v>0.11111111111111112</v>
      </c>
      <c r="K224" s="10"/>
    </row>
    <row r="225" spans="1:11" x14ac:dyDescent="0.3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878120.59509171173</v>
      </c>
      <c r="J225" s="30">
        <f t="shared" si="4"/>
        <v>1</v>
      </c>
      <c r="K225" s="10"/>
    </row>
    <row r="226" spans="1:11" x14ac:dyDescent="0.3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-15806.17071165081</v>
      </c>
      <c r="J226" s="30">
        <f t="shared" si="4"/>
        <v>-1.7999999999999999E-2</v>
      </c>
      <c r="K226" s="10"/>
    </row>
    <row r="227" spans="1:11" x14ac:dyDescent="0.3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862314.42438006087</v>
      </c>
      <c r="J227" s="30">
        <f t="shared" si="4"/>
        <v>0.98199999999999998</v>
      </c>
      <c r="K227" s="10"/>
    </row>
    <row r="228" spans="1:11" ht="18.5" x14ac:dyDescent="0.45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3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25869.432731401826</v>
      </c>
      <c r="J229" s="30">
        <f>IFERROR((I229/I$227),0)</f>
        <v>0.03</v>
      </c>
      <c r="K229" s="10"/>
    </row>
    <row r="230" spans="1:11" x14ac:dyDescent="0.3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53822.217112105878</v>
      </c>
      <c r="J230" s="30">
        <f t="shared" ref="J230:J247" si="5">IFERROR((I230/I$227),0)</f>
        <v>6.2415999999999999E-2</v>
      </c>
      <c r="K230" s="10"/>
    </row>
    <row r="231" spans="1:11" x14ac:dyDescent="0.3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8623.1442438006088</v>
      </c>
      <c r="J231" s="30">
        <f t="shared" si="5"/>
        <v>0.01</v>
      </c>
      <c r="K231" s="10"/>
    </row>
    <row r="232" spans="1:11" x14ac:dyDescent="0.3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1.3916037654857851E-2</v>
      </c>
      <c r="K232" s="10"/>
    </row>
    <row r="233" spans="1:11" x14ac:dyDescent="0.3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0.19017100417622546</v>
      </c>
      <c r="K233" s="10"/>
    </row>
    <row r="234" spans="1:11" x14ac:dyDescent="0.3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8623.1442438006088</v>
      </c>
      <c r="J234" s="30">
        <f t="shared" si="5"/>
        <v>0.01</v>
      </c>
      <c r="K234" s="10"/>
    </row>
    <row r="235" spans="1:11" x14ac:dyDescent="0.3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8623.1442438006088</v>
      </c>
      <c r="J235" s="30">
        <f t="shared" si="5"/>
        <v>0.01</v>
      </c>
      <c r="K235" s="10"/>
    </row>
    <row r="236" spans="1:11" x14ac:dyDescent="0.3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12934.716365700913</v>
      </c>
      <c r="J236" s="30">
        <f t="shared" si="5"/>
        <v>1.4999999999999999E-2</v>
      </c>
      <c r="K236" s="10"/>
    </row>
    <row r="237" spans="1:11" x14ac:dyDescent="0.3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8623.1442438006088</v>
      </c>
      <c r="J237" s="30">
        <f t="shared" si="5"/>
        <v>0.01</v>
      </c>
      <c r="K237" s="10"/>
    </row>
    <row r="238" spans="1:11" x14ac:dyDescent="0.3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2.7832075309715702E-2</v>
      </c>
      <c r="K238" s="10"/>
    </row>
    <row r="239" spans="1:11" x14ac:dyDescent="0.3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8623.1442438006088</v>
      </c>
      <c r="J239" s="30">
        <f t="shared" si="5"/>
        <v>0.01</v>
      </c>
      <c r="K239" s="10"/>
    </row>
    <row r="240" spans="1:11" x14ac:dyDescent="0.3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77608.298194205476</v>
      </c>
      <c r="J240" s="30">
        <f t="shared" si="5"/>
        <v>0.09</v>
      </c>
      <c r="K240" s="10"/>
    </row>
    <row r="241" spans="1:11" x14ac:dyDescent="0.3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413337.58562241716</v>
      </c>
      <c r="J241" s="30">
        <f t="shared" si="5"/>
        <v>0.47933511714079902</v>
      </c>
      <c r="K241" s="10"/>
    </row>
    <row r="242" spans="1:11" x14ac:dyDescent="0.3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448976.83875764371</v>
      </c>
      <c r="J242" s="30">
        <f t="shared" si="5"/>
        <v>0.52066488285920098</v>
      </c>
      <c r="K242" s="10"/>
    </row>
    <row r="243" spans="1:11" ht="18.5" x14ac:dyDescent="0.45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3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448976.83875764371</v>
      </c>
      <c r="J247" s="30">
        <f t="shared" si="5"/>
        <v>0.52066488285920098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6" t="s">
        <v>188</v>
      </c>
      <c r="D259" s="116"/>
      <c r="E259" s="117" t="str">
        <f>CustomerName</f>
        <v>Rebekah &amp; Cody Kiser</v>
      </c>
      <c r="F259" s="118"/>
      <c r="G259" s="118"/>
      <c r="H259" s="118"/>
      <c r="I259" s="119"/>
      <c r="J259" s="10"/>
      <c r="K259" s="10"/>
    </row>
    <row r="260" spans="1:11" x14ac:dyDescent="0.3">
      <c r="A260" s="10"/>
      <c r="B260" s="10"/>
      <c r="C260" s="135" t="s">
        <v>189</v>
      </c>
      <c r="D260" s="136"/>
      <c r="E260" s="117" t="str">
        <f>CompanyName</f>
        <v>Kiser Car Wash</v>
      </c>
      <c r="F260" s="118"/>
      <c r="G260" s="118"/>
      <c r="H260" s="118"/>
      <c r="I260" s="119"/>
      <c r="J260" s="10"/>
      <c r="K260" s="10"/>
    </row>
    <row r="261" spans="1:11" x14ac:dyDescent="0.3">
      <c r="A261" s="10"/>
      <c r="B261" s="10"/>
      <c r="C261" s="120" t="s">
        <v>130</v>
      </c>
      <c r="D261" s="121"/>
      <c r="E261" s="126" t="str">
        <f>AddressLine1</f>
        <v>200 Clifty Drive</v>
      </c>
      <c r="F261" s="127"/>
      <c r="G261" s="127"/>
      <c r="H261" s="127"/>
      <c r="I261" s="128"/>
      <c r="J261" s="10"/>
      <c r="K261" s="10"/>
    </row>
    <row r="262" spans="1:11" x14ac:dyDescent="0.3">
      <c r="A262" s="10"/>
      <c r="B262" s="10"/>
      <c r="C262" s="122"/>
      <c r="D262" s="123"/>
      <c r="E262" s="129" t="str">
        <f>AddressLine2</f>
        <v>Madison IN 47250</v>
      </c>
      <c r="F262" s="130"/>
      <c r="G262" s="130"/>
      <c r="H262" s="130"/>
      <c r="I262" s="131"/>
      <c r="J262" s="10"/>
      <c r="K262" s="10"/>
    </row>
    <row r="263" spans="1:11" x14ac:dyDescent="0.3">
      <c r="A263" s="10"/>
      <c r="B263" s="10"/>
      <c r="C263" s="124"/>
      <c r="D263" s="125"/>
      <c r="E263" s="132">
        <f>AddressLine3</f>
        <v>0</v>
      </c>
      <c r="F263" s="133"/>
      <c r="G263" s="133"/>
      <c r="H263" s="133"/>
      <c r="I263" s="134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3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3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84483.236338235292</v>
      </c>
      <c r="J268" s="144"/>
      <c r="K268" s="10"/>
    </row>
    <row r="269" spans="1:11" ht="18.5" x14ac:dyDescent="0.45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6" x14ac:dyDescent="0.3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3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41">
        <f>'Input Form'!$D$19</f>
        <v>0.45</v>
      </c>
      <c r="H271" s="142"/>
      <c r="I271" s="20">
        <f>I$268*F271*G271</f>
        <v>190087.28176102942</v>
      </c>
      <c r="J271" s="30">
        <f>IFERROR((I271/I$276),0)</f>
        <v>0.2</v>
      </c>
      <c r="K271" s="10"/>
    </row>
    <row r="272" spans="1:11" x14ac:dyDescent="0.3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126724.85450735294</v>
      </c>
      <c r="J272" s="30">
        <f t="shared" ref="J272:J278" si="7">IFERROR((I272/I$276),0)</f>
        <v>0.13333333333333333</v>
      </c>
      <c r="K272" s="10"/>
    </row>
    <row r="273" spans="1:11" x14ac:dyDescent="0.3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190087.28176102942</v>
      </c>
      <c r="J273" s="30">
        <f t="shared" si="7"/>
        <v>0.2</v>
      </c>
      <c r="K273" s="10"/>
    </row>
    <row r="274" spans="1:11" x14ac:dyDescent="0.3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41">
        <f>'Input Form'!$D$22</f>
        <v>0.2</v>
      </c>
      <c r="H274" s="142"/>
      <c r="I274" s="20">
        <f t="shared" si="6"/>
        <v>337932.94535294123</v>
      </c>
      <c r="J274" s="30">
        <f t="shared" si="7"/>
        <v>0.35555555555555562</v>
      </c>
      <c r="K274" s="10"/>
    </row>
    <row r="275" spans="1:11" x14ac:dyDescent="0.3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41">
        <f>'Input Form'!$D$23</f>
        <v>0.05</v>
      </c>
      <c r="H275" s="142"/>
      <c r="I275" s="20">
        <f t="shared" si="6"/>
        <v>105604.04542279412</v>
      </c>
      <c r="J275" s="30">
        <f t="shared" si="7"/>
        <v>0.11111111111111112</v>
      </c>
      <c r="K275" s="10"/>
    </row>
    <row r="276" spans="1:11" x14ac:dyDescent="0.3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950436.40880514705</v>
      </c>
      <c r="J276" s="30">
        <f t="shared" si="7"/>
        <v>1</v>
      </c>
      <c r="K276" s="10"/>
    </row>
    <row r="277" spans="1:11" x14ac:dyDescent="0.3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-17107.855358492645</v>
      </c>
      <c r="J277" s="30">
        <f t="shared" si="7"/>
        <v>-1.7999999999999999E-2</v>
      </c>
      <c r="K277" s="10"/>
    </row>
    <row r="278" spans="1:11" x14ac:dyDescent="0.3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933328.55344665435</v>
      </c>
      <c r="J278" s="30">
        <f t="shared" si="7"/>
        <v>0.98199999999999998</v>
      </c>
      <c r="K278" s="10"/>
    </row>
    <row r="279" spans="1:11" ht="18.5" x14ac:dyDescent="0.45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3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27999.856603399629</v>
      </c>
      <c r="J280" s="30">
        <f>IFERROR((I280/I$278),0)</f>
        <v>0.03</v>
      </c>
      <c r="K280" s="10"/>
    </row>
    <row r="281" spans="1:11" x14ac:dyDescent="0.3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58254.634991926374</v>
      </c>
      <c r="J281" s="30">
        <f t="shared" ref="J281:J298" si="8">IFERROR((I281/I$278),0)</f>
        <v>6.2415999999999999E-2</v>
      </c>
      <c r="K281" s="10"/>
    </row>
    <row r="282" spans="1:11" x14ac:dyDescent="0.3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9333.285534466544</v>
      </c>
      <c r="J282" s="30">
        <f t="shared" si="8"/>
        <v>0.01</v>
      </c>
      <c r="K282" s="10"/>
    </row>
    <row r="283" spans="1:11" x14ac:dyDescent="0.3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1.2857208702857795E-2</v>
      </c>
      <c r="K283" s="10"/>
    </row>
    <row r="284" spans="1:11" x14ac:dyDescent="0.3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0.17570147124977348</v>
      </c>
      <c r="K284" s="10"/>
    </row>
    <row r="285" spans="1:11" x14ac:dyDescent="0.3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9333.285534466544</v>
      </c>
      <c r="J285" s="30">
        <f t="shared" si="8"/>
        <v>0.01</v>
      </c>
      <c r="K285" s="10"/>
    </row>
    <row r="286" spans="1:11" x14ac:dyDescent="0.3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9333.285534466544</v>
      </c>
      <c r="J286" s="30">
        <f t="shared" si="8"/>
        <v>0.01</v>
      </c>
      <c r="K286" s="10"/>
    </row>
    <row r="287" spans="1:11" x14ac:dyDescent="0.3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13999.928301699814</v>
      </c>
      <c r="J287" s="30">
        <f t="shared" si="8"/>
        <v>1.4999999999999999E-2</v>
      </c>
      <c r="K287" s="10"/>
    </row>
    <row r="288" spans="1:11" x14ac:dyDescent="0.3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9333.285534466544</v>
      </c>
      <c r="J288" s="30">
        <f t="shared" si="8"/>
        <v>0.01</v>
      </c>
      <c r="K288" s="10"/>
    </row>
    <row r="289" spans="1:11" x14ac:dyDescent="0.3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2.5714417405715589E-2</v>
      </c>
      <c r="K289" s="10"/>
    </row>
    <row r="290" spans="1:11" x14ac:dyDescent="0.3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9333.285534466544</v>
      </c>
      <c r="J290" s="30">
        <f t="shared" si="8"/>
        <v>0.01</v>
      </c>
      <c r="K290" s="10"/>
    </row>
    <row r="291" spans="1:11" x14ac:dyDescent="0.3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83999.569810198882</v>
      </c>
      <c r="J291" s="30">
        <f t="shared" si="8"/>
        <v>0.09</v>
      </c>
      <c r="K291" s="10"/>
    </row>
    <row r="292" spans="1:11" x14ac:dyDescent="0.3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430907.61737955746</v>
      </c>
      <c r="J292" s="30">
        <f t="shared" si="8"/>
        <v>0.4616890973583469</v>
      </c>
      <c r="K292" s="10"/>
    </row>
    <row r="293" spans="1:11" x14ac:dyDescent="0.3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502420.93606709689</v>
      </c>
      <c r="J293" s="30">
        <f t="shared" si="8"/>
        <v>0.53831090264165316</v>
      </c>
      <c r="K293" s="10"/>
    </row>
    <row r="294" spans="1:11" ht="18.5" x14ac:dyDescent="0.45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3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502420.93606709689</v>
      </c>
      <c r="J298" s="30">
        <f t="shared" si="8"/>
        <v>0.53831090264165316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6" t="s">
        <v>188</v>
      </c>
      <c r="D310" s="116"/>
      <c r="E310" s="117" t="str">
        <f>CustomerName</f>
        <v>Rebekah &amp; Cody Kiser</v>
      </c>
      <c r="F310" s="118"/>
      <c r="G310" s="118"/>
      <c r="H310" s="118"/>
      <c r="I310" s="119"/>
      <c r="J310" s="10"/>
      <c r="K310" s="10"/>
    </row>
    <row r="311" spans="1:11" x14ac:dyDescent="0.3">
      <c r="A311" s="10"/>
      <c r="B311" s="10"/>
      <c r="C311" s="135" t="s">
        <v>189</v>
      </c>
      <c r="D311" s="136"/>
      <c r="E311" s="117" t="str">
        <f>CompanyName</f>
        <v>Kiser Car Wash</v>
      </c>
      <c r="F311" s="118"/>
      <c r="G311" s="118"/>
      <c r="H311" s="118"/>
      <c r="I311" s="119"/>
      <c r="J311" s="10"/>
      <c r="K311" s="10"/>
    </row>
    <row r="312" spans="1:11" x14ac:dyDescent="0.3">
      <c r="A312" s="10"/>
      <c r="B312" s="10"/>
      <c r="C312" s="120" t="s">
        <v>130</v>
      </c>
      <c r="D312" s="121"/>
      <c r="E312" s="126" t="str">
        <f>AddressLine1</f>
        <v>200 Clifty Drive</v>
      </c>
      <c r="F312" s="127"/>
      <c r="G312" s="127"/>
      <c r="H312" s="127"/>
      <c r="I312" s="128"/>
      <c r="J312" s="10"/>
      <c r="K312" s="10"/>
    </row>
    <row r="313" spans="1:11" x14ac:dyDescent="0.3">
      <c r="A313" s="10"/>
      <c r="B313" s="10"/>
      <c r="C313" s="122"/>
      <c r="D313" s="123"/>
      <c r="E313" s="129" t="str">
        <f>AddressLine2</f>
        <v>Madison IN 47250</v>
      </c>
      <c r="F313" s="130"/>
      <c r="G313" s="130"/>
      <c r="H313" s="130"/>
      <c r="I313" s="131"/>
      <c r="J313" s="10"/>
      <c r="K313" s="10"/>
    </row>
    <row r="314" spans="1:11" x14ac:dyDescent="0.3">
      <c r="A314" s="10"/>
      <c r="B314" s="10"/>
      <c r="C314" s="124"/>
      <c r="D314" s="125"/>
      <c r="E314" s="132">
        <f>AddressLine3</f>
        <v>0</v>
      </c>
      <c r="F314" s="133"/>
      <c r="G314" s="133"/>
      <c r="H314" s="133"/>
      <c r="I314" s="134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3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3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87574.086448170725</v>
      </c>
      <c r="J319" s="144"/>
      <c r="K319" s="10"/>
    </row>
    <row r="320" spans="1:11" ht="18.5" x14ac:dyDescent="0.45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6" x14ac:dyDescent="0.3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3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41">
        <f>'Input Form'!$D$19</f>
        <v>0.45</v>
      </c>
      <c r="H322" s="142"/>
      <c r="I322" s="20">
        <f>I$319*F322*G322</f>
        <v>197041.69450838413</v>
      </c>
      <c r="J322" s="30">
        <f>IFERROR((I322/I$327),0)</f>
        <v>0.20000000000000004</v>
      </c>
      <c r="K322" s="10"/>
    </row>
    <row r="323" spans="1:11" x14ac:dyDescent="0.3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131361.12967225607</v>
      </c>
      <c r="J323" s="30">
        <f t="shared" ref="J323:J329" si="9">IFERROR((I323/I$327),0)</f>
        <v>0.13333333333333333</v>
      </c>
      <c r="K323" s="10"/>
    </row>
    <row r="324" spans="1:11" x14ac:dyDescent="0.3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197041.69450838413</v>
      </c>
      <c r="J324" s="30">
        <f t="shared" si="9"/>
        <v>0.20000000000000004</v>
      </c>
      <c r="K324" s="10"/>
    </row>
    <row r="325" spans="1:11" x14ac:dyDescent="0.3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41">
        <f>'Input Form'!$D$22</f>
        <v>0.2</v>
      </c>
      <c r="H325" s="142"/>
      <c r="I325" s="20">
        <f>I$319*F325*G325</f>
        <v>350296.3457926829</v>
      </c>
      <c r="J325" s="30">
        <f t="shared" si="9"/>
        <v>0.35555555555555562</v>
      </c>
      <c r="K325" s="10"/>
    </row>
    <row r="326" spans="1:11" x14ac:dyDescent="0.3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41">
        <f>'Input Form'!$D$23</f>
        <v>0.05</v>
      </c>
      <c r="H326" s="142"/>
      <c r="I326" s="20">
        <f>I$319*F326*G326</f>
        <v>109467.60806021342</v>
      </c>
      <c r="J326" s="30">
        <f t="shared" si="9"/>
        <v>0.11111111111111115</v>
      </c>
      <c r="K326" s="10"/>
    </row>
    <row r="327" spans="1:11" x14ac:dyDescent="0.3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985208.47254192049</v>
      </c>
      <c r="J327" s="30">
        <f t="shared" si="9"/>
        <v>1</v>
      </c>
      <c r="K327" s="10"/>
    </row>
    <row r="328" spans="1:11" x14ac:dyDescent="0.3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-17733.752505754568</v>
      </c>
      <c r="J328" s="30">
        <f t="shared" si="9"/>
        <v>-1.7999999999999999E-2</v>
      </c>
      <c r="K328" s="10"/>
    </row>
    <row r="329" spans="1:11" x14ac:dyDescent="0.3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967474.72003616591</v>
      </c>
      <c r="J329" s="30">
        <f t="shared" si="9"/>
        <v>0.98199999999999998</v>
      </c>
      <c r="K329" s="10"/>
    </row>
    <row r="330" spans="1:11" ht="18.5" x14ac:dyDescent="0.45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3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29024.241601084977</v>
      </c>
      <c r="J331" s="30">
        <f>IFERROR((I331/I$329),0)</f>
        <v>0.03</v>
      </c>
      <c r="K331" s="10"/>
    </row>
    <row r="332" spans="1:11" x14ac:dyDescent="0.3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60385.902125777327</v>
      </c>
      <c r="J332" s="30">
        <f t="shared" ref="J332:J344" si="10">IFERROR((I332/I$329),0)</f>
        <v>6.2415999999999999E-2</v>
      </c>
      <c r="K332" s="10"/>
    </row>
    <row r="333" spans="1:11" x14ac:dyDescent="0.3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9674.7472003616585</v>
      </c>
      <c r="J333" s="30">
        <f t="shared" si="10"/>
        <v>0.01</v>
      </c>
      <c r="K333" s="10"/>
    </row>
    <row r="334" spans="1:11" x14ac:dyDescent="0.3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1.2403424866286344E-2</v>
      </c>
      <c r="K334" s="10"/>
    </row>
    <row r="335" spans="1:11" x14ac:dyDescent="0.3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0.16950024285272269</v>
      </c>
      <c r="K335" s="10"/>
    </row>
    <row r="336" spans="1:11" x14ac:dyDescent="0.3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9674.7472003616585</v>
      </c>
      <c r="J336" s="30">
        <f t="shared" si="10"/>
        <v>0.01</v>
      </c>
      <c r="K336" s="10"/>
    </row>
    <row r="337" spans="1:11" x14ac:dyDescent="0.3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9674.7472003616585</v>
      </c>
      <c r="J337" s="30">
        <f t="shared" si="10"/>
        <v>0.01</v>
      </c>
      <c r="K337" s="10"/>
    </row>
    <row r="338" spans="1:11" x14ac:dyDescent="0.3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14512.120800542489</v>
      </c>
      <c r="J338" s="30">
        <f t="shared" si="10"/>
        <v>1.4999999999999999E-2</v>
      </c>
      <c r="K338" s="10"/>
    </row>
    <row r="339" spans="1:11" x14ac:dyDescent="0.3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9674.7472003616585</v>
      </c>
      <c r="J339" s="30">
        <f t="shared" si="10"/>
        <v>0.01</v>
      </c>
      <c r="K339" s="10"/>
    </row>
    <row r="340" spans="1:11" x14ac:dyDescent="0.3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2.4806849732572689E-2</v>
      </c>
      <c r="K340" s="10"/>
    </row>
    <row r="341" spans="1:11" x14ac:dyDescent="0.3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9674.7472003616585</v>
      </c>
      <c r="J341" s="30">
        <f t="shared" si="10"/>
        <v>0.01</v>
      </c>
      <c r="K341" s="10"/>
    </row>
    <row r="342" spans="1:11" x14ac:dyDescent="0.3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87072.724803254925</v>
      </c>
      <c r="J342" s="30">
        <f t="shared" si="10"/>
        <v>0.09</v>
      </c>
      <c r="K342" s="10"/>
    </row>
    <row r="343" spans="1:11" x14ac:dyDescent="0.3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439355.92533246812</v>
      </c>
      <c r="J343" s="30">
        <f t="shared" si="10"/>
        <v>0.45412651745158183</v>
      </c>
      <c r="K343" s="10"/>
    </row>
    <row r="344" spans="1:11" x14ac:dyDescent="0.3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528118.79470369779</v>
      </c>
      <c r="J344" s="30">
        <f t="shared" si="10"/>
        <v>0.54587348254841817</v>
      </c>
      <c r="K344" s="10"/>
    </row>
    <row r="345" spans="1:11" ht="18.5" x14ac:dyDescent="0.45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3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528118.79470369779</v>
      </c>
      <c r="J349" s="30">
        <f t="shared" si="11"/>
        <v>0.54587348254841817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6" t="s">
        <v>188</v>
      </c>
      <c r="D361" s="116"/>
      <c r="E361" s="117" t="str">
        <f>CustomerName</f>
        <v>Rebekah &amp; Cody Kiser</v>
      </c>
      <c r="F361" s="118"/>
      <c r="G361" s="118"/>
      <c r="H361" s="118"/>
      <c r="I361" s="119"/>
      <c r="J361" s="10"/>
      <c r="K361" s="10"/>
    </row>
    <row r="362" spans="1:11" x14ac:dyDescent="0.3">
      <c r="A362" s="10"/>
      <c r="B362" s="10"/>
      <c r="C362" s="135" t="s">
        <v>189</v>
      </c>
      <c r="D362" s="136"/>
      <c r="E362" s="117" t="str">
        <f>CompanyName</f>
        <v>Kiser Car Wash</v>
      </c>
      <c r="F362" s="118"/>
      <c r="G362" s="118"/>
      <c r="H362" s="118"/>
      <c r="I362" s="119"/>
      <c r="J362" s="10"/>
      <c r="K362" s="10"/>
    </row>
    <row r="363" spans="1:11" x14ac:dyDescent="0.3">
      <c r="A363" s="10"/>
      <c r="B363" s="10"/>
      <c r="C363" s="120" t="s">
        <v>130</v>
      </c>
      <c r="D363" s="121"/>
      <c r="E363" s="126" t="str">
        <f>AddressLine1</f>
        <v>200 Clifty Drive</v>
      </c>
      <c r="F363" s="127"/>
      <c r="G363" s="127"/>
      <c r="H363" s="127"/>
      <c r="I363" s="128"/>
      <c r="J363" s="10"/>
      <c r="K363" s="10"/>
    </row>
    <row r="364" spans="1:11" x14ac:dyDescent="0.3">
      <c r="A364" s="10"/>
      <c r="B364" s="10"/>
      <c r="C364" s="122"/>
      <c r="D364" s="123"/>
      <c r="E364" s="129" t="str">
        <f>AddressLine2</f>
        <v>Madison IN 47250</v>
      </c>
      <c r="F364" s="130"/>
      <c r="G364" s="130"/>
      <c r="H364" s="130"/>
      <c r="I364" s="131"/>
      <c r="J364" s="10"/>
      <c r="K364" s="10"/>
    </row>
    <row r="365" spans="1:11" x14ac:dyDescent="0.3">
      <c r="A365" s="10"/>
      <c r="B365" s="10"/>
      <c r="C365" s="124"/>
      <c r="D365" s="125"/>
      <c r="E365" s="132">
        <f>AddressLine3</f>
        <v>0</v>
      </c>
      <c r="F365" s="133"/>
      <c r="G365" s="133"/>
      <c r="H365" s="133"/>
      <c r="I365" s="134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3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3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94487.830115131568</v>
      </c>
      <c r="J370" s="144"/>
      <c r="K370" s="10"/>
    </row>
    <row r="371" spans="1:11" ht="18.5" x14ac:dyDescent="0.45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6" x14ac:dyDescent="0.3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3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41">
        <f>'Input Form'!$D$19</f>
        <v>0.45</v>
      </c>
      <c r="H373" s="142"/>
      <c r="I373" s="20">
        <f>I$370*F373*G373</f>
        <v>212597.61775904603</v>
      </c>
      <c r="J373" s="30">
        <f>IFERROR((I373/I$378),0)</f>
        <v>0.19999999999999998</v>
      </c>
      <c r="K373" s="10"/>
    </row>
    <row r="374" spans="1:11" x14ac:dyDescent="0.3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141731.74517269735</v>
      </c>
      <c r="J374" s="30">
        <f t="shared" ref="J374:J380" si="13">IFERROR((I374/I$378),0)</f>
        <v>0.13333333333333333</v>
      </c>
      <c r="K374" s="10"/>
    </row>
    <row r="375" spans="1:11" x14ac:dyDescent="0.3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212597.61775904603</v>
      </c>
      <c r="J375" s="30">
        <f t="shared" si="13"/>
        <v>0.19999999999999998</v>
      </c>
      <c r="K375" s="10"/>
    </row>
    <row r="376" spans="1:11" x14ac:dyDescent="0.3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41">
        <f>'Input Form'!$D$22</f>
        <v>0.2</v>
      </c>
      <c r="H376" s="142"/>
      <c r="I376" s="20">
        <f t="shared" si="12"/>
        <v>377951.32046052627</v>
      </c>
      <c r="J376" s="30">
        <f t="shared" si="13"/>
        <v>0.35555555555555551</v>
      </c>
      <c r="K376" s="10"/>
    </row>
    <row r="377" spans="1:11" x14ac:dyDescent="0.3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41">
        <f>'Input Form'!$D$23</f>
        <v>0.05</v>
      </c>
      <c r="H377" s="142"/>
      <c r="I377" s="20">
        <f t="shared" si="12"/>
        <v>118109.78764391446</v>
      </c>
      <c r="J377" s="30">
        <f t="shared" si="13"/>
        <v>0.1111111111111111</v>
      </c>
      <c r="K377" s="10"/>
    </row>
    <row r="378" spans="1:11" x14ac:dyDescent="0.3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1062988.0887952303</v>
      </c>
      <c r="J378" s="30">
        <f t="shared" si="13"/>
        <v>1</v>
      </c>
      <c r="K378" s="10"/>
    </row>
    <row r="379" spans="1:11" x14ac:dyDescent="0.3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-19133.785598314142</v>
      </c>
      <c r="J379" s="30">
        <f t="shared" si="13"/>
        <v>-1.7999999999999999E-2</v>
      </c>
      <c r="K379" s="10"/>
    </row>
    <row r="380" spans="1:11" x14ac:dyDescent="0.3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1043854.3031969161</v>
      </c>
      <c r="J380" s="30">
        <f t="shared" si="13"/>
        <v>0.98199999999999998</v>
      </c>
      <c r="K380" s="10"/>
    </row>
    <row r="381" spans="1:11" ht="18.5" x14ac:dyDescent="0.45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3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31315.629095907483</v>
      </c>
      <c r="J382" s="30">
        <f>IFERROR((I382/I$380),0)</f>
        <v>0.03</v>
      </c>
      <c r="K382" s="10"/>
    </row>
    <row r="383" spans="1:11" x14ac:dyDescent="0.3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65153.210188338715</v>
      </c>
      <c r="J383" s="30">
        <f t="shared" ref="J383:J395" si="14">IFERROR((I383/I$380),0)</f>
        <v>6.2415999999999999E-2</v>
      </c>
      <c r="K383" s="10"/>
    </row>
    <row r="384" spans="1:11" x14ac:dyDescent="0.3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10438.543031969162</v>
      </c>
      <c r="J384" s="30">
        <f t="shared" si="14"/>
        <v>0.01</v>
      </c>
      <c r="K384" s="10"/>
    </row>
    <row r="385" spans="1:11" x14ac:dyDescent="0.3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1.1495857193143439E-2</v>
      </c>
      <c r="K385" s="10"/>
    </row>
    <row r="386" spans="1:11" x14ac:dyDescent="0.3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0.15709778605862099</v>
      </c>
      <c r="K386" s="10"/>
    </row>
    <row r="387" spans="1:11" x14ac:dyDescent="0.3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10438.543031969162</v>
      </c>
      <c r="J387" s="30">
        <f t="shared" si="14"/>
        <v>0.01</v>
      </c>
      <c r="K387" s="10"/>
    </row>
    <row r="388" spans="1:11" x14ac:dyDescent="0.3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10438.543031969162</v>
      </c>
      <c r="J388" s="30">
        <f t="shared" si="14"/>
        <v>0.01</v>
      </c>
      <c r="K388" s="10"/>
    </row>
    <row r="389" spans="1:11" x14ac:dyDescent="0.3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15657.814547953742</v>
      </c>
      <c r="J389" s="30">
        <f t="shared" si="14"/>
        <v>1.4999999999999999E-2</v>
      </c>
      <c r="K389" s="10"/>
    </row>
    <row r="390" spans="1:11" x14ac:dyDescent="0.3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10438.543031969162</v>
      </c>
      <c r="J390" s="30">
        <f t="shared" si="14"/>
        <v>0.01</v>
      </c>
      <c r="K390" s="10"/>
    </row>
    <row r="391" spans="1:11" x14ac:dyDescent="0.3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2.2991714386286877E-2</v>
      </c>
      <c r="K391" s="10"/>
    </row>
    <row r="392" spans="1:11" x14ac:dyDescent="0.3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10438.543031969162</v>
      </c>
      <c r="J392" s="30">
        <f t="shared" si="14"/>
        <v>0.01</v>
      </c>
      <c r="K392" s="10"/>
    </row>
    <row r="393" spans="1:11" x14ac:dyDescent="0.3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93946.887287722449</v>
      </c>
      <c r="J393" s="30">
        <f t="shared" si="14"/>
        <v>0.09</v>
      </c>
      <c r="K393" s="10"/>
    </row>
    <row r="394" spans="1:11" x14ac:dyDescent="0.3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458253.4562797682</v>
      </c>
      <c r="J394" s="30">
        <f t="shared" si="14"/>
        <v>0.43900135763805131</v>
      </c>
      <c r="K394" s="10"/>
    </row>
    <row r="395" spans="1:11" x14ac:dyDescent="0.3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585600.84691714798</v>
      </c>
      <c r="J395" s="30">
        <f t="shared" si="14"/>
        <v>0.56099864236194874</v>
      </c>
      <c r="K395" s="10"/>
    </row>
    <row r="396" spans="1:11" ht="18.5" x14ac:dyDescent="0.45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3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585600.84691714798</v>
      </c>
      <c r="J400" s="30">
        <f t="shared" si="15"/>
        <v>0.56099864236194874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6" t="s">
        <v>188</v>
      </c>
      <c r="D412" s="116"/>
      <c r="E412" s="117" t="str">
        <f>CustomerName</f>
        <v>Rebekah &amp; Cody Kiser</v>
      </c>
      <c r="F412" s="118"/>
      <c r="G412" s="118"/>
      <c r="H412" s="118"/>
      <c r="I412" s="119"/>
      <c r="J412" s="10"/>
      <c r="K412" s="10"/>
    </row>
    <row r="413" spans="1:11" x14ac:dyDescent="0.3">
      <c r="A413" s="10"/>
      <c r="B413" s="10"/>
      <c r="C413" s="135" t="s">
        <v>189</v>
      </c>
      <c r="D413" s="136"/>
      <c r="E413" s="117" t="str">
        <f>CompanyName</f>
        <v>Kiser Car Wash</v>
      </c>
      <c r="F413" s="118"/>
      <c r="G413" s="118"/>
      <c r="H413" s="118"/>
      <c r="I413" s="119"/>
      <c r="J413" s="10"/>
      <c r="K413" s="10"/>
    </row>
    <row r="414" spans="1:11" x14ac:dyDescent="0.3">
      <c r="A414" s="10"/>
      <c r="B414" s="10"/>
      <c r="C414" s="120" t="s">
        <v>130</v>
      </c>
      <c r="D414" s="121"/>
      <c r="E414" s="126" t="str">
        <f>AddressLine1</f>
        <v>200 Clifty Drive</v>
      </c>
      <c r="F414" s="127"/>
      <c r="G414" s="127"/>
      <c r="H414" s="127"/>
      <c r="I414" s="128"/>
      <c r="J414" s="10"/>
      <c r="K414" s="10"/>
    </row>
    <row r="415" spans="1:11" x14ac:dyDescent="0.3">
      <c r="A415" s="10"/>
      <c r="B415" s="10"/>
      <c r="C415" s="122"/>
      <c r="D415" s="123"/>
      <c r="E415" s="129" t="str">
        <f>AddressLine2</f>
        <v>Madison IN 47250</v>
      </c>
      <c r="F415" s="130"/>
      <c r="G415" s="130"/>
      <c r="H415" s="130"/>
      <c r="I415" s="131"/>
      <c r="J415" s="10"/>
      <c r="K415" s="10"/>
    </row>
    <row r="416" spans="1:11" x14ac:dyDescent="0.3">
      <c r="A416" s="10"/>
      <c r="B416" s="10"/>
      <c r="C416" s="124"/>
      <c r="D416" s="125"/>
      <c r="E416" s="132">
        <f>AddressLine3</f>
        <v>0</v>
      </c>
      <c r="F416" s="133"/>
      <c r="G416" s="133"/>
      <c r="H416" s="133"/>
      <c r="I416" s="134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3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3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3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3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3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3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3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3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3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2020-07-02T20:03:54Z</cp:lastPrinted>
  <dcterms:created xsi:type="dcterms:W3CDTF">2003-04-06T16:14:55Z</dcterms:created>
  <dcterms:modified xsi:type="dcterms:W3CDTF">2020-09-24T21:05:10Z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