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Thomas Klein\6310 14th St W, Bradenton\"/>
    </mc:Choice>
  </mc:AlternateContent>
  <xr:revisionPtr revIDLastSave="0" documentId="8_{3FD62D75-C324-4E60-8974-D2BFCC8BCB41}" xr6:coauthVersionLast="45" xr6:coauthVersionMax="45" xr10:uidLastSave="{00000000-0000-0000-0000-000000000000}"/>
  <workbookProtection workbookPassword="FB8D" lockStructure="1"/>
  <bookViews>
    <workbookView xWindow="61155" yWindow="337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<sst xmlns="http://schemas.openxmlformats.org/spreadsheetml/2006/main" count="434" uniqueCount="202">
  <si>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</si>
  <si>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</si>
  <si>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</si>
  <si>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</si>
  <si>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</si>
  <si>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</si>
  <si>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</si>
  <si>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</si>
  <si>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</si>
  <si>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</si>
  <si>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</si>
  <si>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</si>
  <si>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</si>
  <si>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</si>
  <si>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</si>
  <si>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</si>
  <si>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</si>
  <si>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</si>
  <si>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</si>
  <si>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</si>
  <si>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</si>
  <si>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</si>
  <si>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</si>
  <si>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</si>
  <si>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</si>
  <si>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</si>
  <si>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</si>
  <si>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</si>
  <si>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</si>
  <si>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</si>
  <si>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</si>
  <si>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</si>
  <si>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</si>
  <si>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</si>
  <si>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</si>
  <si>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</si>
  <si>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</si>
  <si>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</si>
  <si>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</si>
  <si>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</si>
  <si>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</si>
  <si>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</si>
  <si>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</si>
  <si>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</si>
  <si>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</si>
  <si>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</si>
  <si>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</si>
  <si>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</si>
  <si>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</si>
  <si>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</si>
  <si>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</si>
  <si>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</si>
  <si>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</si>
  <si>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</si>
  <si>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</si>
  <si>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</si>
  <si>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</si>
  <si>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</si>
  <si>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</si>
  <si>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</si>
  <si>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</si>
  <si>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</si>
  <si>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</si>
  <si>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</si>
  <si>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</si>
  <si>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</si>
  <si>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</si>
  <si>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</si>
  <si>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</si>
  <si>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</si>
  <si>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</si>
  <si>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</si>
  <si>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</si>
  <si>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</si>
  <si>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</si>
  <si>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</si>
  <si>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</si>
  <si>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</si>
  <si>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</si>
  <si>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</si>
  <si>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</si>
  <si>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</si>
  <si>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</si>
  <si>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</si>
  <si>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</si>
  <si>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</si>
  <si>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</si>
  <si>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</si>
  <si>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</si>
  <si>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</si>
  <si>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</si>
  <si>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</si>
  <si>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</si>
  <si>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</si>
  <si>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</si>
  <si>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</si>
  <si>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</si>
  <si>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</si>
  <si>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</si>
  <si>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</si>
  <si>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</si>
  <si>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</si>
  <si>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</si>
  <si>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</si>
  <si>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</si>
  <si>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</si>
  <si>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</si>
  <si>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</si>
  <si>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</si>
  <si>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</si>
  <si>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</si>
  <si>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</si>
  <si>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</si>
  <si>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</si>
  <si>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</si>
  <si>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</si>
  <si>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</si>
  <si>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</si>
  <si>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</si>
  <si>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</si>
  <si>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</si>
  <si>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</si>
  <si>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</si>
  <si>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</si>
  <si>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</si>
  <si>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</si>
  <si>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</si>
  <si>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</si>
  <si>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</si>
  <si>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</si>
  <si>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</si>
  <si>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</si>
  <si>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</si>
  <si>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</si>
  <si>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</si>
  <si>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</si>
  <si>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</si>
  <si>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</si>
  <si>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</si>
  <si>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</si>
  <si>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</si>
  <si>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</si>
  <si>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</si>
  <si>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</si>
  <si>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</si>
  <si>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</si>
  <si>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</si>
  <si>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</si>
  <si>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</si>
  <si>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</si>
  <si>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</si>
  <si>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</si>
  <si>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</si>
  <si>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</si>
  <si>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</si>
  <si>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</si>
  <si>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</si>
  <si>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</si>
  <si>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</si>
  <si>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</si>
  <si>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</si>
  <si>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</si>
  <si>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</si>
  <si>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</si>
  <si>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</si>
  <si>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</si>
  <si>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</si>
  <si>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</si>
  <si>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</si>
  <si>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</si>
  <si>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</si>
  <si>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</si>
  <si>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</si>
  <si>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</si>
  <si>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</si>
  <si>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</si>
  <si>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</si>
  <si>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</si>
  <si>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</si>
  <si>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</si>
  <si>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</si>
  <si>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</si>
  <si>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</si>
  <si>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</si>
  <si>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</si>
  <si>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</si>
  <si>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</si>
  <si>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</si>
  <si>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</si>
  <si>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</si>
  <si>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</si>
  <si>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</si>
  <si>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</si>
  <si>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</si>
  <si>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</si>
  <si>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</si>
  <si>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</si>
  <si>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</si>
  <si>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Thomas Klein</t>
  </si>
  <si>
    <t>Coastal Express Car Wash</t>
  </si>
  <si>
    <t>6310 14th St. W</t>
  </si>
  <si>
    <t>Bradenton, FL 34207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</si>
</sst>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97" zoomScaleNormal="100" workbookViewId="0">
      <selection activeCell="H55" sqref="H55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0.45600000000000002</v>
      </c>
      <c r="F58" s="61">
        <f>-0.3*(0.55-E58)</f>
        <v>-2.8200000000000006E-2</v>
      </c>
    </row>
    <row r="59" spans="1:8" ht="15.75" x14ac:dyDescent="0.25">
      <c r="A59" s="83" t="s">
        <v>3</v>
      </c>
      <c r="B59" s="84"/>
      <c r="C59" s="84"/>
      <c r="D59" s="85"/>
      <c r="E59" s="45">
        <v>0.56399999999999995</v>
      </c>
      <c r="F59" s="61">
        <f>-0.75*(0.5-E59)</f>
        <v>4.7999999999999959E-2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4.9499999999999883E-3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8.2760588235294124E-3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1.0923369565217391E-2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1.3223026315789473E-2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43116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107049.16567058823</v>
      </c>
      <c r="C74" s="68">
        <f>F65*A70*300</f>
        <v>141291.60065217392</v>
      </c>
      <c r="D74" s="68">
        <f>($F$54*(1+$F$61))/85*($A$70*(1+B$70))*300</f>
        <v>154456.6533247059</v>
      </c>
      <c r="E74" s="68">
        <f>($F$54*(1+$F$61))/82*($A$70*(1+C$70))*300</f>
        <v>160107.50649512195</v>
      </c>
      <c r="F74" s="68">
        <f>F66*(A70*(1+D70)*300)</f>
        <v>172747.57279736843</v>
      </c>
    </row>
    <row r="75" spans="1:6" ht="15.75" x14ac:dyDescent="0.25">
      <c r="A75" s="35" t="s">
        <v>106</v>
      </c>
      <c r="B75" s="68">
        <f>B74/12</f>
        <v>8920.7638058823522</v>
      </c>
      <c r="C75" s="68">
        <f>C74/12</f>
        <v>11774.300054347827</v>
      </c>
      <c r="D75" s="68">
        <f t="shared" ref="D75:F75" si="0">D74/12</f>
        <v>12871.387777058824</v>
      </c>
      <c r="E75" s="68">
        <f t="shared" si="0"/>
        <v>13342.29220792683</v>
      </c>
      <c r="F75" s="68">
        <f t="shared" si="0"/>
        <v>14395.631066447369</v>
      </c>
    </row>
    <row r="76" spans="1:6" ht="15.75" x14ac:dyDescent="0.25">
      <c r="A76" s="35" t="s">
        <v>107</v>
      </c>
      <c r="B76" s="68">
        <f>B75/4.5/7*3</f>
        <v>849.59655294117647</v>
      </c>
      <c r="C76" s="68">
        <f t="shared" ref="C76:F76" si="1">C75/4.5/7*3</f>
        <v>1121.3619099378882</v>
      </c>
      <c r="D76" s="68">
        <f t="shared" si="1"/>
        <v>1225.8464549579833</v>
      </c>
      <c r="E76" s="68">
        <f t="shared" si="1"/>
        <v>1270.6944959930315</v>
      </c>
      <c r="F76" s="68">
        <f t="shared" si="1"/>
        <v>1371.012482518797</v>
      </c>
    </row>
    <row r="77" spans="1:6" ht="15.75" x14ac:dyDescent="0.25">
      <c r="A77" s="35" t="s">
        <v>108</v>
      </c>
      <c r="B77" s="68">
        <f>IFERROR((B76/$B9*1.3),0)</f>
        <v>92.039626568627455</v>
      </c>
      <c r="C77" s="68">
        <f t="shared" ref="C77:F77" si="2">IFERROR((C76/$B9*1.3),0)</f>
        <v>121.48087357660455</v>
      </c>
      <c r="D77" s="68">
        <f t="shared" si="2"/>
        <v>132.80003262044821</v>
      </c>
      <c r="E77" s="68">
        <f t="shared" si="2"/>
        <v>137.65857039924509</v>
      </c>
      <c r="F77" s="68">
        <f t="shared" si="2"/>
        <v>148.5263522728697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A85" zoomScale="130" zoomScaleNormal="100" zoomScalePageLayoutView="130" workbookViewId="0">
      <selection activeCell="H95" sqref="H9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Thomas Klein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Coastal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6310 14th St. W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Bradenton, FL 34207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Thomas Klein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Coastal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6310 14th St. W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Bradenton, FL 34207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2293.553380139002</v>
      </c>
      <c r="J65" s="18">
        <f>'Input Form'!B75</f>
        <v>8920.7638058823522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0.5</v>
      </c>
      <c r="H69" s="140"/>
      <c r="I69" s="20">
        <f>IFERROR((I$65*G69*F69),0)</f>
        <v>5733.8834503475045</v>
      </c>
      <c r="J69" s="20">
        <f>J$65*F69*G69</f>
        <v>22301.90951470588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3440.3300702085025</v>
      </c>
      <c r="J70" s="20">
        <f t="shared" ref="J70:J73" si="0">J$65*F70*G70</f>
        <v>13381.145708823527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5160.4951053127543</v>
      </c>
      <c r="J71" s="20">
        <f t="shared" si="0"/>
        <v>20071.718563235288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18</v>
      </c>
      <c r="G72" s="139">
        <f>'Input Form'!D22</f>
        <v>0.2</v>
      </c>
      <c r="H72" s="140"/>
      <c r="I72" s="20">
        <f t="shared" ref="I72:I73" si="1">I$65*G72*F72</f>
        <v>8256.7921685004076</v>
      </c>
      <c r="J72" s="20">
        <f t="shared" si="0"/>
        <v>32114.749701176468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22591.500794369171</v>
      </c>
      <c r="J74" s="20">
        <f>SUM(J69:J73)</f>
        <v>87869.523487941158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-406.64701429864505</v>
      </c>
      <c r="J75" s="20">
        <f>-(J74*$F75*$G75)</f>
        <v>-1581.6514227829409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22184.853780070527</v>
      </c>
      <c r="J76" s="20">
        <f>SUM(J74:J75)</f>
        <v>86287.872065158212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9.6727000000000007</v>
      </c>
      <c r="J77" s="22">
        <f>J76/(J65+0.000000001)</f>
        <v>9.6726999999989136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665.54561340211581</v>
      </c>
      <c r="J80" s="20">
        <f>$G80*J76</f>
        <v>2588.6361619547461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6.3784771573604085E-2</v>
      </c>
      <c r="H81" s="131"/>
      <c r="I81" s="20">
        <f>G81*I76</f>
        <v>1415.0558307556057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5604.7374839597651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221.84853780070529</v>
      </c>
      <c r="J82" s="20">
        <f>$G82*J76</f>
        <v>862.87872065158217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4.4264434182665964E-2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0.60490005176663997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221.84853780070529</v>
      </c>
      <c r="J85" s="20">
        <f>$G85*J76</f>
        <v>862.87872065158217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221.84853780070529</v>
      </c>
      <c r="J86" s="20">
        <f>$G86*J76</f>
        <v>862.87872065158217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332.7728067010579</v>
      </c>
      <c r="J87" s="20">
        <f>$G87*J76</f>
        <v>1294.318080977373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221.84853780070529</v>
      </c>
      <c r="J88" s="20">
        <f>$G88*J76</f>
        <v>862.87872065158217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8.8528868365331928E-2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221.84853780070529</v>
      </c>
      <c r="J90" s="20">
        <f>$G90*J76</f>
        <v>862.87872065158217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1996.6368402063474</v>
      </c>
      <c r="J91" s="20">
        <f>$G91*J76</f>
        <v>7765.9084858642391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22184.853780068661</v>
      </c>
      <c r="J92" s="20">
        <f>SUM(J80:J91)</f>
        <v>38233.593816014029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1.8662831280380487E-9</v>
      </c>
      <c r="J93" s="24">
        <f>J76-J92</f>
        <v>48054.278249144183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Thomas Klein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Coastal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6310 14th St. W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Bradenton, FL 34207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22184.853780070527</v>
      </c>
      <c r="H138" s="169"/>
      <c r="I138" s="169">
        <f>J76</f>
        <v>86287.872065158212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22184.853780068661</v>
      </c>
      <c r="H139" s="169"/>
      <c r="I139" s="169">
        <f>J92</f>
        <v>38233.593816014029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1.8662831280380487E-9</v>
      </c>
      <c r="H140" s="169"/>
      <c r="I140" s="169">
        <f>J93</f>
        <v>48054.278249144183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1.8662831280380487E-9</v>
      </c>
      <c r="H143" s="169"/>
      <c r="I143" s="169">
        <f>I140-I141-I142</f>
        <v>48054.278249144183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Thomas Klein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Coastal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6310 14th St. W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Bradenton, FL 34207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107049.16567058823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0.5</v>
      </c>
      <c r="H169" s="140"/>
      <c r="I169" s="20">
        <f>I$166*F169*G169</f>
        <v>267622.9141764706</v>
      </c>
      <c r="J169" s="30">
        <f>IFERROR((I169/I$174),0)</f>
        <v>0.25380710659898476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160573.74850588237</v>
      </c>
      <c r="J170" s="30">
        <f t="shared" ref="J170:J176" si="2">IFERROR((I170/I$174),0)</f>
        <v>0.15228426395939085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240860.62275882353</v>
      </c>
      <c r="J171" s="30">
        <f t="shared" si="2"/>
        <v>0.22842639593908626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18</v>
      </c>
      <c r="G172" s="139">
        <f>'Input Form'!$D$22</f>
        <v>0.2</v>
      </c>
      <c r="H172" s="140"/>
      <c r="I172" s="20">
        <f>I$166*F172*G172</f>
        <v>385376.99641411769</v>
      </c>
      <c r="J172" s="30">
        <f t="shared" si="2"/>
        <v>0.36548223350253806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1054434.2818552942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-18979.817073395294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1035454.464781899</v>
      </c>
      <c r="J176" s="30">
        <f t="shared" si="2"/>
        <v>0.9820000000000001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31063.633943456967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66046.226510981898</v>
      </c>
      <c r="J179" s="30">
        <f t="shared" ref="J179:J196" si="3">IFERROR((I179/I$176),0)</f>
        <v>6.3784771573604085E-2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10354.54464781899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1.1589114160155364E-2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0.15837219846701917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10354.54464781899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10354.54464781899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15531.816971728484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10354.54464781899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2.3178228320310728E-2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10354.54464781899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93190.901830370902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457592.50249563326</v>
      </c>
      <c r="J190" s="30">
        <f t="shared" si="3"/>
        <v>0.44192431252108938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577861.9622862658</v>
      </c>
      <c r="J191" s="30">
        <f t="shared" si="3"/>
        <v>0.55807568747891068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577861.9622862658</v>
      </c>
      <c r="J196" s="30">
        <f t="shared" si="3"/>
        <v>0.55807568747891068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Thomas Klein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Coastal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6310 14th St. W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Bradenton, FL 34207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141291.60065217392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0.5</v>
      </c>
      <c r="H220" s="140"/>
      <c r="I220" s="20">
        <f>I$217*F220*G220</f>
        <v>353229.00163043477</v>
      </c>
      <c r="J220" s="30">
        <f>IFERROR((I220/I$225),0)</f>
        <v>0.25380710659898476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211937.40097826085</v>
      </c>
      <c r="J221" s="30">
        <f t="shared" ref="J221:J227" si="4">IFERROR((I221/I$225),0)</f>
        <v>0.15228426395939085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317906.1014673913</v>
      </c>
      <c r="J222" s="30">
        <f t="shared" si="4"/>
        <v>0.22842639593908631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18</v>
      </c>
      <c r="G223" s="139">
        <f>'Input Form'!$D$22</f>
        <v>0.2</v>
      </c>
      <c r="H223" s="140"/>
      <c r="I223" s="20">
        <f>I$217*F223*G223</f>
        <v>508649.76234782609</v>
      </c>
      <c r="J223" s="30">
        <f t="shared" si="4"/>
        <v>0.36548223350253811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1391722.266423913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-25051.000795630433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1366671.2656282824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41000.137968848474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87172.81449430839</v>
      </c>
      <c r="J230" s="30">
        <f t="shared" ref="J230:J247" si="5">IFERROR((I230/I$227),0)</f>
        <v>6.3784771573604085E-2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13666.712656282825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8.7804582578118323E-3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0.11999023036795338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13666.712656282825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13666.712656282825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20500.068984424237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13666.712656282825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1.7560916515623665E-2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13666.712656282825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123000.41390654542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539994.19863554055</v>
      </c>
      <c r="J241" s="30">
        <f t="shared" si="5"/>
        <v>0.39511637671499289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826677.06699274189</v>
      </c>
      <c r="J242" s="30">
        <f t="shared" si="5"/>
        <v>0.60488362328500711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826677.06699274189</v>
      </c>
      <c r="J247" s="30">
        <f t="shared" si="5"/>
        <v>0.60488362328500711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Thomas Klein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Coastal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6310 14th St. W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Bradenton, FL 34207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154456.6533247059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0.5</v>
      </c>
      <c r="H271" s="140"/>
      <c r="I271" s="20">
        <f>I$268*F271*G271</f>
        <v>386141.63331176474</v>
      </c>
      <c r="J271" s="30">
        <f>IFERROR((I271/I$276),0)</f>
        <v>0.25380710659898476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231684.97998705885</v>
      </c>
      <c r="J272" s="30">
        <f t="shared" ref="J272:J278" si="7">IFERROR((I272/I$276),0)</f>
        <v>0.15228426395939085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347527.46998058824</v>
      </c>
      <c r="J273" s="30">
        <f t="shared" si="7"/>
        <v>0.22842639593908626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18</v>
      </c>
      <c r="G274" s="139">
        <f>'Input Form'!$D$22</f>
        <v>0.2</v>
      </c>
      <c r="H274" s="140"/>
      <c r="I274" s="20">
        <f t="shared" si="6"/>
        <v>556043.95196894126</v>
      </c>
      <c r="J274" s="30">
        <f t="shared" si="7"/>
        <v>0.36548223350253806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1521398.0352483531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-27385.164634470351</v>
      </c>
      <c r="J277" s="30">
        <f t="shared" si="7"/>
        <v>-1.7999999999999995E-2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1494012.8706138828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44820.386118416485</v>
      </c>
      <c r="J280" s="30">
        <f>IFERROR((I280/I$278),0)</f>
        <v>3.0000000000000002E-2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95295.269680131023</v>
      </c>
      <c r="J281" s="30">
        <f t="shared" ref="J281:J298" si="8">IFERROR((I281/I$278),0)</f>
        <v>6.3784771573604085E-2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14940.128706138828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8.0320593189195603E-3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0.10976290982862714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14940.128706138828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14940.128706138828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22410.193059208243</v>
      </c>
      <c r="J287" s="30">
        <f t="shared" si="8"/>
        <v>1.5000000000000001E-2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14940.128706138828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1.6064118637839121E-2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14940.128706138828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134461.15835524944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571674.85074369924</v>
      </c>
      <c r="J292" s="30">
        <f t="shared" si="8"/>
        <v>0.38264385935898981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922338.01987018355</v>
      </c>
      <c r="J293" s="30">
        <f t="shared" si="8"/>
        <v>0.61735614064101019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922338.01987018355</v>
      </c>
      <c r="J298" s="30">
        <f t="shared" si="8"/>
        <v>0.61735614064101019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Thomas Klein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Coastal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6310 14th St. W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Bradenton, FL 34207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160107.50649512195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0.5</v>
      </c>
      <c r="H322" s="140"/>
      <c r="I322" s="20">
        <f>I$319*F322*G322</f>
        <v>400268.7662378049</v>
      </c>
      <c r="J322" s="30">
        <f>IFERROR((I322/I$327),0)</f>
        <v>0.25380710659898481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240161.25974268292</v>
      </c>
      <c r="J323" s="30">
        <f t="shared" ref="J323:J329" si="9">IFERROR((I323/I$327),0)</f>
        <v>0.15228426395939085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360241.88961402437</v>
      </c>
      <c r="J324" s="30">
        <f t="shared" si="9"/>
        <v>0.22842639593908629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18</v>
      </c>
      <c r="G325" s="139">
        <f>'Input Form'!$D$22</f>
        <v>0.2</v>
      </c>
      <c r="H325" s="140"/>
      <c r="I325" s="20">
        <f>I$319*F325*G325</f>
        <v>576387.02338243905</v>
      </c>
      <c r="J325" s="30">
        <f t="shared" si="9"/>
        <v>0.36548223350253811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1577058.9389769512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-28387.060901585119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1548671.8780753661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46460.156342260983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98781.681985501666</v>
      </c>
      <c r="J332" s="30">
        <f t="shared" ref="J332:J344" si="10">IFERROR((I332/I$329),0)</f>
        <v>6.3784771573604085E-2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15486.718780753661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7.748574872369459E-3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0.10588892477585209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15486.718780753661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15486.718780753661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23230.078171130492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15486.718780753661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1.5497149744738918E-2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15486.718780753661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139380.46902678296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585273.17942944448</v>
      </c>
      <c r="J343" s="30">
        <f t="shared" si="10"/>
        <v>0.37791942096656461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963398.69864592166</v>
      </c>
      <c r="J344" s="30">
        <f t="shared" si="10"/>
        <v>0.62208057903343539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963398.69864592166</v>
      </c>
      <c r="J349" s="30">
        <f t="shared" si="11"/>
        <v>0.62208057903343539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Thomas Klein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Coastal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6310 14th St. W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Bradenton, FL 34207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172747.57279736843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0.5</v>
      </c>
      <c r="H373" s="140"/>
      <c r="I373" s="20">
        <f>I$370*F373*G373</f>
        <v>431868.93199342105</v>
      </c>
      <c r="J373" s="30">
        <f>IFERROR((I373/I$378),0)</f>
        <v>0.25380710659898476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259121.35919605262</v>
      </c>
      <c r="J374" s="30">
        <f t="shared" ref="J374:J380" si="13">IFERROR((I374/I$378),0)</f>
        <v>0.15228426395939085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388682.03879407898</v>
      </c>
      <c r="J375" s="30">
        <f t="shared" si="13"/>
        <v>0.22842639593908631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18</v>
      </c>
      <c r="G376" s="139">
        <f>'Input Form'!$D$22</f>
        <v>0.2</v>
      </c>
      <c r="H376" s="140"/>
      <c r="I376" s="20">
        <f t="shared" si="12"/>
        <v>621891.26207052637</v>
      </c>
      <c r="J376" s="30">
        <f t="shared" si="13"/>
        <v>0.36548223350253806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1701563.5920540791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-30628.144656973422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1670935.4473971056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50128.063421913168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106580.23582646233</v>
      </c>
      <c r="J383" s="30">
        <f t="shared" ref="J383:J395" si="14">IFERROR((I383/I$380),0)</f>
        <v>6.3784771573604085E-2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16709.354473971056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7.181605979269254E-3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9.8140954670301928E-2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16709.354473971056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16709.354473971056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25064.031710956584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16709.354473971056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1.4363211958538508E-2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16709.354473971056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150384.19026573951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615690.49359492701</v>
      </c>
      <c r="J394" s="30">
        <f t="shared" si="14"/>
        <v>0.36847054418171388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1055244.9538021786</v>
      </c>
      <c r="J395" s="30">
        <f t="shared" si="14"/>
        <v>0.63152945581828612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1055244.9538021786</v>
      </c>
      <c r="J400" s="30">
        <f t="shared" si="15"/>
        <v>0.63152945581828612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Thomas Klein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Coastal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6310 14th St. W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Bradenton, FL 34207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2020-02-07T02:30:04Z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