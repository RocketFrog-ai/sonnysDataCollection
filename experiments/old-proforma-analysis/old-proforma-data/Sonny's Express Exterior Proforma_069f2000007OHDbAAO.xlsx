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Hunter Chambliss\20801 SW Gatlin Blvd., Port St. Lucie\"/>
    </mc:Choice>
  </mc:AlternateContent>
  <xr:revisionPtr revIDLastSave="0" documentId="13_ncr:1_{E596829E-4FA3-447C-8F96-6C704106EFA5}" xr6:coauthVersionLast="43" xr6:coauthVersionMax="43" xr10:uidLastSave="{00000000-0000-0000-0000-000000000000}"/>
  <workbookProtection workbookPassword="FB8D" lockStructure="1"/>
  <bookViews>
    <workbookView xWindow="60330" yWindow="273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<sst xmlns="http://schemas.openxmlformats.org/spreadsheetml/2006/main" count="434" uniqueCount="201">
  <si>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</si>
  <si>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</si>
  <si>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</si>
  <si>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</si>
  <si>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</si>
  <si>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</si>
  <si>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</si>
  <si>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</si>
  <si>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</si>
  <si>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</si>
  <si>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</si>
  <si>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</si>
  <si>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</si>
  <si>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</si>
  <si>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</si>
  <si>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</si>
  <si>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</si>
  <si>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</si>
  <si>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</si>
  <si>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</si>
  <si>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</si>
  <si>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</si>
  <si>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</si>
  <si>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</si>
  <si>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</si>
  <si>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</si>
  <si>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</si>
  <si>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</si>
  <si>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</si>
  <si>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</si>
  <si>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</si>
  <si>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</si>
  <si>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</si>
  <si>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</si>
  <si>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</si>
  <si>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</si>
  <si>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</si>
  <si>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</si>
  <si>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</si>
  <si>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</si>
  <si>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</si>
  <si>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</si>
  <si>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</si>
  <si>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</si>
  <si>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</si>
  <si>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</si>
  <si>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</si>
  <si>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</si>
  <si>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</si>
  <si>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</si>
  <si>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</si>
  <si>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</si>
  <si>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</si>
  <si>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</si>
  <si>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</si>
  <si>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</si>
  <si>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</si>
  <si>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</si>
  <si>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</si>
  <si>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</si>
  <si>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</si>
  <si>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</si>
  <si>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</si>
  <si>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</si>
  <si>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</si>
  <si>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</si>
  <si>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</si>
  <si>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</si>
  <si>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</si>
  <si>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</si>
  <si>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</si>
  <si>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</si>
  <si>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</si>
  <si>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</si>
  <si>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</si>
  <si>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</si>
  <si>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</si>
  <si>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</si>
  <si>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</si>
  <si>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</si>
  <si>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</si>
  <si>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</si>
  <si>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</si>
  <si>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</si>
  <si>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</si>
  <si>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</si>
  <si>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</si>
  <si>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</si>
  <si>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</si>
  <si>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</si>
  <si>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</si>
  <si>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</si>
  <si>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</si>
  <si>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</si>
  <si>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</si>
  <si>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</si>
  <si>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</si>
  <si>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</si>
  <si>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</si>
  <si>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</si>
  <si>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</si>
  <si>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</si>
  <si>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</si>
  <si>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</si>
  <si>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</si>
  <si>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</si>
  <si>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</si>
  <si>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</si>
  <si>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</si>
  <si>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</si>
  <si>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</si>
  <si>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</si>
  <si>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</si>
  <si>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</si>
  <si>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</si>
  <si>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</si>
  <si>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</si>
  <si>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</si>
  <si>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</si>
  <si>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</si>
  <si>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</si>
  <si>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</si>
  <si>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</si>
  <si>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</si>
  <si>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</si>
  <si>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</si>
  <si>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</si>
  <si>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</si>
  <si>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</si>
  <si>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</si>
  <si>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</si>
  <si>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</si>
  <si>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</si>
  <si>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</si>
  <si>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</si>
  <si>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</si>
  <si>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</si>
  <si>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</si>
  <si>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</si>
  <si>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</si>
  <si>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</si>
  <si>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</si>
  <si>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</si>
  <si>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</si>
  <si>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</si>
  <si>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</si>
  <si>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</si>
  <si>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</si>
  <si>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</si>
  <si>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</si>
  <si>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</si>
  <si>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</si>
  <si>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</si>
  <si>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</si>
  <si>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</si>
  <si>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</si>
  <si>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</si>
  <si>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</si>
  <si>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</si>
  <si>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</si>
  <si>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</si>
  <si>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</si>
  <si>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</si>
  <si>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</si>
  <si>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</si>
  <si>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</si>
  <si>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</si>
  <si>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</si>
  <si>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</si>
  <si>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</si>
  <si>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</si>
  <si>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</si>
  <si>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</si>
  <si>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</si>
  <si>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</si>
  <si>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</si>
  <si>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</si>
  <si>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</si>
  <si>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</si>
  <si>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</si>
  <si>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</si>
  <si>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</si>
  <si>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</si>
  <si>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</si>
  <si>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</si>
  <si>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</si>
  <si>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</si>
  <si>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</si>
  <si>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</si>
  <si>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</si>
  <si>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</si>
  <si>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</si>
  <si>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</si>
  <si>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</si>
  <si>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</si>
  <si>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</si>
  <si>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</si>
  <si>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Hunter Chambliss</t>
  </si>
  <si>
    <t>2080 SW Gatlin Blvd.</t>
  </si>
  <si>
    <t>Port St. Lucie, FL 34953</t>
  </si>
  <si>
    <t>Chambliss 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</si>
</sst>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2" zoomScaleNormal="100" workbookViewId="0">
      <selection activeCell="A71" sqref="A7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197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200</v>
      </c>
      <c r="C3" s="86"/>
      <c r="D3" s="87"/>
      <c r="E3" s="34"/>
      <c r="F3" s="34"/>
    </row>
    <row r="4" spans="1:9" ht="15.75" x14ac:dyDescent="0.25">
      <c r="A4" s="35" t="s">
        <v>13</v>
      </c>
      <c r="B4" s="85" t="s">
        <v>198</v>
      </c>
      <c r="C4" s="86"/>
      <c r="D4" s="87"/>
      <c r="E4" s="34"/>
      <c r="F4" s="34"/>
    </row>
    <row r="5" spans="1:9" ht="15.75" x14ac:dyDescent="0.25">
      <c r="A5" s="35" t="s">
        <v>14</v>
      </c>
      <c r="B5" s="85" t="s">
        <v>199</v>
      </c>
      <c r="C5" s="86"/>
      <c r="D5" s="87"/>
      <c r="E5" s="34"/>
      <c r="F5" s="34"/>
    </row>
    <row r="6" spans="1:9" ht="15.75" x14ac:dyDescent="0.25">
      <c r="A6" s="35" t="s">
        <v>16</v>
      </c>
      <c r="B6" s="85"/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0.15</v>
      </c>
      <c r="E22" s="34"/>
      <c r="F22" s="34"/>
    </row>
    <row r="23" spans="1:8" ht="15.75" x14ac:dyDescent="0.25">
      <c r="A23" s="43" t="s">
        <v>31</v>
      </c>
      <c r="B23" s="47">
        <v>22</v>
      </c>
      <c r="C23" s="48">
        <v>1.7869999999999999</v>
      </c>
      <c r="D23" s="45">
        <v>0.1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0.9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2.9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0.504</v>
      </c>
      <c r="F58" s="61">
        <f>-0.3*(0.55-E58)</f>
        <v>-1.3800000000000012E-2</v>
      </c>
    </row>
    <row r="59" spans="1:8" ht="15.75" x14ac:dyDescent="0.25">
      <c r="A59" s="82" t="s">
        <v>3</v>
      </c>
      <c r="B59" s="83"/>
      <c r="C59" s="83"/>
      <c r="D59" s="84"/>
      <c r="E59" s="45">
        <v>0.71899999999999997</v>
      </c>
      <c r="F59" s="61">
        <f>-0.75*(0.5-E59)</f>
        <v>0.16424999999999998</v>
      </c>
    </row>
    <row r="60" spans="1:8" ht="15.75" x14ac:dyDescent="0.25">
      <c r="A60" s="82" t="s">
        <v>4</v>
      </c>
      <c r="B60" s="83"/>
      <c r="C60" s="83"/>
      <c r="D60" s="84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1.8862499999999994E-2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7.5515691176470589E-3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9.9671331521739136E-3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1.2065476973684212E-2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37000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83822.417205882346</v>
      </c>
      <c r="C74" s="68">
        <f>F65*A70*300</f>
        <v>110635.17798913043</v>
      </c>
      <c r="D74" s="68">
        <f>($F$54*(1+$F$61))/85*($A$70*(1+B$70))*300</f>
        <v>122141.23650000001</v>
      </c>
      <c r="E74" s="68">
        <f>($F$54*(1+$F$61))/82*($A$70*(1+C$70))*300</f>
        <v>126609.81832317074</v>
      </c>
      <c r="F74" s="68">
        <f>F66*(A70*(1+D70)*300)</f>
        <v>136605.33029605265</v>
      </c>
    </row>
    <row r="75" spans="1:6" ht="15.75" x14ac:dyDescent="0.25">
      <c r="A75" s="35" t="s">
        <v>106</v>
      </c>
      <c r="B75" s="68">
        <f>B74/12</f>
        <v>6985.2014338235285</v>
      </c>
      <c r="C75" s="68">
        <f>C74/12</f>
        <v>9219.59816576087</v>
      </c>
      <c r="D75" s="68">
        <f t="shared" ref="D75:F75" si="0">D74/12</f>
        <v>10178.436375000001</v>
      </c>
      <c r="E75" s="68">
        <f t="shared" si="0"/>
        <v>10550.818193597561</v>
      </c>
      <c r="F75" s="68">
        <f t="shared" si="0"/>
        <v>11383.777524671053</v>
      </c>
    </row>
    <row r="76" spans="1:6" ht="15.75" x14ac:dyDescent="0.25">
      <c r="A76" s="35" t="s">
        <v>107</v>
      </c>
      <c r="B76" s="68">
        <f>B75/4.5/7*3</f>
        <v>665.25727941176456</v>
      </c>
      <c r="C76" s="68">
        <f t="shared" ref="C76:F76" si="1">C75/4.5/7*3</f>
        <v>878.05696816770205</v>
      </c>
      <c r="D76" s="68">
        <f t="shared" si="1"/>
        <v>969.37489285714298</v>
      </c>
      <c r="E76" s="68">
        <f t="shared" si="1"/>
        <v>1004.8398279616724</v>
      </c>
      <c r="F76" s="68">
        <f t="shared" si="1"/>
        <v>1084.1692880639098</v>
      </c>
    </row>
    <row r="77" spans="1:6" ht="15.75" x14ac:dyDescent="0.25">
      <c r="A77" s="35" t="s">
        <v>108</v>
      </c>
      <c r="B77" s="68">
        <f>IFERROR((B76/$B9*1.3),0)</f>
        <v>72.069538602941165</v>
      </c>
      <c r="C77" s="68">
        <f t="shared" ref="C77:F77" si="2">IFERROR((C76/$B9*1.3),0)</f>
        <v>95.122838218167715</v>
      </c>
      <c r="D77" s="68">
        <f t="shared" si="2"/>
        <v>105.01561339285716</v>
      </c>
      <c r="E77" s="68">
        <f t="shared" si="2"/>
        <v>108.85764802918118</v>
      </c>
      <c r="F77" s="68">
        <f t="shared" si="2"/>
        <v>117.45167287359024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122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0.06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7.0000000000000007E-2</v>
      </c>
      <c r="D90" s="40">
        <v>180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0.06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0.06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0.06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124</v>
      </c>
      <c r="B95" s="79"/>
      <c r="C95" s="79"/>
      <c r="D95" s="79"/>
      <c r="E95" s="79"/>
      <c r="F95" s="80"/>
    </row>
    <row r="96" spans="1:6" ht="15.75" x14ac:dyDescent="0.25">
      <c r="A96" s="91" t="s">
        <v>125</v>
      </c>
      <c r="B96" s="92"/>
      <c r="C96" s="92"/>
      <c r="D96" s="93"/>
      <c r="E96" s="97" t="s">
        <v>127</v>
      </c>
      <c r="F96" s="98"/>
    </row>
    <row r="97" spans="1:8" ht="15.75" x14ac:dyDescent="0.25">
      <c r="A97" s="94" t="s">
        <v>117</v>
      </c>
      <c r="B97" s="95"/>
      <c r="C97" s="95"/>
      <c r="D97" s="96"/>
      <c r="E97" s="99">
        <v>7500</v>
      </c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>
        <v>7500</v>
      </c>
      <c r="F99" s="100"/>
      <c r="H99" s="6"/>
    </row>
    <row r="100" spans="1:8" ht="15.75" x14ac:dyDescent="0.25">
      <c r="A100" s="94" t="s">
        <v>126</v>
      </c>
      <c r="B100" s="95"/>
      <c r="C100" s="95"/>
      <c r="D100" s="96"/>
      <c r="E100" s="101">
        <f>SUM(E97:F99)</f>
        <v>15000</v>
      </c>
      <c r="F100" s="102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1" zoomScale="130" zoomScaleNormal="100" zoomScalePageLayoutView="130" workbookViewId="0">
      <selection activeCell="F4" sqref="F4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Hunter Chambliss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Chambliss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 t="str">
        <f>'Input Form'!B4</f>
        <v>2080 SW Gatlin Blvd.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Port St. Lucie, FL 34953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>
        <f>'Input Form'!B6</f>
        <v>0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196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188</v>
      </c>
      <c r="D56" s="118"/>
      <c r="E56" s="152" t="str">
        <f>CustomerName</f>
        <v>Hunter Chambliss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189</v>
      </c>
      <c r="D57" s="120"/>
      <c r="E57" s="152" t="str">
        <f>CompanyName</f>
        <v>Chambliss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130</v>
      </c>
      <c r="D58" s="122"/>
      <c r="E58" s="159" t="str">
        <f>AddressLine1</f>
        <v>2080 SW Gatlin Blvd.</v>
      </c>
      <c r="F58" s="160"/>
      <c r="G58" s="160"/>
      <c r="H58" s="160"/>
      <c r="I58" s="161"/>
      <c r="J58" s="13"/>
      <c r="K58" s="10"/>
    </row>
    <row r="59" spans="1:11" x14ac:dyDescent="0.2">
      <c r="A59" s="10"/>
      <c r="B59" s="10"/>
      <c r="C59" s="123"/>
      <c r="D59" s="124"/>
      <c r="E59" s="162" t="str">
        <f>AddressLine2</f>
        <v>Port St. Lucie, FL 34953</v>
      </c>
      <c r="F59" s="163"/>
      <c r="G59" s="163"/>
      <c r="H59" s="163"/>
      <c r="I59" s="164"/>
      <c r="J59" s="10"/>
      <c r="K59" s="10"/>
    </row>
    <row r="60" spans="1:11" x14ac:dyDescent="0.2">
      <c r="A60" s="10"/>
      <c r="B60" s="10"/>
      <c r="C60" s="125"/>
      <c r="D60" s="126"/>
      <c r="E60" s="165">
        <f>AddressLine3</f>
        <v>0</v>
      </c>
      <c r="F60" s="166"/>
      <c r="G60" s="166"/>
      <c r="H60" s="166"/>
      <c r="I60" s="167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131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156</v>
      </c>
      <c r="C64" s="109"/>
      <c r="D64" s="109"/>
      <c r="E64" s="109"/>
      <c r="F64" s="109"/>
      <c r="G64" s="109"/>
      <c r="H64" s="109"/>
      <c r="I64" s="17" t="s">
        <v>132</v>
      </c>
      <c r="J64" s="17" t="s">
        <v>168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3826.9357497911728</v>
      </c>
      <c r="J65" s="18">
        <f>'Input Form'!B75</f>
        <v>6985.2014338235285</v>
      </c>
      <c r="K65" s="10"/>
    </row>
    <row r="66" spans="1:15" ht="18.75" x14ac:dyDescent="0.3">
      <c r="A66" s="10"/>
      <c r="B66" s="111" t="s">
        <v>157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137</v>
      </c>
      <c r="C67" s="117"/>
      <c r="D67" s="117"/>
      <c r="E67" s="117"/>
      <c r="F67" s="136" t="s">
        <v>136</v>
      </c>
      <c r="G67" s="113" t="s">
        <v>135</v>
      </c>
      <c r="H67" s="114"/>
      <c r="I67" s="112" t="s">
        <v>134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132</v>
      </c>
      <c r="J68" s="17" t="s">
        <v>168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6</v>
      </c>
      <c r="G69" s="138">
        <f>'Input Form'!D19</f>
        <v>0.5</v>
      </c>
      <c r="H69" s="139"/>
      <c r="I69" s="20">
        <f>IFERROR((I$65*G69*F69),0)</f>
        <v>11480.807249373518</v>
      </c>
      <c r="J69" s="20">
        <f>J$65*F69*G69</f>
        <v>20955.604301470587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10</v>
      </c>
      <c r="G70" s="138">
        <f>'Input Form'!D20</f>
        <v>0.15</v>
      </c>
      <c r="H70" s="139"/>
      <c r="I70" s="20">
        <f>IFERROR((I$65*G70*F70),0)</f>
        <v>5740.403624686759</v>
      </c>
      <c r="J70" s="20">
        <f t="shared" ref="J70:J73" si="0">J$65*F70*G70</f>
        <v>10477.802150735291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15</v>
      </c>
      <c r="G71" s="138">
        <f>'Input Form'!D21</f>
        <v>0.1</v>
      </c>
      <c r="H71" s="139"/>
      <c r="I71" s="20">
        <f>IFERROR((I$65*G71*F71),0)</f>
        <v>5740.4036246867599</v>
      </c>
      <c r="J71" s="20">
        <f t="shared" si="0"/>
        <v>10477.802150735293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20</v>
      </c>
      <c r="G72" s="138">
        <f>'Input Form'!D22</f>
        <v>0.15</v>
      </c>
      <c r="H72" s="139"/>
      <c r="I72" s="20">
        <f t="shared" ref="I72:I73" si="1">I$65*G72*F72</f>
        <v>11480.807249373518</v>
      </c>
      <c r="J72" s="20">
        <f t="shared" si="0"/>
        <v>20955.604301470583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22</v>
      </c>
      <c r="G73" s="138">
        <f>'Input Form'!D23</f>
        <v>0.1</v>
      </c>
      <c r="H73" s="139"/>
      <c r="I73" s="20">
        <f t="shared" si="1"/>
        <v>8419.2586495405812</v>
      </c>
      <c r="J73" s="20">
        <f t="shared" si="0"/>
        <v>15367.443154411763</v>
      </c>
      <c r="K73" s="10"/>
    </row>
    <row r="74" spans="1:15" x14ac:dyDescent="0.2">
      <c r="A74" s="10"/>
      <c r="B74" s="134" t="s">
        <v>138</v>
      </c>
      <c r="C74" s="134"/>
      <c r="D74" s="134"/>
      <c r="E74" s="134"/>
      <c r="F74" s="134"/>
      <c r="G74" s="134"/>
      <c r="H74" s="134"/>
      <c r="I74" s="20">
        <f>SUM(I69:I73)</f>
        <v>42861.680397661141</v>
      </c>
      <c r="J74" s="20">
        <f>SUM(J69:J73)</f>
        <v>78234.256058823521</v>
      </c>
      <c r="K74" s="10"/>
      <c r="O74" s="5"/>
    </row>
    <row r="75" spans="1:15" x14ac:dyDescent="0.2">
      <c r="A75" s="10"/>
      <c r="B75" s="131" t="s">
        <v>139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-771.51024715790038</v>
      </c>
      <c r="J75" s="20">
        <f>-(J74*$F75*$G75)</f>
        <v>-1408.2166090588232</v>
      </c>
      <c r="K75" s="10"/>
      <c r="L75" s="7"/>
    </row>
    <row r="76" spans="1:15" x14ac:dyDescent="0.2">
      <c r="A76" s="10"/>
      <c r="B76" s="134" t="s">
        <v>140</v>
      </c>
      <c r="C76" s="134"/>
      <c r="D76" s="134"/>
      <c r="E76" s="134"/>
      <c r="F76" s="134"/>
      <c r="G76" s="134"/>
      <c r="H76" s="134"/>
      <c r="I76" s="20">
        <f>SUM(I74:I75)</f>
        <v>42090.17015050324</v>
      </c>
      <c r="J76" s="20">
        <f>SUM(J74:J75)</f>
        <v>76826.039449764692</v>
      </c>
      <c r="K76" s="10"/>
      <c r="L76" s="5"/>
      <c r="N76" s="8"/>
    </row>
    <row r="77" spans="1:15" x14ac:dyDescent="0.2">
      <c r="A77" s="10"/>
      <c r="B77" s="134" t="s">
        <v>155</v>
      </c>
      <c r="C77" s="134"/>
      <c r="D77" s="134"/>
      <c r="E77" s="134"/>
      <c r="F77" s="134"/>
      <c r="G77" s="134"/>
      <c r="H77" s="134"/>
      <c r="I77" s="20">
        <f>IFERROR((I76/I65),0)</f>
        <v>10.998400000000002</v>
      </c>
      <c r="J77" s="22">
        <f>J76/(J65+0.000000001)</f>
        <v>10.998399999998425</v>
      </c>
      <c r="K77" s="10"/>
      <c r="M77" s="5"/>
      <c r="N77" s="7"/>
    </row>
    <row r="78" spans="1:15" ht="18.75" x14ac:dyDescent="0.3">
      <c r="A78" s="10"/>
      <c r="B78" s="111" t="s">
        <v>158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141</v>
      </c>
      <c r="C79" s="118"/>
      <c r="D79" s="118"/>
      <c r="E79" s="118"/>
      <c r="F79" s="118"/>
      <c r="G79" s="112" t="s">
        <v>142</v>
      </c>
      <c r="H79" s="112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1" t="s">
        <v>145</v>
      </c>
      <c r="C80" s="132"/>
      <c r="D80" s="132"/>
      <c r="E80" s="132"/>
      <c r="F80" s="133"/>
      <c r="G80" s="127">
        <v>0.03</v>
      </c>
      <c r="H80" s="128"/>
      <c r="I80" s="20">
        <f>$G80*I76</f>
        <v>1262.7051045150972</v>
      </c>
      <c r="J80" s="20">
        <f>$G80*J76</f>
        <v>2304.7811834929407</v>
      </c>
      <c r="K80" s="10"/>
    </row>
    <row r="81" spans="1:12" x14ac:dyDescent="0.2">
      <c r="A81" s="10"/>
      <c r="B81" s="131" t="s">
        <v>143</v>
      </c>
      <c r="C81" s="132"/>
      <c r="D81" s="132"/>
      <c r="E81" s="132"/>
      <c r="F81" s="133"/>
      <c r="G81" s="129">
        <f>IFERROR((J81/J74),0)</f>
        <v>6.2672321428571431E-2</v>
      </c>
      <c r="H81" s="130"/>
      <c r="I81" s="20">
        <f>G81*I76</f>
        <v>2637.888672655602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4903.1224424437496</v>
      </c>
      <c r="K81" s="10"/>
    </row>
    <row r="82" spans="1:12" x14ac:dyDescent="0.2">
      <c r="A82" s="10"/>
      <c r="B82" s="131" t="s">
        <v>146</v>
      </c>
      <c r="C82" s="132"/>
      <c r="D82" s="132"/>
      <c r="E82" s="132"/>
      <c r="F82" s="133"/>
      <c r="G82" s="127">
        <v>0.01</v>
      </c>
      <c r="H82" s="128"/>
      <c r="I82" s="20">
        <f>$G82*I76</f>
        <v>420.90170150503241</v>
      </c>
      <c r="J82" s="20">
        <f>$G82*J76</f>
        <v>768.26039449764698</v>
      </c>
      <c r="K82" s="10"/>
    </row>
    <row r="83" spans="1:12" x14ac:dyDescent="0.2">
      <c r="A83" s="10"/>
      <c r="B83" s="131" t="s">
        <v>152</v>
      </c>
      <c r="C83" s="132"/>
      <c r="D83" s="132"/>
      <c r="E83" s="132"/>
      <c r="F83" s="133"/>
      <c r="G83" s="129">
        <f>IFERROR((I83/I74),0)</f>
        <v>2.3330863156139057E-2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0.31883024354653394</v>
      </c>
      <c r="H84" s="130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1" t="s">
        <v>147</v>
      </c>
      <c r="C85" s="132"/>
      <c r="D85" s="132"/>
      <c r="E85" s="132"/>
      <c r="F85" s="133"/>
      <c r="G85" s="127">
        <v>0.01</v>
      </c>
      <c r="H85" s="128"/>
      <c r="I85" s="20">
        <f>$G85*I76</f>
        <v>420.90170150503241</v>
      </c>
      <c r="J85" s="20">
        <f>$G85*J76</f>
        <v>768.26039449764698</v>
      </c>
      <c r="K85" s="10"/>
    </row>
    <row r="86" spans="1:12" x14ac:dyDescent="0.2">
      <c r="A86" s="10"/>
      <c r="B86" s="131" t="s">
        <v>148</v>
      </c>
      <c r="C86" s="132"/>
      <c r="D86" s="132"/>
      <c r="E86" s="132"/>
      <c r="F86" s="133"/>
      <c r="G86" s="127">
        <v>0.01</v>
      </c>
      <c r="H86" s="128"/>
      <c r="I86" s="20">
        <f>$G86*I76</f>
        <v>420.90170150503241</v>
      </c>
      <c r="J86" s="20">
        <f>$G86*J76</f>
        <v>768.26039449764698</v>
      </c>
      <c r="K86" s="10"/>
    </row>
    <row r="87" spans="1:12" x14ac:dyDescent="0.2">
      <c r="A87" s="10"/>
      <c r="B87" s="131" t="s">
        <v>150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631.35255225754861</v>
      </c>
      <c r="J87" s="20">
        <f>$G87*J76</f>
        <v>1152.3905917464704</v>
      </c>
      <c r="K87" s="10"/>
    </row>
    <row r="88" spans="1:12" x14ac:dyDescent="0.2">
      <c r="A88" s="10"/>
      <c r="B88" s="131" t="s">
        <v>153</v>
      </c>
      <c r="C88" s="132"/>
      <c r="D88" s="132"/>
      <c r="E88" s="132"/>
      <c r="F88" s="133"/>
      <c r="G88" s="127">
        <v>0.01</v>
      </c>
      <c r="H88" s="128"/>
      <c r="I88" s="20">
        <f>$G88*I76</f>
        <v>420.90170150503241</v>
      </c>
      <c r="J88" s="20">
        <f>$G88*J76</f>
        <v>768.26039449764698</v>
      </c>
      <c r="K88" s="10"/>
    </row>
    <row r="89" spans="1:12" x14ac:dyDescent="0.2">
      <c r="A89" s="10"/>
      <c r="B89" s="131" t="s">
        <v>151</v>
      </c>
      <c r="C89" s="132"/>
      <c r="D89" s="132"/>
      <c r="E89" s="132"/>
      <c r="F89" s="133"/>
      <c r="G89" s="129">
        <f>IFERROR((I89/I74),0)</f>
        <v>4.6661726312278114E-2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149</v>
      </c>
      <c r="C90" s="132"/>
      <c r="D90" s="132"/>
      <c r="E90" s="132"/>
      <c r="F90" s="133"/>
      <c r="G90" s="127">
        <v>0.01</v>
      </c>
      <c r="H90" s="128"/>
      <c r="I90" s="20">
        <f>$G90*I76</f>
        <v>420.90170150503241</v>
      </c>
      <c r="J90" s="20">
        <f>$G90*J76</f>
        <v>768.26039449764698</v>
      </c>
      <c r="K90" s="10"/>
      <c r="L90" s="5"/>
    </row>
    <row r="91" spans="1:12" x14ac:dyDescent="0.2">
      <c r="A91" s="10"/>
      <c r="B91" s="131" t="s">
        <v>144</v>
      </c>
      <c r="C91" s="132"/>
      <c r="D91" s="132"/>
      <c r="E91" s="132"/>
      <c r="F91" s="133"/>
      <c r="G91" s="127">
        <v>0.09</v>
      </c>
      <c r="H91" s="128"/>
      <c r="I91" s="20">
        <f>$G91*I76</f>
        <v>3788.1153135452914</v>
      </c>
      <c r="J91" s="20">
        <f>$G91*J76</f>
        <v>6914.3435504788222</v>
      </c>
      <c r="K91" s="10"/>
      <c r="L91" s="5"/>
    </row>
    <row r="92" spans="1:12" x14ac:dyDescent="0.2">
      <c r="A92" s="10"/>
      <c r="B92" s="134" t="s">
        <v>154</v>
      </c>
      <c r="C92" s="134"/>
      <c r="D92" s="134"/>
      <c r="E92" s="134"/>
      <c r="F92" s="134"/>
      <c r="G92" s="134"/>
      <c r="H92" s="134"/>
      <c r="I92" s="20">
        <f>SUM(I80:I91)</f>
        <v>27090.170150498707</v>
      </c>
      <c r="J92" s="20">
        <f>SUM(J80:J91)</f>
        <v>35781.539740650223</v>
      </c>
      <c r="K92" s="10"/>
    </row>
    <row r="93" spans="1:12" x14ac:dyDescent="0.2">
      <c r="A93" s="10"/>
      <c r="B93" s="118" t="s">
        <v>159</v>
      </c>
      <c r="C93" s="118"/>
      <c r="D93" s="118"/>
      <c r="E93" s="118"/>
      <c r="F93" s="118"/>
      <c r="G93" s="118"/>
      <c r="H93" s="118"/>
      <c r="I93" s="24">
        <f>I76-I92</f>
        <v>15000.000000004533</v>
      </c>
      <c r="J93" s="24">
        <f>J76-J92</f>
        <v>41044.499709114469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188</v>
      </c>
      <c r="D108" s="118"/>
      <c r="E108" s="152" t="str">
        <f>CustomerName</f>
        <v>Hunter Chambliss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189</v>
      </c>
      <c r="D109" s="120"/>
      <c r="E109" s="152" t="str">
        <f>CompanyName</f>
        <v>Chambliss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130</v>
      </c>
      <c r="D110" s="122"/>
      <c r="E110" s="159" t="str">
        <f>AddressLine1</f>
        <v>2080 SW Gatlin Blvd.</v>
      </c>
      <c r="F110" s="160"/>
      <c r="G110" s="160"/>
      <c r="H110" s="160"/>
      <c r="I110" s="161"/>
      <c r="J110" s="10"/>
      <c r="K110" s="10"/>
    </row>
    <row r="111" spans="1:11" x14ac:dyDescent="0.2">
      <c r="A111" s="10"/>
      <c r="B111" s="10"/>
      <c r="C111" s="123"/>
      <c r="D111" s="124"/>
      <c r="E111" s="162" t="str">
        <f>AddressLine2</f>
        <v>Port St. Lucie, FL 34953</v>
      </c>
      <c r="F111" s="163"/>
      <c r="G111" s="163"/>
      <c r="H111" s="163"/>
      <c r="I111" s="164"/>
      <c r="J111" s="10"/>
      <c r="K111" s="10"/>
    </row>
    <row r="112" spans="1:11" x14ac:dyDescent="0.2">
      <c r="A112" s="10"/>
      <c r="B112" s="10"/>
      <c r="C112" s="125"/>
      <c r="D112" s="126"/>
      <c r="E112" s="165">
        <f>AddressLine3</f>
        <v>0</v>
      </c>
      <c r="F112" s="166"/>
      <c r="G112" s="166"/>
      <c r="H112" s="166"/>
      <c r="I112" s="167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131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7">
        <f>'Input Form'!E81</f>
        <v>0</v>
      </c>
      <c r="H117" s="158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7">
        <f>'Input Form'!E82</f>
        <v>0</v>
      </c>
      <c r="H118" s="158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7">
        <f>'Input Form'!E83</f>
        <v>0</v>
      </c>
      <c r="H119" s="158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7">
        <f>'Input Form'!E84</f>
        <v>0</v>
      </c>
      <c r="H120" s="158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160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7">
        <f>'Input Form'!E85</f>
        <v>0</v>
      </c>
      <c r="H121" s="158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161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7">
        <f>'Input Form'!E86</f>
        <v>0</v>
      </c>
      <c r="H122" s="158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122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9" t="s">
        <v>128</v>
      </c>
      <c r="F124" s="170"/>
      <c r="G124" s="156" t="s">
        <v>162</v>
      </c>
      <c r="H124" s="156"/>
      <c r="I124" s="156" t="s">
        <v>127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0.06</v>
      </c>
      <c r="F125" s="108"/>
      <c r="G125" s="139">
        <f>'Input Form'!D89</f>
        <v>240</v>
      </c>
      <c r="H125" s="139"/>
      <c r="I125" s="168">
        <f>'Input Form'!F89</f>
        <v>0</v>
      </c>
      <c r="J125" s="168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7.0000000000000007E-2</v>
      </c>
      <c r="F126" s="108"/>
      <c r="G126" s="139">
        <f>'Input Form'!D90</f>
        <v>180</v>
      </c>
      <c r="H126" s="139"/>
      <c r="I126" s="168">
        <f>'Input Form'!F90</f>
        <v>0</v>
      </c>
      <c r="J126" s="168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0.06</v>
      </c>
      <c r="F127" s="108"/>
      <c r="G127" s="139">
        <f>'Input Form'!D91</f>
        <v>240</v>
      </c>
      <c r="H127" s="139"/>
      <c r="I127" s="168">
        <f>'Input Form'!F91</f>
        <v>0</v>
      </c>
      <c r="J127" s="168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0.06</v>
      </c>
      <c r="F128" s="108"/>
      <c r="G128" s="139">
        <f>'Input Form'!D92</f>
        <v>240</v>
      </c>
      <c r="H128" s="139"/>
      <c r="I128" s="168">
        <f>'Input Form'!F92</f>
        <v>0</v>
      </c>
      <c r="J128" s="168"/>
      <c r="K128" s="10"/>
    </row>
    <row r="129" spans="1:11" x14ac:dyDescent="0.2">
      <c r="A129" s="10"/>
      <c r="B129" s="27" t="s">
        <v>160</v>
      </c>
      <c r="C129" s="155">
        <f>'Input Form'!B93</f>
        <v>0</v>
      </c>
      <c r="D129" s="139"/>
      <c r="E129" s="107">
        <f>'Input Form'!C93</f>
        <v>0.06</v>
      </c>
      <c r="F129" s="108"/>
      <c r="G129" s="139">
        <f>'Input Form'!D93</f>
        <v>240</v>
      </c>
      <c r="H129" s="139"/>
      <c r="I129" s="168">
        <f>'Input Form'!F93</f>
        <v>0</v>
      </c>
      <c r="J129" s="168"/>
      <c r="K129" s="10"/>
    </row>
    <row r="130" spans="1:11" x14ac:dyDescent="0.2">
      <c r="A130" s="10"/>
      <c r="B130" s="27" t="s">
        <v>123</v>
      </c>
      <c r="C130" s="155">
        <f>'Input Form'!B94</f>
        <v>0</v>
      </c>
      <c r="D130" s="139"/>
      <c r="E130" s="171"/>
      <c r="F130" s="172"/>
      <c r="G130" s="172"/>
      <c r="H130" s="173"/>
      <c r="I130" s="168">
        <f>'Input Form'!F94</f>
        <v>0</v>
      </c>
      <c r="J130" s="168"/>
      <c r="K130" s="10"/>
    </row>
    <row r="131" spans="1:11" ht="18.75" x14ac:dyDescent="0.3">
      <c r="A131" s="10"/>
      <c r="B131" s="111" t="s">
        <v>124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125</v>
      </c>
      <c r="C132" s="118"/>
      <c r="D132" s="118"/>
      <c r="E132" s="118"/>
      <c r="F132" s="118"/>
      <c r="G132" s="118"/>
      <c r="H132" s="118"/>
      <c r="I132" s="112" t="s">
        <v>127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8">
        <f>'Input Form'!E97</f>
        <v>7500</v>
      </c>
      <c r="J133" s="168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8">
        <f>'Input Form'!E98</f>
        <v>0</v>
      </c>
      <c r="J134" s="168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8">
        <f>'Input Form'!E99</f>
        <v>7500</v>
      </c>
      <c r="J135" s="168"/>
      <c r="K135" s="10"/>
    </row>
    <row r="136" spans="1:11" x14ac:dyDescent="0.2">
      <c r="A136" s="10"/>
      <c r="B136" s="134" t="s">
        <v>126</v>
      </c>
      <c r="C136" s="134"/>
      <c r="D136" s="134"/>
      <c r="E136" s="134"/>
      <c r="F136" s="134"/>
      <c r="G136" s="134"/>
      <c r="H136" s="134"/>
      <c r="I136" s="168">
        <f>'Input Form'!E100</f>
        <v>15000</v>
      </c>
      <c r="J136" s="168"/>
      <c r="K136" s="10"/>
    </row>
    <row r="137" spans="1:11" ht="18.75" x14ac:dyDescent="0.3">
      <c r="A137" s="10"/>
      <c r="B137" s="176" t="s">
        <v>163</v>
      </c>
      <c r="C137" s="177"/>
      <c r="D137" s="177"/>
      <c r="E137" s="177"/>
      <c r="F137" s="177"/>
      <c r="G137" s="174" t="s">
        <v>132</v>
      </c>
      <c r="H137" s="174"/>
      <c r="I137" s="174" t="s">
        <v>168</v>
      </c>
      <c r="J137" s="175"/>
      <c r="K137" s="10"/>
    </row>
    <row r="138" spans="1:11" x14ac:dyDescent="0.2">
      <c r="A138" s="10"/>
      <c r="B138" s="134" t="s">
        <v>140</v>
      </c>
      <c r="C138" s="134"/>
      <c r="D138" s="134"/>
      <c r="E138" s="134"/>
      <c r="F138" s="134"/>
      <c r="G138" s="168">
        <f>I76</f>
        <v>42090.17015050324</v>
      </c>
      <c r="H138" s="168"/>
      <c r="I138" s="168">
        <f>J76</f>
        <v>76826.039449764692</v>
      </c>
      <c r="J138" s="168"/>
      <c r="K138" s="10"/>
    </row>
    <row r="139" spans="1:11" x14ac:dyDescent="0.2">
      <c r="A139" s="10"/>
      <c r="B139" s="134" t="s">
        <v>164</v>
      </c>
      <c r="C139" s="134"/>
      <c r="D139" s="134"/>
      <c r="E139" s="134"/>
      <c r="F139" s="134"/>
      <c r="G139" s="168">
        <f>I92</f>
        <v>27090.170150498707</v>
      </c>
      <c r="H139" s="168"/>
      <c r="I139" s="168">
        <f>J92</f>
        <v>35781.539740650223</v>
      </c>
      <c r="J139" s="168"/>
      <c r="K139" s="10"/>
    </row>
    <row r="140" spans="1:11" x14ac:dyDescent="0.2">
      <c r="A140" s="10"/>
      <c r="B140" s="134" t="s">
        <v>159</v>
      </c>
      <c r="C140" s="134"/>
      <c r="D140" s="134"/>
      <c r="E140" s="134"/>
      <c r="F140" s="134"/>
      <c r="G140" s="168">
        <f>G138-G139</f>
        <v>15000.000000004533</v>
      </c>
      <c r="H140" s="168"/>
      <c r="I140" s="168">
        <f>J93</f>
        <v>41044.499709114469</v>
      </c>
      <c r="J140" s="168"/>
      <c r="K140" s="10"/>
    </row>
    <row r="141" spans="1:11" x14ac:dyDescent="0.2">
      <c r="A141" s="10"/>
      <c r="B141" s="134" t="s">
        <v>165</v>
      </c>
      <c r="C141" s="134"/>
      <c r="D141" s="134"/>
      <c r="E141" s="134"/>
      <c r="F141" s="134"/>
      <c r="G141" s="168">
        <f>I130</f>
        <v>0</v>
      </c>
      <c r="H141" s="168"/>
      <c r="I141" s="168">
        <f>I130</f>
        <v>0</v>
      </c>
      <c r="J141" s="168"/>
      <c r="K141" s="10"/>
    </row>
    <row r="142" spans="1:11" x14ac:dyDescent="0.2">
      <c r="A142" s="10"/>
      <c r="B142" s="134" t="s">
        <v>166</v>
      </c>
      <c r="C142" s="134"/>
      <c r="D142" s="134"/>
      <c r="E142" s="134"/>
      <c r="F142" s="134"/>
      <c r="G142" s="168">
        <f>I136</f>
        <v>15000</v>
      </c>
      <c r="H142" s="168"/>
      <c r="I142" s="168">
        <f>I136</f>
        <v>15000</v>
      </c>
      <c r="J142" s="168"/>
      <c r="K142" s="10"/>
    </row>
    <row r="143" spans="1:11" x14ac:dyDescent="0.2">
      <c r="A143" s="10"/>
      <c r="B143" s="134" t="s">
        <v>167</v>
      </c>
      <c r="C143" s="134"/>
      <c r="D143" s="134"/>
      <c r="E143" s="134"/>
      <c r="F143" s="134"/>
      <c r="G143" s="168">
        <f>G140-G141-G142</f>
        <v>4.5329215936362743E-9</v>
      </c>
      <c r="H143" s="168"/>
      <c r="I143" s="168">
        <f>I140-I141-I142</f>
        <v>26044.499709114469</v>
      </c>
      <c r="J143" s="168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188</v>
      </c>
      <c r="D157" s="118"/>
      <c r="E157" s="152" t="str">
        <f>CustomerName</f>
        <v>Hunter Chambliss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189</v>
      </c>
      <c r="D158" s="120"/>
      <c r="E158" s="152" t="str">
        <f>CompanyName</f>
        <v>Chambliss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130</v>
      </c>
      <c r="D159" s="122"/>
      <c r="E159" s="159" t="str">
        <f>AddressLine1</f>
        <v>2080 SW Gatlin Blvd.</v>
      </c>
      <c r="F159" s="160"/>
      <c r="G159" s="160"/>
      <c r="H159" s="160"/>
      <c r="I159" s="161"/>
      <c r="J159" s="10"/>
      <c r="K159" s="10"/>
    </row>
    <row r="160" spans="1:11" x14ac:dyDescent="0.2">
      <c r="A160" s="10"/>
      <c r="B160" s="10"/>
      <c r="C160" s="123"/>
      <c r="D160" s="124"/>
      <c r="E160" s="162" t="str">
        <f>AddressLine2</f>
        <v>Port St. Lucie, FL 34953</v>
      </c>
      <c r="F160" s="163"/>
      <c r="G160" s="163"/>
      <c r="H160" s="163"/>
      <c r="I160" s="164"/>
      <c r="J160" s="10"/>
      <c r="K160" s="10"/>
    </row>
    <row r="161" spans="1:11" x14ac:dyDescent="0.2">
      <c r="A161" s="10"/>
      <c r="B161" s="10"/>
      <c r="C161" s="125"/>
      <c r="D161" s="126"/>
      <c r="E161" s="165">
        <f>AddressLine3</f>
        <v>0</v>
      </c>
      <c r="F161" s="166"/>
      <c r="G161" s="166"/>
      <c r="H161" s="166"/>
      <c r="I161" s="167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190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169</v>
      </c>
      <c r="C165" s="111"/>
      <c r="D165" s="111"/>
      <c r="E165" s="111"/>
      <c r="F165" s="111"/>
      <c r="G165" s="111"/>
      <c r="H165" s="111"/>
      <c r="I165" s="17" t="s">
        <v>168</v>
      </c>
      <c r="J165" s="178" t="s">
        <v>170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83822.417205882346</v>
      </c>
      <c r="J166" s="178"/>
      <c r="K166" s="10"/>
    </row>
    <row r="167" spans="1:11" ht="18.75" x14ac:dyDescent="0.3">
      <c r="A167" s="10"/>
      <c r="B167" s="179" t="s">
        <v>157</v>
      </c>
      <c r="C167" s="179"/>
      <c r="D167" s="179"/>
      <c r="E167" s="179"/>
      <c r="F167" s="179"/>
      <c r="G167" s="179"/>
      <c r="H167" s="179"/>
      <c r="I167" s="179"/>
      <c r="J167" s="179"/>
      <c r="K167" s="10"/>
    </row>
    <row r="168" spans="1:11" ht="25.5" customHeight="1" x14ac:dyDescent="0.2">
      <c r="A168" s="10"/>
      <c r="B168" s="112" t="s">
        <v>137</v>
      </c>
      <c r="C168" s="112"/>
      <c r="D168" s="112"/>
      <c r="E168" s="112"/>
      <c r="F168" s="29" t="s">
        <v>136</v>
      </c>
      <c r="G168" s="178" t="s">
        <v>135</v>
      </c>
      <c r="H168" s="178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6</v>
      </c>
      <c r="G169" s="138">
        <f>'Input Form'!$D$19</f>
        <v>0.5</v>
      </c>
      <c r="H169" s="139"/>
      <c r="I169" s="20">
        <f>I$166*F169*G169</f>
        <v>251467.25161764704</v>
      </c>
      <c r="J169" s="30">
        <f>IFERROR((I169/I$174),0)</f>
        <v>0.26785714285714285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10</v>
      </c>
      <c r="G170" s="138">
        <f>'Input Form'!$D$20</f>
        <v>0.15</v>
      </c>
      <c r="H170" s="139"/>
      <c r="I170" s="20">
        <f>I$166*F170*G170</f>
        <v>125733.62580882352</v>
      </c>
      <c r="J170" s="30">
        <f t="shared" ref="J170:J176" si="2">IFERROR((I170/I$174),0)</f>
        <v>0.13392857142857142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15</v>
      </c>
      <c r="G171" s="138">
        <f>'Input Form'!$D$21</f>
        <v>0.1</v>
      </c>
      <c r="H171" s="139"/>
      <c r="I171" s="20">
        <f>I$166*F171*G171</f>
        <v>125733.62580882353</v>
      </c>
      <c r="J171" s="30">
        <f t="shared" si="2"/>
        <v>0.13392857142857142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20</v>
      </c>
      <c r="G172" s="138">
        <f>'Input Form'!$D$22</f>
        <v>0.15</v>
      </c>
      <c r="H172" s="139"/>
      <c r="I172" s="20">
        <f>I$166*F172*G172</f>
        <v>251467.25161764704</v>
      </c>
      <c r="J172" s="30">
        <f t="shared" si="2"/>
        <v>0.26785714285714285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22</v>
      </c>
      <c r="G173" s="138">
        <f>'Input Form'!$D$23</f>
        <v>0.1</v>
      </c>
      <c r="H173" s="139"/>
      <c r="I173" s="20">
        <f>I$166*F173*G173</f>
        <v>184409.31785294117</v>
      </c>
      <c r="J173" s="30">
        <f t="shared" si="2"/>
        <v>0.19642857142857142</v>
      </c>
      <c r="K173" s="10"/>
    </row>
    <row r="174" spans="1:11" x14ac:dyDescent="0.2">
      <c r="A174" s="10"/>
      <c r="B174" s="134" t="s">
        <v>138</v>
      </c>
      <c r="C174" s="134"/>
      <c r="D174" s="134"/>
      <c r="E174" s="134"/>
      <c r="F174" s="134"/>
      <c r="G174" s="134"/>
      <c r="H174" s="134"/>
      <c r="I174" s="20">
        <f>SUM(I169:I173)</f>
        <v>938811.07270588237</v>
      </c>
      <c r="J174" s="30">
        <f t="shared" si="2"/>
        <v>1</v>
      </c>
      <c r="K174" s="10"/>
    </row>
    <row r="175" spans="1:11" x14ac:dyDescent="0.2">
      <c r="A175" s="10"/>
      <c r="B175" s="134" t="s">
        <v>139</v>
      </c>
      <c r="C175" s="134"/>
      <c r="D175" s="134"/>
      <c r="E175" s="134"/>
      <c r="F175" s="31">
        <f>$F$75</f>
        <v>0.03</v>
      </c>
      <c r="G175" s="180">
        <f>$G$75</f>
        <v>0.6</v>
      </c>
      <c r="H175" s="180"/>
      <c r="I175" s="20">
        <f>-(I174*F175*G175)</f>
        <v>-16898.599308705881</v>
      </c>
      <c r="J175" s="30">
        <f t="shared" si="2"/>
        <v>-1.7999999999999999E-2</v>
      </c>
      <c r="K175" s="10"/>
    </row>
    <row r="176" spans="1:11" x14ac:dyDescent="0.2">
      <c r="A176" s="10"/>
      <c r="B176" s="134" t="s">
        <v>140</v>
      </c>
      <c r="C176" s="134"/>
      <c r="D176" s="134"/>
      <c r="E176" s="134"/>
      <c r="F176" s="134"/>
      <c r="G176" s="134"/>
      <c r="H176" s="134"/>
      <c r="I176" s="20">
        <f>I174+I175</f>
        <v>921912.47339717648</v>
      </c>
      <c r="J176" s="30">
        <f t="shared" si="2"/>
        <v>0.98199999999999998</v>
      </c>
      <c r="K176" s="10"/>
    </row>
    <row r="177" spans="1:11" ht="18.75" x14ac:dyDescent="0.3">
      <c r="A177" s="10"/>
      <c r="B177" s="111" t="s">
        <v>158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145</v>
      </c>
      <c r="C178" s="132"/>
      <c r="D178" s="132"/>
      <c r="E178" s="132"/>
      <c r="F178" s="132"/>
      <c r="G178" s="132"/>
      <c r="H178" s="133"/>
      <c r="I178" s="20">
        <f>$G$80*I176</f>
        <v>27657.374201915292</v>
      </c>
      <c r="J178" s="30">
        <f>IFERROR((I178/I$176),0)</f>
        <v>0.03</v>
      </c>
      <c r="K178" s="10"/>
    </row>
    <row r="179" spans="1:11" x14ac:dyDescent="0.2">
      <c r="A179" s="10"/>
      <c r="B179" s="131" t="s">
        <v>143</v>
      </c>
      <c r="C179" s="132"/>
      <c r="D179" s="132"/>
      <c r="E179" s="132"/>
      <c r="F179" s="132"/>
      <c r="G179" s="132"/>
      <c r="H179" s="133"/>
      <c r="I179" s="20">
        <f>$G$81*I176</f>
        <v>57778.394861757151</v>
      </c>
      <c r="J179" s="30">
        <f t="shared" ref="J179:J196" si="3">IFERROR((I179/I$176),0)</f>
        <v>6.2672321428571431E-2</v>
      </c>
      <c r="K179" s="10"/>
    </row>
    <row r="180" spans="1:11" x14ac:dyDescent="0.2">
      <c r="A180" s="10"/>
      <c r="B180" s="131" t="s">
        <v>146</v>
      </c>
      <c r="C180" s="132"/>
      <c r="D180" s="132"/>
      <c r="E180" s="132"/>
      <c r="F180" s="132"/>
      <c r="G180" s="132"/>
      <c r="H180" s="133"/>
      <c r="I180" s="20">
        <f>$G$82*I176</f>
        <v>9219.1247339717647</v>
      </c>
      <c r="J180" s="30">
        <f t="shared" si="3"/>
        <v>0.01</v>
      </c>
      <c r="K180" s="10"/>
    </row>
    <row r="181" spans="1:11" x14ac:dyDescent="0.2">
      <c r="A181" s="10"/>
      <c r="B181" s="131" t="s">
        <v>152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1.3016420046667688E-2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163987.20000000001</v>
      </c>
      <c r="J182" s="30">
        <f t="shared" si="3"/>
        <v>0.17787718978974199</v>
      </c>
      <c r="K182" s="10"/>
    </row>
    <row r="183" spans="1:11" x14ac:dyDescent="0.2">
      <c r="A183" s="10"/>
      <c r="B183" s="131" t="s">
        <v>147</v>
      </c>
      <c r="C183" s="132"/>
      <c r="D183" s="132"/>
      <c r="E183" s="132"/>
      <c r="F183" s="132"/>
      <c r="G183" s="132"/>
      <c r="H183" s="133"/>
      <c r="I183" s="20">
        <f>$G$85*I176</f>
        <v>9219.1247339717647</v>
      </c>
      <c r="J183" s="30">
        <f t="shared" si="3"/>
        <v>0.01</v>
      </c>
      <c r="K183" s="10"/>
    </row>
    <row r="184" spans="1:11" x14ac:dyDescent="0.2">
      <c r="A184" s="10"/>
      <c r="B184" s="131" t="s">
        <v>148</v>
      </c>
      <c r="C184" s="132"/>
      <c r="D184" s="132"/>
      <c r="E184" s="132"/>
      <c r="F184" s="132"/>
      <c r="G184" s="132"/>
      <c r="H184" s="133"/>
      <c r="I184" s="20">
        <f>$G$86*I176</f>
        <v>9219.1247339717647</v>
      </c>
      <c r="J184" s="30">
        <f t="shared" si="3"/>
        <v>0.01</v>
      </c>
      <c r="K184" s="10"/>
    </row>
    <row r="185" spans="1:11" x14ac:dyDescent="0.2">
      <c r="A185" s="10"/>
      <c r="B185" s="131" t="s">
        <v>150</v>
      </c>
      <c r="C185" s="132"/>
      <c r="D185" s="132"/>
      <c r="E185" s="132"/>
      <c r="F185" s="132"/>
      <c r="G185" s="132"/>
      <c r="H185" s="133"/>
      <c r="I185" s="20">
        <f>$G$87*I176</f>
        <v>13828.687100957646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153</v>
      </c>
      <c r="C186" s="132"/>
      <c r="D186" s="132"/>
      <c r="E186" s="132"/>
      <c r="F186" s="132"/>
      <c r="G186" s="132"/>
      <c r="H186" s="133"/>
      <c r="I186" s="20">
        <f>$G$88*I176</f>
        <v>9219.1247339717647</v>
      </c>
      <c r="J186" s="30">
        <f t="shared" si="3"/>
        <v>0.01</v>
      </c>
      <c r="K186" s="10"/>
    </row>
    <row r="187" spans="1:11" x14ac:dyDescent="0.2">
      <c r="A187" s="10"/>
      <c r="B187" s="131" t="s">
        <v>151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2.6032840093335376E-2</v>
      </c>
      <c r="K187" s="10"/>
    </row>
    <row r="188" spans="1:11" x14ac:dyDescent="0.2">
      <c r="A188" s="10"/>
      <c r="B188" s="131" t="s">
        <v>149</v>
      </c>
      <c r="C188" s="132"/>
      <c r="D188" s="132"/>
      <c r="E188" s="132"/>
      <c r="F188" s="132"/>
      <c r="G188" s="132"/>
      <c r="H188" s="133"/>
      <c r="I188" s="20">
        <f>$G$90*I176</f>
        <v>9219.1247339717647</v>
      </c>
      <c r="J188" s="30">
        <f t="shared" si="3"/>
        <v>0.01</v>
      </c>
      <c r="K188" s="10"/>
    </row>
    <row r="189" spans="1:11" x14ac:dyDescent="0.2">
      <c r="A189" s="10"/>
      <c r="B189" s="131" t="s">
        <v>144</v>
      </c>
      <c r="C189" s="132"/>
      <c r="D189" s="132"/>
      <c r="E189" s="132"/>
      <c r="F189" s="132"/>
      <c r="G189" s="132"/>
      <c r="H189" s="133"/>
      <c r="I189" s="20">
        <f>$G$91*I176</f>
        <v>82972.122605745884</v>
      </c>
      <c r="J189" s="30">
        <f t="shared" si="3"/>
        <v>0.09</v>
      </c>
      <c r="K189" s="10"/>
    </row>
    <row r="190" spans="1:11" x14ac:dyDescent="0.2">
      <c r="A190" s="10"/>
      <c r="B190" s="134" t="s">
        <v>154</v>
      </c>
      <c r="C190" s="134"/>
      <c r="D190" s="134"/>
      <c r="E190" s="134"/>
      <c r="F190" s="134"/>
      <c r="G190" s="134"/>
      <c r="H190" s="134"/>
      <c r="I190" s="20">
        <f>SUM(I178:I189)</f>
        <v>428319.4024402349</v>
      </c>
      <c r="J190" s="30">
        <f t="shared" si="3"/>
        <v>0.46459877135831656</v>
      </c>
      <c r="K190" s="10"/>
    </row>
    <row r="191" spans="1:11" x14ac:dyDescent="0.2">
      <c r="A191" s="10"/>
      <c r="B191" s="118" t="s">
        <v>159</v>
      </c>
      <c r="C191" s="118"/>
      <c r="D191" s="118"/>
      <c r="E191" s="118"/>
      <c r="F191" s="118"/>
      <c r="G191" s="118"/>
      <c r="H191" s="118"/>
      <c r="I191" s="24">
        <f>I176-I190</f>
        <v>493593.07095694158</v>
      </c>
      <c r="J191" s="30">
        <f t="shared" si="3"/>
        <v>0.53540122864168338</v>
      </c>
      <c r="K191" s="10"/>
    </row>
    <row r="192" spans="1:11" ht="18.75" x14ac:dyDescent="0.3">
      <c r="A192" s="10"/>
      <c r="B192" s="111" t="s">
        <v>171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172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126</v>
      </c>
      <c r="C194" s="132"/>
      <c r="D194" s="132"/>
      <c r="E194" s="132"/>
      <c r="F194" s="132"/>
      <c r="G194" s="132"/>
      <c r="H194" s="133"/>
      <c r="I194" s="20">
        <f>$I$136*12</f>
        <v>180000</v>
      </c>
      <c r="J194" s="30">
        <f t="shared" si="3"/>
        <v>0.19524630070001533</v>
      </c>
      <c r="K194" s="10"/>
    </row>
    <row r="195" spans="1:11" x14ac:dyDescent="0.2">
      <c r="A195" s="10"/>
      <c r="B195" s="134" t="s">
        <v>173</v>
      </c>
      <c r="C195" s="134"/>
      <c r="D195" s="134"/>
      <c r="E195" s="134"/>
      <c r="F195" s="134"/>
      <c r="G195" s="134"/>
      <c r="H195" s="134"/>
      <c r="I195" s="20">
        <f>I193+I194</f>
        <v>180000</v>
      </c>
      <c r="J195" s="30">
        <f t="shared" si="3"/>
        <v>0.19524630070001533</v>
      </c>
      <c r="K195" s="10"/>
    </row>
    <row r="196" spans="1:11" x14ac:dyDescent="0.2">
      <c r="A196" s="10"/>
      <c r="B196" s="118" t="s">
        <v>195</v>
      </c>
      <c r="C196" s="118"/>
      <c r="D196" s="118"/>
      <c r="E196" s="118"/>
      <c r="F196" s="118"/>
      <c r="G196" s="118"/>
      <c r="H196" s="118"/>
      <c r="I196" s="24">
        <f>I191-I195</f>
        <v>313593.07095694158</v>
      </c>
      <c r="J196" s="30">
        <f t="shared" si="3"/>
        <v>0.34015492794166813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188</v>
      </c>
      <c r="D208" s="118"/>
      <c r="E208" s="152" t="str">
        <f>CustomerName</f>
        <v>Hunter Chambliss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189</v>
      </c>
      <c r="D209" s="120"/>
      <c r="E209" s="152" t="str">
        <f>CompanyName</f>
        <v>Chambliss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130</v>
      </c>
      <c r="D210" s="122"/>
      <c r="E210" s="159" t="str">
        <f>AddressLine1</f>
        <v>2080 SW Gatlin Blvd.</v>
      </c>
      <c r="F210" s="160"/>
      <c r="G210" s="160"/>
      <c r="H210" s="160"/>
      <c r="I210" s="161"/>
      <c r="J210" s="10"/>
      <c r="K210" s="10"/>
    </row>
    <row r="211" spans="1:11" x14ac:dyDescent="0.2">
      <c r="A211" s="10"/>
      <c r="B211" s="10"/>
      <c r="C211" s="123"/>
      <c r="D211" s="124"/>
      <c r="E211" s="162" t="str">
        <f>AddressLine2</f>
        <v>Port St. Lucie, FL 34953</v>
      </c>
      <c r="F211" s="163"/>
      <c r="G211" s="163"/>
      <c r="H211" s="163"/>
      <c r="I211" s="164"/>
      <c r="J211" s="10"/>
      <c r="K211" s="10"/>
    </row>
    <row r="212" spans="1:11" x14ac:dyDescent="0.2">
      <c r="A212" s="10"/>
      <c r="B212" s="10"/>
      <c r="C212" s="125"/>
      <c r="D212" s="126"/>
      <c r="E212" s="165">
        <f>AddressLine3</f>
        <v>0</v>
      </c>
      <c r="F212" s="166"/>
      <c r="G212" s="166"/>
      <c r="H212" s="166"/>
      <c r="I212" s="167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191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169</v>
      </c>
      <c r="C216" s="111"/>
      <c r="D216" s="111"/>
      <c r="E216" s="111"/>
      <c r="F216" s="111"/>
      <c r="G216" s="111"/>
      <c r="H216" s="111"/>
      <c r="I216" s="17" t="s">
        <v>174</v>
      </c>
      <c r="J216" s="178" t="s">
        <v>170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110635.17798913043</v>
      </c>
      <c r="J217" s="178"/>
      <c r="K217" s="10"/>
    </row>
    <row r="218" spans="1:11" ht="18.75" x14ac:dyDescent="0.3">
      <c r="A218" s="10"/>
      <c r="B218" s="111" t="s">
        <v>157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137</v>
      </c>
      <c r="C219" s="112"/>
      <c r="D219" s="112"/>
      <c r="E219" s="112"/>
      <c r="F219" s="29" t="s">
        <v>136</v>
      </c>
      <c r="G219" s="178" t="s">
        <v>135</v>
      </c>
      <c r="H219" s="178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'Input Form'!B27</f>
        <v>6</v>
      </c>
      <c r="G220" s="138">
        <f>'Input Form'!$D$19</f>
        <v>0.5</v>
      </c>
      <c r="H220" s="139"/>
      <c r="I220" s="20">
        <f>I$217*F220*G220</f>
        <v>331905.5339673913</v>
      </c>
      <c r="J220" s="30">
        <f>IFERROR((I220/I$225),0)</f>
        <v>0.26785714285714285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'Input Form'!B28</f>
        <v>10</v>
      </c>
      <c r="G221" s="138">
        <f>'Input Form'!$D$20</f>
        <v>0.15</v>
      </c>
      <c r="H221" s="139"/>
      <c r="I221" s="20">
        <f>I$217*F221*G221</f>
        <v>165952.76698369562</v>
      </c>
      <c r="J221" s="30">
        <f t="shared" ref="J221:J227" si="4">IFERROR((I221/I$225),0)</f>
        <v>0.1339285714285714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'Input Form'!B29</f>
        <v>15</v>
      </c>
      <c r="G222" s="138">
        <f>'Input Form'!$D$21</f>
        <v>0.1</v>
      </c>
      <c r="H222" s="139"/>
      <c r="I222" s="20">
        <f>I$217*F222*G222</f>
        <v>165952.76698369568</v>
      </c>
      <c r="J222" s="30">
        <f t="shared" si="4"/>
        <v>0.13392857142857145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'Input Form'!B30</f>
        <v>20</v>
      </c>
      <c r="G223" s="138">
        <f>'Input Form'!$D$22</f>
        <v>0.15</v>
      </c>
      <c r="H223" s="139"/>
      <c r="I223" s="20">
        <f>I$217*F223*G223</f>
        <v>331905.53396739124</v>
      </c>
      <c r="J223" s="30">
        <f t="shared" si="4"/>
        <v>0.26785714285714279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'Input Form'!B31</f>
        <v>22</v>
      </c>
      <c r="G224" s="138">
        <f>'Input Form'!$D$23</f>
        <v>0.1</v>
      </c>
      <c r="H224" s="139"/>
      <c r="I224" s="20">
        <f>I$217*F224*G224</f>
        <v>243397.39157608699</v>
      </c>
      <c r="J224" s="30">
        <f t="shared" si="4"/>
        <v>0.19642857142857145</v>
      </c>
      <c r="K224" s="10"/>
    </row>
    <row r="225" spans="1:11" x14ac:dyDescent="0.2">
      <c r="A225" s="10"/>
      <c r="B225" s="134" t="s">
        <v>138</v>
      </c>
      <c r="C225" s="134"/>
      <c r="D225" s="134"/>
      <c r="E225" s="134"/>
      <c r="F225" s="134"/>
      <c r="G225" s="134"/>
      <c r="H225" s="134"/>
      <c r="I225" s="20">
        <f>SUM(I220:I224)</f>
        <v>1239113.9934782609</v>
      </c>
      <c r="J225" s="30">
        <f t="shared" si="4"/>
        <v>1</v>
      </c>
      <c r="K225" s="10"/>
    </row>
    <row r="226" spans="1:11" x14ac:dyDescent="0.2">
      <c r="A226" s="10"/>
      <c r="B226" s="134" t="s">
        <v>139</v>
      </c>
      <c r="C226" s="134"/>
      <c r="D226" s="134"/>
      <c r="E226" s="134"/>
      <c r="F226" s="31">
        <f>$F$75</f>
        <v>0.03</v>
      </c>
      <c r="G226" s="180">
        <f>$G$75</f>
        <v>0.6</v>
      </c>
      <c r="H226" s="180"/>
      <c r="I226" s="20">
        <f>-(I225*F226*G226)</f>
        <v>-22304.051882608695</v>
      </c>
      <c r="J226" s="30">
        <f t="shared" si="4"/>
        <v>-1.7999999999999999E-2</v>
      </c>
      <c r="K226" s="10"/>
    </row>
    <row r="227" spans="1:11" x14ac:dyDescent="0.2">
      <c r="A227" s="10"/>
      <c r="B227" s="134" t="s">
        <v>140</v>
      </c>
      <c r="C227" s="134"/>
      <c r="D227" s="134"/>
      <c r="E227" s="134"/>
      <c r="F227" s="134"/>
      <c r="G227" s="134"/>
      <c r="H227" s="134"/>
      <c r="I227" s="20">
        <f>I225+I226</f>
        <v>1216809.9415956521</v>
      </c>
      <c r="J227" s="30">
        <f t="shared" si="4"/>
        <v>0.98199999999999987</v>
      </c>
      <c r="K227" s="10"/>
    </row>
    <row r="228" spans="1:11" ht="18.75" x14ac:dyDescent="0.3">
      <c r="A228" s="10"/>
      <c r="B228" s="111" t="s">
        <v>158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145</v>
      </c>
      <c r="C229" s="132"/>
      <c r="D229" s="132"/>
      <c r="E229" s="132"/>
      <c r="F229" s="132"/>
      <c r="G229" s="132"/>
      <c r="H229" s="133"/>
      <c r="I229" s="20">
        <f>$G$80*I227</f>
        <v>36504.298247869563</v>
      </c>
      <c r="J229" s="30">
        <f>IFERROR((I229/I$227),0)</f>
        <v>0.03</v>
      </c>
      <c r="K229" s="10"/>
    </row>
    <row r="230" spans="1:11" x14ac:dyDescent="0.2">
      <c r="A230" s="10"/>
      <c r="B230" s="131" t="s">
        <v>143</v>
      </c>
      <c r="C230" s="132"/>
      <c r="D230" s="132"/>
      <c r="E230" s="132"/>
      <c r="F230" s="132"/>
      <c r="G230" s="132"/>
      <c r="H230" s="133"/>
      <c r="I230" s="20">
        <f>$G$81*I227</f>
        <v>76260.303777163936</v>
      </c>
      <c r="J230" s="30">
        <f t="shared" ref="J230:J247" si="5">IFERROR((I230/I$227),0)</f>
        <v>6.2672321428571431E-2</v>
      </c>
      <c r="K230" s="10"/>
    </row>
    <row r="231" spans="1:11" x14ac:dyDescent="0.2">
      <c r="A231" s="10"/>
      <c r="B231" s="131" t="s">
        <v>146</v>
      </c>
      <c r="C231" s="132"/>
      <c r="D231" s="132"/>
      <c r="E231" s="132"/>
      <c r="F231" s="132"/>
      <c r="G231" s="132"/>
      <c r="H231" s="133"/>
      <c r="I231" s="20">
        <f>$G$82*I227</f>
        <v>12168.099415956522</v>
      </c>
      <c r="J231" s="30">
        <f t="shared" si="5"/>
        <v>0.01</v>
      </c>
      <c r="K231" s="10"/>
    </row>
    <row r="232" spans="1:11" x14ac:dyDescent="0.2">
      <c r="A232" s="10"/>
      <c r="B232" s="131" t="s">
        <v>152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9.8618523647694013E-3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163987.20000000001</v>
      </c>
      <c r="J233" s="30">
        <f t="shared" si="5"/>
        <v>0.13476812967599275</v>
      </c>
      <c r="K233" s="10"/>
    </row>
    <row r="234" spans="1:11" x14ac:dyDescent="0.2">
      <c r="A234" s="10"/>
      <c r="B234" s="131" t="s">
        <v>147</v>
      </c>
      <c r="C234" s="132"/>
      <c r="D234" s="132"/>
      <c r="E234" s="132"/>
      <c r="F234" s="132"/>
      <c r="G234" s="132"/>
      <c r="H234" s="133"/>
      <c r="I234" s="20">
        <f>$G$85*I227</f>
        <v>12168.099415956522</v>
      </c>
      <c r="J234" s="30">
        <f t="shared" si="5"/>
        <v>0.01</v>
      </c>
      <c r="K234" s="10"/>
    </row>
    <row r="235" spans="1:11" x14ac:dyDescent="0.2">
      <c r="A235" s="10"/>
      <c r="B235" s="131" t="s">
        <v>148</v>
      </c>
      <c r="C235" s="132"/>
      <c r="D235" s="132"/>
      <c r="E235" s="132"/>
      <c r="F235" s="132"/>
      <c r="G235" s="132"/>
      <c r="H235" s="133"/>
      <c r="I235" s="20">
        <f>$G$86*I227</f>
        <v>12168.099415956522</v>
      </c>
      <c r="J235" s="30">
        <f t="shared" si="5"/>
        <v>0.01</v>
      </c>
      <c r="K235" s="10"/>
    </row>
    <row r="236" spans="1:11" x14ac:dyDescent="0.2">
      <c r="A236" s="10"/>
      <c r="B236" s="131" t="s">
        <v>150</v>
      </c>
      <c r="C236" s="132"/>
      <c r="D236" s="132"/>
      <c r="E236" s="132"/>
      <c r="F236" s="132"/>
      <c r="G236" s="132"/>
      <c r="H236" s="133"/>
      <c r="I236" s="20">
        <f>$G$87*I227</f>
        <v>18252.149123934782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153</v>
      </c>
      <c r="C237" s="132"/>
      <c r="D237" s="132"/>
      <c r="E237" s="132"/>
      <c r="F237" s="132"/>
      <c r="G237" s="132"/>
      <c r="H237" s="133"/>
      <c r="I237" s="20">
        <f>$G$88*I227</f>
        <v>12168.099415956522</v>
      </c>
      <c r="J237" s="30">
        <f t="shared" si="5"/>
        <v>0.01</v>
      </c>
      <c r="K237" s="10"/>
    </row>
    <row r="238" spans="1:11" x14ac:dyDescent="0.2">
      <c r="A238" s="10"/>
      <c r="B238" s="131" t="s">
        <v>151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1.9723704729538803E-2</v>
      </c>
      <c r="K238" s="10"/>
    </row>
    <row r="239" spans="1:11" x14ac:dyDescent="0.2">
      <c r="A239" s="10"/>
      <c r="B239" s="131" t="s">
        <v>149</v>
      </c>
      <c r="C239" s="132"/>
      <c r="D239" s="132"/>
      <c r="E239" s="132"/>
      <c r="F239" s="132"/>
      <c r="G239" s="132"/>
      <c r="H239" s="133"/>
      <c r="I239" s="20">
        <f>$G$90*I227</f>
        <v>12168.099415956522</v>
      </c>
      <c r="J239" s="30">
        <f t="shared" si="5"/>
        <v>0.01</v>
      </c>
      <c r="K239" s="10"/>
    </row>
    <row r="240" spans="1:11" x14ac:dyDescent="0.2">
      <c r="A240" s="10"/>
      <c r="B240" s="131" t="s">
        <v>144</v>
      </c>
      <c r="C240" s="132"/>
      <c r="D240" s="132"/>
      <c r="E240" s="132"/>
      <c r="F240" s="132"/>
      <c r="G240" s="132"/>
      <c r="H240" s="133"/>
      <c r="I240" s="20">
        <f>$G$91*I227</f>
        <v>109512.89474360869</v>
      </c>
      <c r="J240" s="30">
        <f t="shared" si="5"/>
        <v>0.09</v>
      </c>
      <c r="K240" s="10"/>
    </row>
    <row r="241" spans="1:11" x14ac:dyDescent="0.2">
      <c r="A241" s="10"/>
      <c r="B241" s="134" t="s">
        <v>154</v>
      </c>
      <c r="C241" s="134"/>
      <c r="D241" s="134"/>
      <c r="E241" s="134"/>
      <c r="F241" s="134"/>
      <c r="G241" s="134"/>
      <c r="H241" s="134"/>
      <c r="I241" s="20">
        <f>SUM(I229:I240)</f>
        <v>501357.34297235962</v>
      </c>
      <c r="J241" s="30">
        <f t="shared" si="5"/>
        <v>0.41202600819887242</v>
      </c>
      <c r="K241" s="10"/>
    </row>
    <row r="242" spans="1:11" x14ac:dyDescent="0.2">
      <c r="A242" s="10"/>
      <c r="B242" s="118" t="s">
        <v>159</v>
      </c>
      <c r="C242" s="118"/>
      <c r="D242" s="118"/>
      <c r="E242" s="118"/>
      <c r="F242" s="118"/>
      <c r="G242" s="118"/>
      <c r="H242" s="118"/>
      <c r="I242" s="24">
        <f>I227-I241</f>
        <v>715452.59862329252</v>
      </c>
      <c r="J242" s="30">
        <f t="shared" si="5"/>
        <v>0.58797399180112764</v>
      </c>
      <c r="K242" s="10"/>
    </row>
    <row r="243" spans="1:11" ht="18.75" x14ac:dyDescent="0.3">
      <c r="A243" s="10"/>
      <c r="B243" s="111" t="s">
        <v>171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172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126</v>
      </c>
      <c r="C245" s="132"/>
      <c r="D245" s="132"/>
      <c r="E245" s="132"/>
      <c r="F245" s="132"/>
      <c r="G245" s="132"/>
      <c r="H245" s="133"/>
      <c r="I245" s="20">
        <f>$I$136*12</f>
        <v>180000</v>
      </c>
      <c r="J245" s="30">
        <f t="shared" si="5"/>
        <v>0.14792778547154103</v>
      </c>
      <c r="K245" s="10"/>
    </row>
    <row r="246" spans="1:11" x14ac:dyDescent="0.2">
      <c r="A246" s="10"/>
      <c r="B246" s="134" t="s">
        <v>173</v>
      </c>
      <c r="C246" s="134"/>
      <c r="D246" s="134"/>
      <c r="E246" s="134"/>
      <c r="F246" s="134"/>
      <c r="G246" s="134"/>
      <c r="H246" s="134"/>
      <c r="I246" s="20">
        <f>I244+I245</f>
        <v>180000</v>
      </c>
      <c r="J246" s="30">
        <f t="shared" si="5"/>
        <v>0.14792778547154103</v>
      </c>
      <c r="K246" s="10"/>
    </row>
    <row r="247" spans="1:11" x14ac:dyDescent="0.2">
      <c r="A247" s="10"/>
      <c r="B247" s="118" t="s">
        <v>195</v>
      </c>
      <c r="C247" s="118"/>
      <c r="D247" s="118"/>
      <c r="E247" s="118"/>
      <c r="F247" s="118"/>
      <c r="G247" s="118"/>
      <c r="H247" s="118"/>
      <c r="I247" s="24">
        <f>I242-I246</f>
        <v>535452.59862329252</v>
      </c>
      <c r="J247" s="30">
        <f t="shared" si="5"/>
        <v>0.44004620632958658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188</v>
      </c>
      <c r="D259" s="118"/>
      <c r="E259" s="152" t="str">
        <f>CustomerName</f>
        <v>Hunter Chambliss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189</v>
      </c>
      <c r="D260" s="120"/>
      <c r="E260" s="152" t="str">
        <f>CompanyName</f>
        <v>Chambliss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130</v>
      </c>
      <c r="D261" s="122"/>
      <c r="E261" s="159" t="str">
        <f>AddressLine1</f>
        <v>2080 SW Gatlin Blvd.</v>
      </c>
      <c r="F261" s="160"/>
      <c r="G261" s="160"/>
      <c r="H261" s="160"/>
      <c r="I261" s="161"/>
      <c r="J261" s="10"/>
      <c r="K261" s="10"/>
    </row>
    <row r="262" spans="1:11" x14ac:dyDescent="0.2">
      <c r="A262" s="10"/>
      <c r="B262" s="10"/>
      <c r="C262" s="123"/>
      <c r="D262" s="124"/>
      <c r="E262" s="162" t="str">
        <f>AddressLine2</f>
        <v>Port St. Lucie, FL 34953</v>
      </c>
      <c r="F262" s="163"/>
      <c r="G262" s="163"/>
      <c r="H262" s="163"/>
      <c r="I262" s="164"/>
      <c r="J262" s="10"/>
      <c r="K262" s="10"/>
    </row>
    <row r="263" spans="1:11" x14ac:dyDescent="0.2">
      <c r="A263" s="10"/>
      <c r="B263" s="10"/>
      <c r="C263" s="125"/>
      <c r="D263" s="126"/>
      <c r="E263" s="165">
        <f>AddressLine3</f>
        <v>0</v>
      </c>
      <c r="F263" s="166"/>
      <c r="G263" s="166"/>
      <c r="H263" s="166"/>
      <c r="I263" s="167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192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169</v>
      </c>
      <c r="C267" s="111"/>
      <c r="D267" s="111"/>
      <c r="E267" s="111"/>
      <c r="F267" s="111"/>
      <c r="G267" s="111"/>
      <c r="H267" s="111"/>
      <c r="I267" s="17" t="s">
        <v>175</v>
      </c>
      <c r="J267" s="178" t="s">
        <v>170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122141.23650000001</v>
      </c>
      <c r="J268" s="178"/>
      <c r="K268" s="10"/>
    </row>
    <row r="269" spans="1:11" ht="18.75" x14ac:dyDescent="0.3">
      <c r="A269" s="10"/>
      <c r="B269" s="111" t="s">
        <v>157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137</v>
      </c>
      <c r="C270" s="112"/>
      <c r="D270" s="112"/>
      <c r="E270" s="112"/>
      <c r="F270" s="29" t="s">
        <v>136</v>
      </c>
      <c r="G270" s="178" t="s">
        <v>135</v>
      </c>
      <c r="H270" s="178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'Input Form'!C27</f>
        <v>6</v>
      </c>
      <c r="G271" s="138">
        <f>'Input Form'!$D$19</f>
        <v>0.5</v>
      </c>
      <c r="H271" s="139"/>
      <c r="I271" s="20">
        <f>I$268*F271*G271</f>
        <v>366423.70950000006</v>
      </c>
      <c r="J271" s="30">
        <f>IFERROR((I271/I$276),0)</f>
        <v>0.26785714285714285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'Input Form'!C28</f>
        <v>10</v>
      </c>
      <c r="G272" s="138">
        <f>'Input Form'!$D$20</f>
        <v>0.15</v>
      </c>
      <c r="H272" s="139"/>
      <c r="I272" s="20">
        <f t="shared" ref="I272:I275" si="6">I$268*F272*G272</f>
        <v>183211.85475000003</v>
      </c>
      <c r="J272" s="30">
        <f t="shared" ref="J272:J278" si="7">IFERROR((I272/I$276),0)</f>
        <v>0.13392857142857142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'Input Form'!C29</f>
        <v>15</v>
      </c>
      <c r="G273" s="138">
        <f>'Input Form'!$D$21</f>
        <v>0.1</v>
      </c>
      <c r="H273" s="139"/>
      <c r="I273" s="20">
        <f t="shared" si="6"/>
        <v>183211.85475000003</v>
      </c>
      <c r="J273" s="30">
        <f t="shared" si="7"/>
        <v>0.13392857142857142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'Input Form'!C30</f>
        <v>20</v>
      </c>
      <c r="G274" s="138">
        <f>'Input Form'!$D$22</f>
        <v>0.15</v>
      </c>
      <c r="H274" s="139"/>
      <c r="I274" s="20">
        <f t="shared" si="6"/>
        <v>366423.70950000006</v>
      </c>
      <c r="J274" s="30">
        <f t="shared" si="7"/>
        <v>0.26785714285714285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'Input Form'!C31</f>
        <v>22</v>
      </c>
      <c r="G275" s="138">
        <f>'Input Form'!$D$23</f>
        <v>0.1</v>
      </c>
      <c r="H275" s="139"/>
      <c r="I275" s="20">
        <f t="shared" si="6"/>
        <v>268710.72030000004</v>
      </c>
      <c r="J275" s="30">
        <f t="shared" si="7"/>
        <v>0.19642857142857142</v>
      </c>
      <c r="K275" s="10"/>
    </row>
    <row r="276" spans="1:11" x14ac:dyDescent="0.2">
      <c r="A276" s="10"/>
      <c r="B276" s="134" t="s">
        <v>138</v>
      </c>
      <c r="C276" s="134"/>
      <c r="D276" s="134"/>
      <c r="E276" s="134"/>
      <c r="F276" s="134"/>
      <c r="G276" s="134"/>
      <c r="H276" s="134"/>
      <c r="I276" s="20">
        <f>SUM(I271:I275)</f>
        <v>1367981.8488000003</v>
      </c>
      <c r="J276" s="30">
        <f t="shared" si="7"/>
        <v>1</v>
      </c>
      <c r="K276" s="10"/>
    </row>
    <row r="277" spans="1:11" x14ac:dyDescent="0.2">
      <c r="A277" s="10"/>
      <c r="B277" s="134" t="s">
        <v>139</v>
      </c>
      <c r="C277" s="134"/>
      <c r="D277" s="134"/>
      <c r="E277" s="134"/>
      <c r="F277" s="31">
        <f>$F$75</f>
        <v>0.03</v>
      </c>
      <c r="G277" s="180">
        <f>$G$75</f>
        <v>0.6</v>
      </c>
      <c r="H277" s="180"/>
      <c r="I277" s="20">
        <f>-(I276*F277*G277)</f>
        <v>-24623.673278400001</v>
      </c>
      <c r="J277" s="30">
        <f t="shared" si="7"/>
        <v>-1.7999999999999999E-2</v>
      </c>
      <c r="K277" s="10"/>
    </row>
    <row r="278" spans="1:11" x14ac:dyDescent="0.2">
      <c r="A278" s="10"/>
      <c r="B278" s="134" t="s">
        <v>140</v>
      </c>
      <c r="C278" s="134"/>
      <c r="D278" s="134"/>
      <c r="E278" s="134"/>
      <c r="F278" s="134"/>
      <c r="G278" s="134"/>
      <c r="H278" s="134"/>
      <c r="I278" s="20">
        <f>I276+I277</f>
        <v>1343358.1755216003</v>
      </c>
      <c r="J278" s="30">
        <f t="shared" si="7"/>
        <v>0.98199999999999998</v>
      </c>
      <c r="K278" s="10"/>
    </row>
    <row r="279" spans="1:11" ht="18.75" x14ac:dyDescent="0.3">
      <c r="A279" s="10"/>
      <c r="B279" s="111" t="s">
        <v>158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145</v>
      </c>
      <c r="C280" s="132"/>
      <c r="D280" s="132"/>
      <c r="E280" s="132"/>
      <c r="F280" s="132"/>
      <c r="G280" s="132"/>
      <c r="H280" s="133"/>
      <c r="I280" s="20">
        <f>$G$80*I278</f>
        <v>40300.745265648009</v>
      </c>
      <c r="J280" s="30">
        <f>IFERROR((I280/I$278),0)</f>
        <v>0.03</v>
      </c>
      <c r="K280" s="10"/>
    </row>
    <row r="281" spans="1:11" x14ac:dyDescent="0.2">
      <c r="A281" s="10"/>
      <c r="B281" s="131" t="s">
        <v>143</v>
      </c>
      <c r="C281" s="132"/>
      <c r="D281" s="132"/>
      <c r="E281" s="132"/>
      <c r="F281" s="132"/>
      <c r="G281" s="132"/>
      <c r="H281" s="133"/>
      <c r="I281" s="20">
        <f>$G$81*I278</f>
        <v>84191.375369989008</v>
      </c>
      <c r="J281" s="30">
        <f t="shared" ref="J281:J298" si="8">IFERROR((I281/I$278),0)</f>
        <v>6.2672321428571431E-2</v>
      </c>
      <c r="K281" s="10"/>
    </row>
    <row r="282" spans="1:11" x14ac:dyDescent="0.2">
      <c r="A282" s="10"/>
      <c r="B282" s="131" t="s">
        <v>146</v>
      </c>
      <c r="C282" s="132"/>
      <c r="D282" s="132"/>
      <c r="E282" s="132"/>
      <c r="F282" s="132"/>
      <c r="G282" s="132"/>
      <c r="H282" s="133"/>
      <c r="I282" s="20">
        <f>$G$82*I278</f>
        <v>13433.581755216002</v>
      </c>
      <c r="J282" s="30">
        <f t="shared" si="8"/>
        <v>0.01</v>
      </c>
      <c r="K282" s="10"/>
    </row>
    <row r="283" spans="1:11" x14ac:dyDescent="0.2">
      <c r="A283" s="10"/>
      <c r="B283" s="131" t="s">
        <v>152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8.9328372869288044E-3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163987.20000000001</v>
      </c>
      <c r="J284" s="30">
        <f t="shared" si="8"/>
        <v>0.12207258122825428</v>
      </c>
      <c r="K284" s="10"/>
    </row>
    <row r="285" spans="1:11" x14ac:dyDescent="0.2">
      <c r="A285" s="10"/>
      <c r="B285" s="131" t="s">
        <v>147</v>
      </c>
      <c r="C285" s="132"/>
      <c r="D285" s="132"/>
      <c r="E285" s="132"/>
      <c r="F285" s="132"/>
      <c r="G285" s="132"/>
      <c r="H285" s="133"/>
      <c r="I285" s="20">
        <f>$G$85*I278</f>
        <v>13433.581755216002</v>
      </c>
      <c r="J285" s="30">
        <f t="shared" si="8"/>
        <v>0.01</v>
      </c>
      <c r="K285" s="10"/>
    </row>
    <row r="286" spans="1:11" x14ac:dyDescent="0.2">
      <c r="A286" s="10"/>
      <c r="B286" s="131" t="s">
        <v>148</v>
      </c>
      <c r="C286" s="132"/>
      <c r="D286" s="132"/>
      <c r="E286" s="132"/>
      <c r="F286" s="132"/>
      <c r="G286" s="132"/>
      <c r="H286" s="133"/>
      <c r="I286" s="20">
        <f>$G$86*I278</f>
        <v>13433.581755216002</v>
      </c>
      <c r="J286" s="30">
        <f t="shared" si="8"/>
        <v>0.01</v>
      </c>
      <c r="K286" s="10"/>
    </row>
    <row r="287" spans="1:11" x14ac:dyDescent="0.2">
      <c r="A287" s="10"/>
      <c r="B287" s="131" t="s">
        <v>150</v>
      </c>
      <c r="C287" s="132"/>
      <c r="D287" s="132"/>
      <c r="E287" s="132"/>
      <c r="F287" s="132"/>
      <c r="G287" s="132"/>
      <c r="H287" s="133"/>
      <c r="I287" s="20">
        <f>$G$87*I278</f>
        <v>20150.372632824005</v>
      </c>
      <c r="J287" s="30">
        <f t="shared" si="8"/>
        <v>1.4999999999999999E-2</v>
      </c>
      <c r="K287" s="10"/>
    </row>
    <row r="288" spans="1:11" x14ac:dyDescent="0.2">
      <c r="A288" s="10"/>
      <c r="B288" s="131" t="s">
        <v>153</v>
      </c>
      <c r="C288" s="132"/>
      <c r="D288" s="132"/>
      <c r="E288" s="132"/>
      <c r="F288" s="132"/>
      <c r="G288" s="132"/>
      <c r="H288" s="133"/>
      <c r="I288" s="20">
        <f>$G$88*I278</f>
        <v>13433.581755216002</v>
      </c>
      <c r="J288" s="30">
        <f t="shared" si="8"/>
        <v>0.01</v>
      </c>
      <c r="K288" s="10"/>
    </row>
    <row r="289" spans="1:11" x14ac:dyDescent="0.2">
      <c r="A289" s="10"/>
      <c r="B289" s="131" t="s">
        <v>151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1.7865674573857609E-2</v>
      </c>
      <c r="K289" s="10"/>
    </row>
    <row r="290" spans="1:11" x14ac:dyDescent="0.2">
      <c r="A290" s="10"/>
      <c r="B290" s="131" t="s">
        <v>149</v>
      </c>
      <c r="C290" s="132"/>
      <c r="D290" s="132"/>
      <c r="E290" s="132"/>
      <c r="F290" s="132"/>
      <c r="G290" s="132"/>
      <c r="H290" s="133"/>
      <c r="I290" s="20">
        <f>$G$90*I278</f>
        <v>13433.581755216002</v>
      </c>
      <c r="J290" s="30">
        <f t="shared" si="8"/>
        <v>0.01</v>
      </c>
      <c r="K290" s="10"/>
    </row>
    <row r="291" spans="1:11" x14ac:dyDescent="0.2">
      <c r="A291" s="10"/>
      <c r="B291" s="131" t="s">
        <v>144</v>
      </c>
      <c r="C291" s="132"/>
      <c r="D291" s="132"/>
      <c r="E291" s="132"/>
      <c r="F291" s="132"/>
      <c r="G291" s="132"/>
      <c r="H291" s="133"/>
      <c r="I291" s="20">
        <f>$G$91*I278</f>
        <v>120902.23579694402</v>
      </c>
      <c r="J291" s="30">
        <f t="shared" si="8"/>
        <v>0.09</v>
      </c>
      <c r="K291" s="10"/>
    </row>
    <row r="292" spans="1:11" x14ac:dyDescent="0.2">
      <c r="A292" s="10"/>
      <c r="B292" s="134" t="s">
        <v>154</v>
      </c>
      <c r="C292" s="134"/>
      <c r="D292" s="134"/>
      <c r="E292" s="134"/>
      <c r="F292" s="134"/>
      <c r="G292" s="134"/>
      <c r="H292" s="134"/>
      <c r="I292" s="20">
        <f>SUM(I280:I291)</f>
        <v>532699.83784148504</v>
      </c>
      <c r="J292" s="30">
        <f t="shared" si="8"/>
        <v>0.3965434145176121</v>
      </c>
      <c r="K292" s="10"/>
    </row>
    <row r="293" spans="1:11" x14ac:dyDescent="0.2">
      <c r="A293" s="10"/>
      <c r="B293" s="118" t="s">
        <v>159</v>
      </c>
      <c r="C293" s="118"/>
      <c r="D293" s="118"/>
      <c r="E293" s="118"/>
      <c r="F293" s="118"/>
      <c r="G293" s="118"/>
      <c r="H293" s="118"/>
      <c r="I293" s="24">
        <f>I278-I292</f>
        <v>810658.33768011525</v>
      </c>
      <c r="J293" s="30">
        <f t="shared" si="8"/>
        <v>0.6034565854823879</v>
      </c>
      <c r="K293" s="10"/>
    </row>
    <row r="294" spans="1:11" ht="18.75" x14ac:dyDescent="0.3">
      <c r="A294" s="10"/>
      <c r="B294" s="111" t="s">
        <v>171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172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126</v>
      </c>
      <c r="C296" s="132"/>
      <c r="D296" s="132"/>
      <c r="E296" s="132"/>
      <c r="F296" s="132"/>
      <c r="G296" s="132"/>
      <c r="H296" s="133"/>
      <c r="I296" s="20">
        <f>$I$136*12</f>
        <v>180000</v>
      </c>
      <c r="J296" s="30">
        <f t="shared" si="8"/>
        <v>0.13399255930393206</v>
      </c>
      <c r="K296" s="10"/>
    </row>
    <row r="297" spans="1:11" x14ac:dyDescent="0.2">
      <c r="A297" s="10"/>
      <c r="B297" s="134" t="s">
        <v>173</v>
      </c>
      <c r="C297" s="134"/>
      <c r="D297" s="134"/>
      <c r="E297" s="134"/>
      <c r="F297" s="134"/>
      <c r="G297" s="134"/>
      <c r="H297" s="134"/>
      <c r="I297" s="20">
        <f>I295+I296</f>
        <v>180000</v>
      </c>
      <c r="J297" s="30">
        <f t="shared" si="8"/>
        <v>0.13399255930393206</v>
      </c>
      <c r="K297" s="10"/>
    </row>
    <row r="298" spans="1:11" x14ac:dyDescent="0.2">
      <c r="A298" s="10"/>
      <c r="B298" s="118" t="s">
        <v>195</v>
      </c>
      <c r="C298" s="118"/>
      <c r="D298" s="118"/>
      <c r="E298" s="118"/>
      <c r="F298" s="118"/>
      <c r="G298" s="118"/>
      <c r="H298" s="118"/>
      <c r="I298" s="24">
        <f>I293-I297</f>
        <v>630658.33768011525</v>
      </c>
      <c r="J298" s="30">
        <f t="shared" si="8"/>
        <v>0.46946402617845584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188</v>
      </c>
      <c r="D310" s="118"/>
      <c r="E310" s="152" t="str">
        <f>CustomerName</f>
        <v>Hunter Chambliss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189</v>
      </c>
      <c r="D311" s="120"/>
      <c r="E311" s="152" t="str">
        <f>CompanyName</f>
        <v>Chambliss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130</v>
      </c>
      <c r="D312" s="122"/>
      <c r="E312" s="159" t="str">
        <f>AddressLine1</f>
        <v>2080 SW Gatlin Blvd.</v>
      </c>
      <c r="F312" s="160"/>
      <c r="G312" s="160"/>
      <c r="H312" s="160"/>
      <c r="I312" s="161"/>
      <c r="J312" s="10"/>
      <c r="K312" s="10"/>
    </row>
    <row r="313" spans="1:11" x14ac:dyDescent="0.2">
      <c r="A313" s="10"/>
      <c r="B313" s="10"/>
      <c r="C313" s="123"/>
      <c r="D313" s="124"/>
      <c r="E313" s="162" t="str">
        <f>AddressLine2</f>
        <v>Port St. Lucie, FL 34953</v>
      </c>
      <c r="F313" s="163"/>
      <c r="G313" s="163"/>
      <c r="H313" s="163"/>
      <c r="I313" s="164"/>
      <c r="J313" s="10"/>
      <c r="K313" s="10"/>
    </row>
    <row r="314" spans="1:11" x14ac:dyDescent="0.2">
      <c r="A314" s="10"/>
      <c r="B314" s="10"/>
      <c r="C314" s="125"/>
      <c r="D314" s="126"/>
      <c r="E314" s="165">
        <f>AddressLine3</f>
        <v>0</v>
      </c>
      <c r="F314" s="166"/>
      <c r="G314" s="166"/>
      <c r="H314" s="166"/>
      <c r="I314" s="167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193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169</v>
      </c>
      <c r="C318" s="111"/>
      <c r="D318" s="111"/>
      <c r="E318" s="111"/>
      <c r="F318" s="111"/>
      <c r="G318" s="111"/>
      <c r="H318" s="111"/>
      <c r="I318" s="17" t="s">
        <v>176</v>
      </c>
      <c r="J318" s="178" t="s">
        <v>170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126609.81832317074</v>
      </c>
      <c r="J319" s="178"/>
      <c r="K319" s="10"/>
    </row>
    <row r="320" spans="1:11" ht="18.75" x14ac:dyDescent="0.3">
      <c r="A320" s="10"/>
      <c r="B320" s="111" t="s">
        <v>157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137</v>
      </c>
      <c r="C321" s="112"/>
      <c r="D321" s="112"/>
      <c r="E321" s="112"/>
      <c r="F321" s="29" t="s">
        <v>136</v>
      </c>
      <c r="G321" s="178" t="s">
        <v>135</v>
      </c>
      <c r="H321" s="178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'Input Form'!D27</f>
        <v>6</v>
      </c>
      <c r="G322" s="138">
        <f>'Input Form'!$D$19</f>
        <v>0.5</v>
      </c>
      <c r="H322" s="139"/>
      <c r="I322" s="20">
        <f>I$319*F322*G322</f>
        <v>379829.45496951218</v>
      </c>
      <c r="J322" s="30">
        <f>IFERROR((I322/I$327),0)</f>
        <v>0.26785714285714279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'Input Form'!D28</f>
        <v>10</v>
      </c>
      <c r="G323" s="138">
        <f>'Input Form'!$D$20</f>
        <v>0.15</v>
      </c>
      <c r="H323" s="139"/>
      <c r="I323" s="20">
        <f>I$319*F323*G323</f>
        <v>189914.72748475612</v>
      </c>
      <c r="J323" s="30">
        <f t="shared" ref="J323:J329" si="9">IFERROR((I323/I$327),0)</f>
        <v>0.13392857142857142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'Input Form'!D29</f>
        <v>15</v>
      </c>
      <c r="G324" s="138">
        <f>'Input Form'!$D$21</f>
        <v>0.1</v>
      </c>
      <c r="H324" s="139"/>
      <c r="I324" s="20">
        <f>I$319*F324*G324</f>
        <v>189914.72748475612</v>
      </c>
      <c r="J324" s="30">
        <f t="shared" si="9"/>
        <v>0.13392857142857142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'Input Form'!D30</f>
        <v>20</v>
      </c>
      <c r="G325" s="138">
        <f>'Input Form'!$D$22</f>
        <v>0.15</v>
      </c>
      <c r="H325" s="139"/>
      <c r="I325" s="20">
        <f>I$319*F325*G325</f>
        <v>379829.45496951224</v>
      </c>
      <c r="J325" s="30">
        <f t="shared" si="9"/>
        <v>0.26785714285714285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'Input Form'!D31</f>
        <v>22</v>
      </c>
      <c r="G326" s="138">
        <f>'Input Form'!$D$23</f>
        <v>0.1</v>
      </c>
      <c r="H326" s="139"/>
      <c r="I326" s="20">
        <f>I$319*F326*G326</f>
        <v>278541.60031097563</v>
      </c>
      <c r="J326" s="30">
        <f t="shared" si="9"/>
        <v>0.19642857142857142</v>
      </c>
      <c r="K326" s="10"/>
    </row>
    <row r="327" spans="1:11" x14ac:dyDescent="0.2">
      <c r="A327" s="10"/>
      <c r="B327" s="134" t="s">
        <v>138</v>
      </c>
      <c r="C327" s="134"/>
      <c r="D327" s="134"/>
      <c r="E327" s="134"/>
      <c r="F327" s="134"/>
      <c r="G327" s="134"/>
      <c r="H327" s="134"/>
      <c r="I327" s="20">
        <f>SUM(I322:I326)</f>
        <v>1418029.9652195123</v>
      </c>
      <c r="J327" s="30">
        <f t="shared" si="9"/>
        <v>1</v>
      </c>
      <c r="K327" s="10"/>
    </row>
    <row r="328" spans="1:11" x14ac:dyDescent="0.2">
      <c r="A328" s="10"/>
      <c r="B328" s="134" t="s">
        <v>139</v>
      </c>
      <c r="C328" s="134"/>
      <c r="D328" s="134"/>
      <c r="E328" s="134"/>
      <c r="F328" s="31">
        <f>$F$75</f>
        <v>0.03</v>
      </c>
      <c r="G328" s="180">
        <f>$G$75</f>
        <v>0.6</v>
      </c>
      <c r="H328" s="180"/>
      <c r="I328" s="20">
        <f>-(I327*F328*G328)</f>
        <v>-25524.539373951222</v>
      </c>
      <c r="J328" s="30">
        <f t="shared" si="9"/>
        <v>-1.7999999999999999E-2</v>
      </c>
      <c r="K328" s="10"/>
    </row>
    <row r="329" spans="1:11" x14ac:dyDescent="0.2">
      <c r="A329" s="10"/>
      <c r="B329" s="134" t="s">
        <v>140</v>
      </c>
      <c r="C329" s="134"/>
      <c r="D329" s="134"/>
      <c r="E329" s="134"/>
      <c r="F329" s="134"/>
      <c r="G329" s="134"/>
      <c r="H329" s="134"/>
      <c r="I329" s="20">
        <f>I327+I328</f>
        <v>1392505.4258455611</v>
      </c>
      <c r="J329" s="30">
        <f t="shared" si="9"/>
        <v>0.98199999999999998</v>
      </c>
      <c r="K329" s="10"/>
    </row>
    <row r="330" spans="1:11" ht="18.75" x14ac:dyDescent="0.3">
      <c r="A330" s="10"/>
      <c r="B330" s="111" t="s">
        <v>158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145</v>
      </c>
      <c r="C331" s="132"/>
      <c r="D331" s="132"/>
      <c r="E331" s="132"/>
      <c r="F331" s="132"/>
      <c r="G331" s="132"/>
      <c r="H331" s="133"/>
      <c r="I331" s="20">
        <f>$G$80*I329</f>
        <v>41775.162775366829</v>
      </c>
      <c r="J331" s="30">
        <f>IFERROR((I331/I$329),0)</f>
        <v>0.03</v>
      </c>
      <c r="K331" s="10"/>
    </row>
    <row r="332" spans="1:11" x14ac:dyDescent="0.2">
      <c r="A332" s="10"/>
      <c r="B332" s="131" t="s">
        <v>143</v>
      </c>
      <c r="C332" s="132"/>
      <c r="D332" s="132"/>
      <c r="E332" s="132"/>
      <c r="F332" s="132"/>
      <c r="G332" s="132"/>
      <c r="H332" s="133"/>
      <c r="I332" s="20">
        <f>$G$81*I329</f>
        <v>87271.547639622746</v>
      </c>
      <c r="J332" s="30">
        <f t="shared" ref="J332:J344" si="10">IFERROR((I332/I$329),0)</f>
        <v>6.2672321428571431E-2</v>
      </c>
      <c r="K332" s="10"/>
    </row>
    <row r="333" spans="1:11" x14ac:dyDescent="0.2">
      <c r="A333" s="10"/>
      <c r="B333" s="131" t="s">
        <v>146</v>
      </c>
      <c r="C333" s="132"/>
      <c r="D333" s="132"/>
      <c r="E333" s="132"/>
      <c r="F333" s="132"/>
      <c r="G333" s="132"/>
      <c r="H333" s="133"/>
      <c r="I333" s="20">
        <f>$G$82*I329</f>
        <v>13925.054258455611</v>
      </c>
      <c r="J333" s="30">
        <f t="shared" si="10"/>
        <v>0.01</v>
      </c>
      <c r="K333" s="10"/>
    </row>
    <row r="334" spans="1:11" x14ac:dyDescent="0.2">
      <c r="A334" s="10"/>
      <c r="B334" s="131" t="s">
        <v>152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8.617560676801906E-3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163987.20000000001</v>
      </c>
      <c r="J335" s="30">
        <f t="shared" si="10"/>
        <v>0.11776413718490414</v>
      </c>
      <c r="K335" s="10"/>
    </row>
    <row r="336" spans="1:11" x14ac:dyDescent="0.2">
      <c r="A336" s="10"/>
      <c r="B336" s="131" t="s">
        <v>147</v>
      </c>
      <c r="C336" s="132"/>
      <c r="D336" s="132"/>
      <c r="E336" s="132"/>
      <c r="F336" s="132"/>
      <c r="G336" s="132"/>
      <c r="H336" s="133"/>
      <c r="I336" s="20">
        <f>$G$85*I329</f>
        <v>13925.054258455611</v>
      </c>
      <c r="J336" s="30">
        <f t="shared" si="10"/>
        <v>0.01</v>
      </c>
      <c r="K336" s="10"/>
    </row>
    <row r="337" spans="1:11" x14ac:dyDescent="0.2">
      <c r="A337" s="10"/>
      <c r="B337" s="131" t="s">
        <v>148</v>
      </c>
      <c r="C337" s="132"/>
      <c r="D337" s="132"/>
      <c r="E337" s="132"/>
      <c r="F337" s="132"/>
      <c r="G337" s="132"/>
      <c r="H337" s="133"/>
      <c r="I337" s="20">
        <f>$G$86*I329</f>
        <v>13925.054258455611</v>
      </c>
      <c r="J337" s="30">
        <f t="shared" si="10"/>
        <v>0.01</v>
      </c>
      <c r="K337" s="10"/>
    </row>
    <row r="338" spans="1:11" x14ac:dyDescent="0.2">
      <c r="A338" s="10"/>
      <c r="B338" s="131" t="s">
        <v>150</v>
      </c>
      <c r="C338" s="132"/>
      <c r="D338" s="132"/>
      <c r="E338" s="132"/>
      <c r="F338" s="132"/>
      <c r="G338" s="132"/>
      <c r="H338" s="133"/>
      <c r="I338" s="20">
        <f>$G$87*I329</f>
        <v>20887.581387683415</v>
      </c>
      <c r="J338" s="30">
        <f t="shared" si="10"/>
        <v>1.4999999999999999E-2</v>
      </c>
      <c r="K338" s="10"/>
    </row>
    <row r="339" spans="1:11" x14ac:dyDescent="0.2">
      <c r="A339" s="10"/>
      <c r="B339" s="131" t="s">
        <v>153</v>
      </c>
      <c r="C339" s="132"/>
      <c r="D339" s="132"/>
      <c r="E339" s="132"/>
      <c r="F339" s="132"/>
      <c r="G339" s="132"/>
      <c r="H339" s="133"/>
      <c r="I339" s="20">
        <f>$G$88*I329</f>
        <v>13925.054258455611</v>
      </c>
      <c r="J339" s="30">
        <f t="shared" si="10"/>
        <v>0.01</v>
      </c>
      <c r="K339" s="10"/>
    </row>
    <row r="340" spans="1:11" x14ac:dyDescent="0.2">
      <c r="A340" s="10"/>
      <c r="B340" s="131" t="s">
        <v>151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1.7235121353603812E-2</v>
      </c>
      <c r="K340" s="10"/>
    </row>
    <row r="341" spans="1:11" x14ac:dyDescent="0.2">
      <c r="A341" s="10"/>
      <c r="B341" s="131" t="s">
        <v>149</v>
      </c>
      <c r="C341" s="132"/>
      <c r="D341" s="132"/>
      <c r="E341" s="132"/>
      <c r="F341" s="132"/>
      <c r="G341" s="132"/>
      <c r="H341" s="133"/>
      <c r="I341" s="20">
        <f>$G$90*I329</f>
        <v>13925.054258455611</v>
      </c>
      <c r="J341" s="30">
        <f t="shared" si="10"/>
        <v>0.01</v>
      </c>
      <c r="K341" s="10"/>
    </row>
    <row r="342" spans="1:11" x14ac:dyDescent="0.2">
      <c r="A342" s="10"/>
      <c r="B342" s="131" t="s">
        <v>144</v>
      </c>
      <c r="C342" s="132"/>
      <c r="D342" s="132"/>
      <c r="E342" s="132"/>
      <c r="F342" s="132"/>
      <c r="G342" s="132"/>
      <c r="H342" s="133"/>
      <c r="I342" s="20">
        <f>$G$91*I329</f>
        <v>125325.48832610049</v>
      </c>
      <c r="J342" s="30">
        <f t="shared" si="10"/>
        <v>0.09</v>
      </c>
      <c r="K342" s="10"/>
    </row>
    <row r="343" spans="1:11" x14ac:dyDescent="0.2">
      <c r="A343" s="10"/>
      <c r="B343" s="134" t="s">
        <v>154</v>
      </c>
      <c r="C343" s="134"/>
      <c r="D343" s="134"/>
      <c r="E343" s="134"/>
      <c r="F343" s="134"/>
      <c r="G343" s="134"/>
      <c r="H343" s="134"/>
      <c r="I343" s="20">
        <f>SUM(I331:I342)</f>
        <v>544872.25142105168</v>
      </c>
      <c r="J343" s="30">
        <f t="shared" si="10"/>
        <v>0.39128914064388137</v>
      </c>
      <c r="K343" s="10"/>
    </row>
    <row r="344" spans="1:11" x14ac:dyDescent="0.2">
      <c r="A344" s="10"/>
      <c r="B344" s="118" t="s">
        <v>159</v>
      </c>
      <c r="C344" s="118"/>
      <c r="D344" s="118"/>
      <c r="E344" s="118"/>
      <c r="F344" s="118"/>
      <c r="G344" s="118"/>
      <c r="H344" s="118"/>
      <c r="I344" s="24">
        <f>I329-I343</f>
        <v>847633.1744245094</v>
      </c>
      <c r="J344" s="30">
        <f t="shared" si="10"/>
        <v>0.60871085935611857</v>
      </c>
      <c r="K344" s="10"/>
    </row>
    <row r="345" spans="1:11" ht="18.75" x14ac:dyDescent="0.3">
      <c r="A345" s="10"/>
      <c r="B345" s="111" t="s">
        <v>171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172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126</v>
      </c>
      <c r="C347" s="132"/>
      <c r="D347" s="132"/>
      <c r="E347" s="132"/>
      <c r="F347" s="132"/>
      <c r="G347" s="132"/>
      <c r="H347" s="133"/>
      <c r="I347" s="20">
        <f>$I$136*12</f>
        <v>180000</v>
      </c>
      <c r="J347" s="30">
        <f t="shared" si="11"/>
        <v>0.12926341015202858</v>
      </c>
      <c r="K347" s="10"/>
    </row>
    <row r="348" spans="1:11" x14ac:dyDescent="0.2">
      <c r="A348" s="10"/>
      <c r="B348" s="134" t="s">
        <v>173</v>
      </c>
      <c r="C348" s="134"/>
      <c r="D348" s="134"/>
      <c r="E348" s="134"/>
      <c r="F348" s="134"/>
      <c r="G348" s="134"/>
      <c r="H348" s="134"/>
      <c r="I348" s="20">
        <f>I346+I347</f>
        <v>180000</v>
      </c>
      <c r="J348" s="30">
        <f t="shared" si="11"/>
        <v>0.12926341015202858</v>
      </c>
      <c r="K348" s="10"/>
    </row>
    <row r="349" spans="1:11" x14ac:dyDescent="0.2">
      <c r="A349" s="10"/>
      <c r="B349" s="118" t="s">
        <v>195</v>
      </c>
      <c r="C349" s="118"/>
      <c r="D349" s="118"/>
      <c r="E349" s="118"/>
      <c r="F349" s="118"/>
      <c r="G349" s="118"/>
      <c r="H349" s="118"/>
      <c r="I349" s="24">
        <f>I344-I348</f>
        <v>667633.1744245094</v>
      </c>
      <c r="J349" s="30">
        <f t="shared" si="11"/>
        <v>0.47944744920409005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188</v>
      </c>
      <c r="D361" s="118"/>
      <c r="E361" s="152" t="str">
        <f>CustomerName</f>
        <v>Hunter Chambliss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189</v>
      </c>
      <c r="D362" s="120"/>
      <c r="E362" s="152" t="str">
        <f>CompanyName</f>
        <v>Chambliss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130</v>
      </c>
      <c r="D363" s="122"/>
      <c r="E363" s="159" t="str">
        <f>AddressLine1</f>
        <v>2080 SW Gatlin Blvd.</v>
      </c>
      <c r="F363" s="160"/>
      <c r="G363" s="160"/>
      <c r="H363" s="160"/>
      <c r="I363" s="161"/>
      <c r="J363" s="10"/>
      <c r="K363" s="10"/>
    </row>
    <row r="364" spans="1:11" x14ac:dyDescent="0.2">
      <c r="A364" s="10"/>
      <c r="B364" s="10"/>
      <c r="C364" s="123"/>
      <c r="D364" s="124"/>
      <c r="E364" s="162" t="str">
        <f>AddressLine2</f>
        <v>Port St. Lucie, FL 34953</v>
      </c>
      <c r="F364" s="163"/>
      <c r="G364" s="163"/>
      <c r="H364" s="163"/>
      <c r="I364" s="164"/>
      <c r="J364" s="10"/>
      <c r="K364" s="10"/>
    </row>
    <row r="365" spans="1:11" x14ac:dyDescent="0.2">
      <c r="A365" s="10"/>
      <c r="B365" s="10"/>
      <c r="C365" s="125"/>
      <c r="D365" s="126"/>
      <c r="E365" s="165">
        <f>AddressLine3</f>
        <v>0</v>
      </c>
      <c r="F365" s="166"/>
      <c r="G365" s="166"/>
      <c r="H365" s="166"/>
      <c r="I365" s="167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194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169</v>
      </c>
      <c r="C369" s="111"/>
      <c r="D369" s="111"/>
      <c r="E369" s="111"/>
      <c r="F369" s="111"/>
      <c r="G369" s="111"/>
      <c r="H369" s="111"/>
      <c r="I369" s="17" t="s">
        <v>177</v>
      </c>
      <c r="J369" s="178" t="s">
        <v>170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136605.33029605265</v>
      </c>
      <c r="J370" s="178"/>
      <c r="K370" s="10"/>
    </row>
    <row r="371" spans="1:11" ht="18.75" x14ac:dyDescent="0.3">
      <c r="A371" s="10"/>
      <c r="B371" s="111" t="s">
        <v>157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137</v>
      </c>
      <c r="C372" s="112"/>
      <c r="D372" s="112"/>
      <c r="E372" s="112"/>
      <c r="F372" s="29" t="s">
        <v>136</v>
      </c>
      <c r="G372" s="178" t="s">
        <v>135</v>
      </c>
      <c r="H372" s="178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'Input Form'!E27</f>
        <v>6</v>
      </c>
      <c r="G373" s="138">
        <f>'Input Form'!$D$19</f>
        <v>0.5</v>
      </c>
      <c r="H373" s="139"/>
      <c r="I373" s="20">
        <f>I$370*F373*G373</f>
        <v>409815.99088815798</v>
      </c>
      <c r="J373" s="30">
        <f>IFERROR((I373/I$378),0)</f>
        <v>0.2678571428571429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'Input Form'!E28</f>
        <v>10</v>
      </c>
      <c r="G374" s="138">
        <f>'Input Form'!$D$20</f>
        <v>0.15</v>
      </c>
      <c r="H374" s="139"/>
      <c r="I374" s="20">
        <f t="shared" ref="I374:I377" si="12">I$370*F374*G374</f>
        <v>204907.99544407896</v>
      </c>
      <c r="J374" s="30">
        <f t="shared" ref="J374:J380" si="13">IFERROR((I374/I$378),0)</f>
        <v>0.13392857142857142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'Input Form'!E29</f>
        <v>15</v>
      </c>
      <c r="G375" s="138">
        <f>'Input Form'!$D$21</f>
        <v>0.1</v>
      </c>
      <c r="H375" s="139"/>
      <c r="I375" s="20">
        <f t="shared" si="12"/>
        <v>204907.99544407899</v>
      </c>
      <c r="J375" s="30">
        <f t="shared" si="13"/>
        <v>0.13392857142857145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'Input Form'!E30</f>
        <v>20</v>
      </c>
      <c r="G376" s="138">
        <f>'Input Form'!$D$22</f>
        <v>0.15</v>
      </c>
      <c r="H376" s="139"/>
      <c r="I376" s="20">
        <f t="shared" si="12"/>
        <v>409815.99088815792</v>
      </c>
      <c r="J376" s="30">
        <f t="shared" si="13"/>
        <v>0.26785714285714285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'Input Form'!E31</f>
        <v>22</v>
      </c>
      <c r="G377" s="138">
        <f>'Input Form'!$D$23</f>
        <v>0.1</v>
      </c>
      <c r="H377" s="139"/>
      <c r="I377" s="20">
        <f t="shared" si="12"/>
        <v>300531.72665131581</v>
      </c>
      <c r="J377" s="30">
        <f t="shared" si="13"/>
        <v>0.19642857142857142</v>
      </c>
      <c r="K377" s="10"/>
    </row>
    <row r="378" spans="1:11" x14ac:dyDescent="0.2">
      <c r="A378" s="10"/>
      <c r="B378" s="134" t="s">
        <v>138</v>
      </c>
      <c r="C378" s="134"/>
      <c r="D378" s="134"/>
      <c r="E378" s="134"/>
      <c r="F378" s="134"/>
      <c r="G378" s="134"/>
      <c r="H378" s="134"/>
      <c r="I378" s="20">
        <f>SUM(I373:I377)</f>
        <v>1529979.6993157896</v>
      </c>
      <c r="J378" s="30">
        <f t="shared" si="13"/>
        <v>1</v>
      </c>
      <c r="K378" s="10"/>
    </row>
    <row r="379" spans="1:11" x14ac:dyDescent="0.2">
      <c r="A379" s="10"/>
      <c r="B379" s="134" t="s">
        <v>139</v>
      </c>
      <c r="C379" s="134"/>
      <c r="D379" s="134"/>
      <c r="E379" s="134"/>
      <c r="F379" s="31">
        <f>$F$75</f>
        <v>0.03</v>
      </c>
      <c r="G379" s="180">
        <f>$G$75</f>
        <v>0.6</v>
      </c>
      <c r="H379" s="180"/>
      <c r="I379" s="20">
        <f>-(I378*F379*G379)</f>
        <v>-27539.634587684213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140</v>
      </c>
      <c r="C380" s="134"/>
      <c r="D380" s="134"/>
      <c r="E380" s="134"/>
      <c r="F380" s="134"/>
      <c r="G380" s="134"/>
      <c r="H380" s="134"/>
      <c r="I380" s="20">
        <f>I378+I379</f>
        <v>1502440.0647281054</v>
      </c>
      <c r="J380" s="30">
        <f t="shared" si="13"/>
        <v>0.98199999999999998</v>
      </c>
      <c r="K380" s="10"/>
    </row>
    <row r="381" spans="1:11" ht="18.75" x14ac:dyDescent="0.3">
      <c r="A381" s="10"/>
      <c r="B381" s="111" t="s">
        <v>158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145</v>
      </c>
      <c r="C382" s="132"/>
      <c r="D382" s="132"/>
      <c r="E382" s="132"/>
      <c r="F382" s="132"/>
      <c r="G382" s="132"/>
      <c r="H382" s="133"/>
      <c r="I382" s="20">
        <f>$G$80*I380</f>
        <v>45073.201941843159</v>
      </c>
      <c r="J382" s="30">
        <f>IFERROR((I382/I$380),0)</f>
        <v>0.03</v>
      </c>
      <c r="K382" s="10"/>
    </row>
    <row r="383" spans="1:11" x14ac:dyDescent="0.2">
      <c r="A383" s="10"/>
      <c r="B383" s="131" t="s">
        <v>143</v>
      </c>
      <c r="C383" s="132"/>
      <c r="D383" s="132"/>
      <c r="E383" s="132"/>
      <c r="F383" s="132"/>
      <c r="G383" s="132"/>
      <c r="H383" s="133"/>
      <c r="I383" s="20">
        <f>$G$81*I380</f>
        <v>94161.406663803486</v>
      </c>
      <c r="J383" s="30">
        <f t="shared" ref="J383:J395" si="14">IFERROR((I383/I$380),0)</f>
        <v>6.2672321428571431E-2</v>
      </c>
      <c r="K383" s="10"/>
    </row>
    <row r="384" spans="1:11" x14ac:dyDescent="0.2">
      <c r="A384" s="10"/>
      <c r="B384" s="131" t="s">
        <v>146</v>
      </c>
      <c r="C384" s="132"/>
      <c r="D384" s="132"/>
      <c r="E384" s="132"/>
      <c r="F384" s="132"/>
      <c r="G384" s="132"/>
      <c r="H384" s="133"/>
      <c r="I384" s="20">
        <f>$G$82*I380</f>
        <v>15024.400647281054</v>
      </c>
      <c r="J384" s="30">
        <f t="shared" si="14"/>
        <v>0.01</v>
      </c>
      <c r="K384" s="10"/>
    </row>
    <row r="385" spans="1:11" x14ac:dyDescent="0.2">
      <c r="A385" s="10"/>
      <c r="B385" s="131" t="s">
        <v>152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7.9870074565481074E-3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163987.20000000001</v>
      </c>
      <c r="J386" s="30">
        <f t="shared" si="14"/>
        <v>0.10914724909820384</v>
      </c>
      <c r="K386" s="10"/>
    </row>
    <row r="387" spans="1:11" x14ac:dyDescent="0.2">
      <c r="A387" s="10"/>
      <c r="B387" s="131" t="s">
        <v>147</v>
      </c>
      <c r="C387" s="132"/>
      <c r="D387" s="132"/>
      <c r="E387" s="132"/>
      <c r="F387" s="132"/>
      <c r="G387" s="132"/>
      <c r="H387" s="133"/>
      <c r="I387" s="20">
        <f>$G$85*I380</f>
        <v>15024.400647281054</v>
      </c>
      <c r="J387" s="30">
        <f t="shared" si="14"/>
        <v>0.01</v>
      </c>
      <c r="K387" s="10"/>
    </row>
    <row r="388" spans="1:11" x14ac:dyDescent="0.2">
      <c r="A388" s="10"/>
      <c r="B388" s="131" t="s">
        <v>148</v>
      </c>
      <c r="C388" s="132"/>
      <c r="D388" s="132"/>
      <c r="E388" s="132"/>
      <c r="F388" s="132"/>
      <c r="G388" s="132"/>
      <c r="H388" s="133"/>
      <c r="I388" s="20">
        <f>$G$86*I380</f>
        <v>15024.400647281054</v>
      </c>
      <c r="J388" s="30">
        <f t="shared" si="14"/>
        <v>0.01</v>
      </c>
      <c r="K388" s="10"/>
    </row>
    <row r="389" spans="1:11" x14ac:dyDescent="0.2">
      <c r="A389" s="10"/>
      <c r="B389" s="131" t="s">
        <v>150</v>
      </c>
      <c r="C389" s="132"/>
      <c r="D389" s="132"/>
      <c r="E389" s="132"/>
      <c r="F389" s="132"/>
      <c r="G389" s="132"/>
      <c r="H389" s="133"/>
      <c r="I389" s="20">
        <f>$G$87*I380</f>
        <v>22536.60097092158</v>
      </c>
      <c r="J389" s="30">
        <f t="shared" si="14"/>
        <v>1.4999999999999999E-2</v>
      </c>
      <c r="K389" s="10"/>
    </row>
    <row r="390" spans="1:11" x14ac:dyDescent="0.2">
      <c r="A390" s="10"/>
      <c r="B390" s="131" t="s">
        <v>153</v>
      </c>
      <c r="C390" s="132"/>
      <c r="D390" s="132"/>
      <c r="E390" s="132"/>
      <c r="F390" s="132"/>
      <c r="G390" s="132"/>
      <c r="H390" s="133"/>
      <c r="I390" s="20">
        <f>$G$88*I380</f>
        <v>15024.400647281054</v>
      </c>
      <c r="J390" s="30">
        <f t="shared" si="14"/>
        <v>0.01</v>
      </c>
      <c r="K390" s="10"/>
    </row>
    <row r="391" spans="1:11" x14ac:dyDescent="0.2">
      <c r="A391" s="10"/>
      <c r="B391" s="131" t="s">
        <v>151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1.5974014913096215E-2</v>
      </c>
      <c r="K391" s="10"/>
    </row>
    <row r="392" spans="1:11" x14ac:dyDescent="0.2">
      <c r="A392" s="10"/>
      <c r="B392" s="131" t="s">
        <v>149</v>
      </c>
      <c r="C392" s="132"/>
      <c r="D392" s="132"/>
      <c r="E392" s="132"/>
      <c r="F392" s="132"/>
      <c r="G392" s="132"/>
      <c r="H392" s="133"/>
      <c r="I392" s="20">
        <f>$G$90*I380</f>
        <v>15024.400647281054</v>
      </c>
      <c r="J392" s="30">
        <f t="shared" si="14"/>
        <v>0.01</v>
      </c>
      <c r="K392" s="10"/>
    </row>
    <row r="393" spans="1:11" x14ac:dyDescent="0.2">
      <c r="A393" s="10"/>
      <c r="B393" s="131" t="s">
        <v>144</v>
      </c>
      <c r="C393" s="132"/>
      <c r="D393" s="132"/>
      <c r="E393" s="132"/>
      <c r="F393" s="132"/>
      <c r="G393" s="132"/>
      <c r="H393" s="133"/>
      <c r="I393" s="20">
        <f>$G$91*I380</f>
        <v>135219.60582552949</v>
      </c>
      <c r="J393" s="30">
        <f t="shared" si="14"/>
        <v>0.09</v>
      </c>
      <c r="K393" s="10"/>
    </row>
    <row r="394" spans="1:11" x14ac:dyDescent="0.2">
      <c r="A394" s="10"/>
      <c r="B394" s="134" t="s">
        <v>154</v>
      </c>
      <c r="C394" s="134"/>
      <c r="D394" s="134"/>
      <c r="E394" s="134"/>
      <c r="F394" s="134"/>
      <c r="G394" s="134"/>
      <c r="H394" s="134"/>
      <c r="I394" s="20">
        <f>SUM(I382:I393)</f>
        <v>572100.01863850281</v>
      </c>
      <c r="J394" s="30">
        <f t="shared" si="14"/>
        <v>0.38078059289641947</v>
      </c>
      <c r="K394" s="10"/>
    </row>
    <row r="395" spans="1:11" x14ac:dyDescent="0.2">
      <c r="A395" s="10"/>
      <c r="B395" s="118" t="s">
        <v>159</v>
      </c>
      <c r="C395" s="118"/>
      <c r="D395" s="118"/>
      <c r="E395" s="118"/>
      <c r="F395" s="118"/>
      <c r="G395" s="118"/>
      <c r="H395" s="118"/>
      <c r="I395" s="24">
        <f>I380-I394</f>
        <v>930340.04608960263</v>
      </c>
      <c r="J395" s="30">
        <f t="shared" si="14"/>
        <v>0.61921940710358059</v>
      </c>
      <c r="K395" s="10"/>
    </row>
    <row r="396" spans="1:11" ht="18.75" x14ac:dyDescent="0.3">
      <c r="A396" s="10"/>
      <c r="B396" s="111" t="s">
        <v>171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172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126</v>
      </c>
      <c r="C398" s="132"/>
      <c r="D398" s="132"/>
      <c r="E398" s="132"/>
      <c r="F398" s="132"/>
      <c r="G398" s="132"/>
      <c r="H398" s="133"/>
      <c r="I398" s="20">
        <f>$I$136*12</f>
        <v>180000</v>
      </c>
      <c r="J398" s="30">
        <f t="shared" si="15"/>
        <v>0.11980511184822162</v>
      </c>
      <c r="K398" s="10"/>
    </row>
    <row r="399" spans="1:11" x14ac:dyDescent="0.2">
      <c r="A399" s="10"/>
      <c r="B399" s="134" t="s">
        <v>173</v>
      </c>
      <c r="C399" s="134"/>
      <c r="D399" s="134"/>
      <c r="E399" s="134"/>
      <c r="F399" s="134"/>
      <c r="G399" s="134"/>
      <c r="H399" s="134"/>
      <c r="I399" s="20">
        <f>I397+I398</f>
        <v>180000</v>
      </c>
      <c r="J399" s="30">
        <f t="shared" si="15"/>
        <v>0.11980511184822162</v>
      </c>
      <c r="K399" s="10"/>
    </row>
    <row r="400" spans="1:11" x14ac:dyDescent="0.2">
      <c r="A400" s="10"/>
      <c r="B400" s="118" t="s">
        <v>195</v>
      </c>
      <c r="C400" s="118"/>
      <c r="D400" s="118"/>
      <c r="E400" s="118"/>
      <c r="F400" s="118"/>
      <c r="G400" s="118"/>
      <c r="H400" s="118"/>
      <c r="I400" s="24">
        <f>I395-I399</f>
        <v>750340.04608960263</v>
      </c>
      <c r="J400" s="30">
        <f t="shared" si="15"/>
        <v>0.49941429525535891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188</v>
      </c>
      <c r="D412" s="118"/>
      <c r="E412" s="152" t="str">
        <f>CustomerName</f>
        <v>Hunter Chambliss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189</v>
      </c>
      <c r="D413" s="120"/>
      <c r="E413" s="152" t="str">
        <f>CompanyName</f>
        <v>Chambliss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130</v>
      </c>
      <c r="D414" s="122"/>
      <c r="E414" s="159" t="str">
        <f>AddressLine1</f>
        <v>2080 SW Gatlin Blvd.</v>
      </c>
      <c r="F414" s="160"/>
      <c r="G414" s="160"/>
      <c r="H414" s="160"/>
      <c r="I414" s="161"/>
      <c r="J414" s="10"/>
      <c r="K414" s="10"/>
    </row>
    <row r="415" spans="1:11" x14ac:dyDescent="0.2">
      <c r="A415" s="10"/>
      <c r="B415" s="10"/>
      <c r="C415" s="123"/>
      <c r="D415" s="124"/>
      <c r="E415" s="162" t="str">
        <f>AddressLine2</f>
        <v>Port St. Lucie, FL 34953</v>
      </c>
      <c r="F415" s="163"/>
      <c r="G415" s="163"/>
      <c r="H415" s="163"/>
      <c r="I415" s="164"/>
      <c r="J415" s="10"/>
      <c r="K415" s="10"/>
    </row>
    <row r="416" spans="1:11" x14ac:dyDescent="0.2">
      <c r="A416" s="10"/>
      <c r="B416" s="10"/>
      <c r="C416" s="125"/>
      <c r="D416" s="126"/>
      <c r="E416" s="165">
        <f>AddressLine3</f>
        <v>0</v>
      </c>
      <c r="F416" s="166"/>
      <c r="G416" s="166"/>
      <c r="H416" s="166"/>
      <c r="I416" s="167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178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179</v>
      </c>
      <c r="C420" s="134"/>
      <c r="D420" s="134"/>
      <c r="E420" s="134"/>
      <c r="F420" s="134"/>
      <c r="G420" s="134"/>
      <c r="H420" s="134"/>
      <c r="I420" s="181">
        <f>'Input Form'!E86</f>
        <v>0</v>
      </c>
      <c r="J420" s="182"/>
      <c r="K420" s="10"/>
    </row>
    <row r="421" spans="1:11" x14ac:dyDescent="0.2">
      <c r="A421" s="10"/>
      <c r="B421" s="134" t="s">
        <v>180</v>
      </c>
      <c r="C421" s="134"/>
      <c r="D421" s="134"/>
      <c r="E421" s="134"/>
      <c r="F421" s="134"/>
      <c r="G421" s="134"/>
      <c r="H421" s="134"/>
      <c r="I421" s="183">
        <f>IFERROR((I196/I420),0)</f>
        <v>0</v>
      </c>
      <c r="J421" s="184"/>
      <c r="K421" s="10"/>
    </row>
    <row r="422" spans="1:11" x14ac:dyDescent="0.2">
      <c r="A422" s="10"/>
      <c r="B422" s="134" t="s">
        <v>181</v>
      </c>
      <c r="C422" s="134"/>
      <c r="D422" s="134"/>
      <c r="E422" s="134"/>
      <c r="F422" s="134"/>
      <c r="G422" s="134"/>
      <c r="H422" s="134"/>
      <c r="I422" s="185">
        <f>IFERROR((I247/I420),0)</f>
        <v>0</v>
      </c>
      <c r="J422" s="185"/>
      <c r="K422" s="10"/>
    </row>
    <row r="423" spans="1:11" x14ac:dyDescent="0.2">
      <c r="A423" s="10"/>
      <c r="B423" s="134" t="s">
        <v>182</v>
      </c>
      <c r="C423" s="134"/>
      <c r="D423" s="134"/>
      <c r="E423" s="134"/>
      <c r="F423" s="134"/>
      <c r="G423" s="134"/>
      <c r="H423" s="134"/>
      <c r="I423" s="185">
        <f>IFERROR((I298/I420),0)</f>
        <v>0</v>
      </c>
      <c r="J423" s="185"/>
      <c r="K423" s="10"/>
    </row>
    <row r="424" spans="1:11" x14ac:dyDescent="0.2">
      <c r="A424" s="10"/>
      <c r="B424" s="134" t="s">
        <v>183</v>
      </c>
      <c r="C424" s="134"/>
      <c r="D424" s="134"/>
      <c r="E424" s="134"/>
      <c r="F424" s="134"/>
      <c r="G424" s="134"/>
      <c r="H424" s="134"/>
      <c r="I424" s="185">
        <f>IFERROR((I349/I420),0)</f>
        <v>0</v>
      </c>
      <c r="J424" s="185"/>
      <c r="K424" s="10"/>
    </row>
    <row r="425" spans="1:11" x14ac:dyDescent="0.2">
      <c r="A425" s="10"/>
      <c r="B425" s="134" t="s">
        <v>184</v>
      </c>
      <c r="C425" s="134"/>
      <c r="D425" s="134"/>
      <c r="E425" s="134"/>
      <c r="F425" s="134"/>
      <c r="G425" s="134"/>
      <c r="H425" s="134"/>
      <c r="I425" s="185">
        <f>IFERROR((I400/I420),0)</f>
        <v>0</v>
      </c>
      <c r="J425" s="185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185</v>
      </c>
      <c r="C428" s="134"/>
      <c r="D428" s="134"/>
      <c r="E428" s="134"/>
      <c r="F428" s="134"/>
      <c r="G428" s="134"/>
      <c r="H428" s="134"/>
      <c r="I428" s="186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6"/>
      <c r="K428" s="10"/>
    </row>
    <row r="429" spans="1:11" x14ac:dyDescent="0.2">
      <c r="A429" s="10"/>
      <c r="B429" s="134" t="s">
        <v>186</v>
      </c>
      <c r="C429" s="134"/>
      <c r="D429" s="134"/>
      <c r="E429" s="134"/>
      <c r="F429" s="134"/>
      <c r="G429" s="134"/>
      <c r="H429" s="134"/>
      <c r="I429" s="187">
        <v>0.08</v>
      </c>
      <c r="J429" s="187"/>
      <c r="K429" s="10"/>
    </row>
    <row r="430" spans="1:11" x14ac:dyDescent="0.2">
      <c r="A430" s="10"/>
      <c r="B430" s="134" t="s">
        <v>187</v>
      </c>
      <c r="C430" s="134"/>
      <c r="D430" s="134"/>
      <c r="E430" s="134"/>
      <c r="F430" s="134"/>
      <c r="G430" s="134"/>
      <c r="H430" s="134"/>
      <c r="I430" s="181">
        <f>'Input Form'!B86</f>
        <v>0</v>
      </c>
      <c r="J430" s="182"/>
      <c r="K430" s="10"/>
    </row>
  </sheetData>
  <sheetProtection algorithmName="SHA-512" hashValue="8I1cFtut8o6TLXu58IicQwboy4Je4DmSe/N5Ch2QftF1OUshL7nWtCzCf/rvkNiZeRYM43vhyuoRVkIpXCXo4g==" saltValue="4i5H+gEyfo47vQBgFbCSI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2019-07-23T14:53:04Z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